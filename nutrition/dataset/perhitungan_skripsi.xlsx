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s\Tugas Akhir\Sistem Rekomendasi Masakan\nutrition\dataset\"/>
    </mc:Choice>
  </mc:AlternateContent>
  <xr:revisionPtr revIDLastSave="0" documentId="13_ncr:1_{27778919-B4B0-476E-B521-BBC2536A124F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Dataset Asli" sheetId="1" r:id="rId1"/>
    <sheet name="Nutrition Scaled" sheetId="2" r:id="rId2"/>
    <sheet name="One-Hot Encoded" sheetId="3" r:id="rId3"/>
    <sheet name="Data Cleaned" sheetId="4" r:id="rId4"/>
    <sheet name="lauk" sheetId="5" r:id="rId5"/>
    <sheet name="sayuran" sheetId="6" r:id="rId6"/>
    <sheet name="Perhitungan Similiarity" sheetId="8" r:id="rId7"/>
    <sheet name="Evaluasi Performa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8" l="1"/>
  <c r="E17" i="8"/>
  <c r="F20" i="8"/>
  <c r="F18" i="8" a="1"/>
  <c r="F18" i="8"/>
  <c r="E18" i="8" a="1"/>
  <c r="E18" i="8"/>
  <c r="D18" i="8" a="1"/>
  <c r="D18" i="8"/>
  <c r="C18" i="8" a="1"/>
  <c r="C18" i="8"/>
  <c r="B18" i="8" a="1"/>
  <c r="B18" i="8"/>
  <c r="D17" i="8"/>
  <c r="C17" i="8"/>
  <c r="B17" i="8"/>
  <c r="C20" i="8"/>
  <c r="E20" i="8"/>
  <c r="B20" i="8"/>
  <c r="B12" i="8" a="1"/>
  <c r="B12" i="8"/>
  <c r="B11" i="8"/>
  <c r="E14" i="8"/>
  <c r="F14" i="8"/>
  <c r="F12" i="8" a="1"/>
  <c r="F12" i="8"/>
  <c r="E12" i="8" a="1"/>
  <c r="E12" i="8"/>
  <c r="D12" i="8" a="1"/>
  <c r="D12" i="8"/>
  <c r="F11" i="8"/>
  <c r="E11" i="8"/>
  <c r="D11" i="8"/>
  <c r="D14" i="8"/>
  <c r="C12" i="8" a="1"/>
  <c r="C12" i="8"/>
  <c r="C14" i="8"/>
  <c r="B14" i="8"/>
  <c r="C11" i="8"/>
  <c r="S3" i="9" a="1"/>
  <c r="S3" i="9"/>
  <c r="S4" i="9" a="1"/>
  <c r="S4" i="9"/>
  <c r="S5" i="9" a="1"/>
  <c r="S5" i="9"/>
  <c r="S6" i="9" a="1"/>
  <c r="S6" i="9"/>
  <c r="S2" i="9" a="1"/>
  <c r="S2" i="9"/>
  <c r="R3" i="9" a="1"/>
  <c r="R3" i="9"/>
  <c r="R4" i="9" a="1"/>
  <c r="R4" i="9"/>
  <c r="R5" i="9" a="1"/>
  <c r="R5" i="9"/>
  <c r="R6" i="9" a="1"/>
  <c r="R6" i="9"/>
  <c r="R2" i="9" a="1"/>
  <c r="R2" i="9"/>
  <c r="F19" i="8"/>
  <c r="E19" i="8"/>
  <c r="D19" i="8"/>
  <c r="D20" i="8" s="1"/>
  <c r="C19" i="8"/>
  <c r="B19" i="8"/>
  <c r="I3" i="9" a="1"/>
  <c r="I3" i="9"/>
  <c r="I4" i="9" a="1"/>
  <c r="I4" i="9"/>
  <c r="I5" i="9" a="1"/>
  <c r="I5" i="9"/>
  <c r="I6" i="9" a="1"/>
  <c r="I6" i="9"/>
  <c r="I2" i="9" a="1"/>
  <c r="I2" i="9"/>
  <c r="H3" i="9" a="1"/>
  <c r="H3" i="9"/>
  <c r="H4" i="9" a="1"/>
  <c r="H4" i="9"/>
  <c r="H5" i="9" a="1"/>
  <c r="H5" i="9"/>
  <c r="H6" i="9" a="1"/>
  <c r="H6" i="9"/>
  <c r="H2" i="9" a="1"/>
  <c r="H2" i="9"/>
  <c r="F13" i="8"/>
  <c r="E13" i="8"/>
  <c r="B13" i="8"/>
  <c r="D13" i="8"/>
  <c r="C1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<sst xmlns="http://schemas.openxmlformats.org/spreadsheetml/2006/main" count="15386" uniqueCount="2729">
  <si>
    <t>id</t>
  </si>
  <si>
    <t>calories</t>
  </si>
  <si>
    <t>proteins</t>
  </si>
  <si>
    <t>fat</t>
  </si>
  <si>
    <t>carbohydrate</t>
  </si>
  <si>
    <t>name</t>
  </si>
  <si>
    <t>image</t>
  </si>
  <si>
    <t>Abon</t>
  </si>
  <si>
    <t>https://img-cdn.medkomtek.com/PbrY9X3ignQ8sVuj_LU9UXljyew=/0x0/smart/filters:quality(75):strip_icc():format(webp)/article/7g8ceHGDNMuttlBcXEl8d/original/099726800_1605161502-Mana-yang-Lebih-Sehat-Abon-Sapi-atau-Abon-Ayam-shutterstock_1361446550.jpg</t>
  </si>
  <si>
    <t>Abon haruwan</t>
  </si>
  <si>
    <t>https://img-global.cpcdn.com/recipes/cbf330fbd1ba6316/1200x630cq70/photo.jpg</t>
  </si>
  <si>
    <t>Agar-agar</t>
  </si>
  <si>
    <t>https://res.cloudinary.com/dk0z4ums3/image/upload/v1644389489/attached_image/manfaat-agar-agar-untuk-tubuh.jpg</t>
  </si>
  <si>
    <t>Akar tonjong segar</t>
  </si>
  <si>
    <t>https://images.tokopedia.net/img/cache/200-square/product-1/2018/8/11/3052608/3052608_12e6762a-1a95-450b-8a7c-347a26dc3201_450_450.jpg</t>
  </si>
  <si>
    <t>Aletoge segar</t>
  </si>
  <si>
    <t>https://nilaigizi.com/assets/images/produk/produk_1577340236.jpg</t>
  </si>
  <si>
    <t>Alpukat segar</t>
  </si>
  <si>
    <t>https://katakabar.com/assets/images/upload/news/medium_news_1594438184.jpeg</t>
  </si>
  <si>
    <t>Ampas kacang hijau</t>
  </si>
  <si>
    <t>https://images.tokopedia.net/img/cache/215-square/shops-1/2016/10/16/5997149/5997149_fb399db6-c767-4ef0-ba2b-d25bc046859e.jpg</t>
  </si>
  <si>
    <t>Ampas Tahu</t>
  </si>
  <si>
    <t>https://palpres.disway.id/upload/9e9c1ba592cac7270de5e48889a33523.jpeg</t>
  </si>
  <si>
    <t>Ampas tahu kukus</t>
  </si>
  <si>
    <t>https://cdns.diadona.id/diadona.id/resized/640x320/news/2020/02/26/5346/manfaat-ampas-tahu-yang-nggak-boleh-disepelekan-orang-jepang-aja-doyan-masa-kamu-ogah-ogahan-200226f.jpg</t>
  </si>
  <si>
    <t>Ampas tahu mentah</t>
  </si>
  <si>
    <t>https://cdn-image.hipwee.com/wp-content/uploads/2021/03/hipwee-FotoJet-9-750x422.jpg</t>
  </si>
  <si>
    <t>Anak sapi daging gemuk segar</t>
  </si>
  <si>
    <t>https://png.pngtree.com/png-clipart/20220124/ourmid/pngtree-a-plate-of-delicious-fat-cow-free-elements-png-image_4252411.png</t>
  </si>
  <si>
    <t>Anak sapi daging kurus segar</t>
  </si>
  <si>
    <t>https://asset.kompas.com/crops/BzqLdMzV0nYuuT_-vqxhGoDU0ag=/0x0:1000x667/780x390/data/photo/2020/11/28/5fc241d817d91.jpg</t>
  </si>
  <si>
    <t>Anak sapi daging sedang segar</t>
  </si>
  <si>
    <t>https://koran-jakarta.com/images/article/tips-memilih-daging-sapi-segar-dan-berkualitas-baik-untuk-dikonsumsi-210409135933.jpg</t>
  </si>
  <si>
    <t>Andaliman segar</t>
  </si>
  <si>
    <t>https://cf.shopee.co.id/file/3c033b2480e951e2634909817e417218</t>
  </si>
  <si>
    <t>Andewi</t>
  </si>
  <si>
    <t>https://www.satuharapan.com/uploads/cache/news_77440_1518185146.jpg</t>
  </si>
  <si>
    <t>Anggur hutan segar</t>
  </si>
  <si>
    <t>https://cf.shopee.co.id/file/ed7f26c6de5f13ec39e9931263ade6b9</t>
  </si>
  <si>
    <t>Angsa</t>
  </si>
  <si>
    <t>https://cdn.idntimes.com/content-images/community/2020/06/images-11-7778c46373d99fb101fe76ba287b7cca.jpeg</t>
  </si>
  <si>
    <t>Anyang sayur</t>
  </si>
  <si>
    <t>https://static.republika.co.id/uploads/images/inpicture_slide/anyang-_180520222511-425.jpg</t>
  </si>
  <si>
    <t>Apel</t>
  </si>
  <si>
    <t>https://asset.kompas.com/crops/smfd25xgXRE3HpMLb2aamPeulYM=/21x0:1476x970/1200x800/data/photo/2022/08/30/630d7ae5d041f.jpg</t>
  </si>
  <si>
    <t>Apel malang segar</t>
  </si>
  <si>
    <t>https://pasarsegar.co.id/wp-content/uploads/2020/09/name-63-1.jpg</t>
  </si>
  <si>
    <t>Arbei</t>
  </si>
  <si>
    <t>https://asset.kompas.com/crops/NoCuCvNGfQG6_Ct04e7Vjcabjv4=/204x0:885x454/1200x800/data/photo/2020/06/25/5ef44bb002503.jpg</t>
  </si>
  <si>
    <t>Ares sayur</t>
  </si>
  <si>
    <t>https://asset-a.grid.id/crop/0x0:0x0/x/photo/2018/07/10/1764115767.jpg</t>
  </si>
  <si>
    <t>Arrowroot segar</t>
  </si>
  <si>
    <t>https://1.bp.blogspot.com/-frPXLhHsX1o/YGH-vVXAdtI/AAAAAAAAAQc/rFFQBIqzF-sEPYUiGLOUyb-KetyM7haWACLcBGAsYHQ/s2048/IMG20210227100704.jpg</t>
  </si>
  <si>
    <t>Arwan sirsir</t>
  </si>
  <si>
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</si>
  <si>
    <t>Asam kandis segar</t>
  </si>
  <si>
    <t>https://assets.ladiestory.id/gallery/16768092331084058551-asam-kandis.jpg</t>
  </si>
  <si>
    <t>Asam masak di pohon</t>
  </si>
  <si>
    <t>https://images.tokopedia.net/img/cache/700/VqbcmM/2020/8/26/6b6fe8d2-91ea-40a2-bd1d-53a147b957c1.png</t>
  </si>
  <si>
    <t>Asam payak segar</t>
  </si>
  <si>
    <t>https://nilaigizi.com/assets/images/produk/produk_1537342320.jpg</t>
  </si>
  <si>
    <t>Asan kandis kering</t>
  </si>
  <si>
    <t>https://nilaigizi.com/assets/images/produk/produk_1537342200.jpg</t>
  </si>
  <si>
    <t>Asinan Bogor sayuran</t>
  </si>
  <si>
    <t>https://www.piknikdong.com/wp-content/uploads/2021/04/Resep-Asinan-Sayur-Bogor-Sederhana.jpg</t>
  </si>
  <si>
    <t>Ayam</t>
  </si>
  <si>
    <t>https://images.ctfassets.net/1cj2ge3ast5f/4ETq9ybsnjCsGaailYLOGH/cf7db5b91c85f4ea1e309905a9679809/Ayam_Utuh.jpeg</t>
  </si>
  <si>
    <t>Ayam  goreng Kentuckysayap</t>
  </si>
  <si>
    <t>https://img-global.cpcdn.com/recipes/2ecb088a495ef73a/680x482cq70/ayam-goreng-kentucky-foto-resep-utama.jpg</t>
  </si>
  <si>
    <t>Ayam ampela goreng</t>
  </si>
  <si>
    <t>https://cdn1-production-images-kly.akamaized.net/MldE3BInsLHr9JgPKFlsYtmbV-E=/0x344:5472x3428/469x260/filters:quality(75):strip_icc():format(webp)/kly-media-production/medias/3142898/original/027275800_1591175314-shutterstock_188934800.jpg</t>
  </si>
  <si>
    <t>Ayam dideh/darah segar</t>
  </si>
  <si>
    <t>https://pelopor.id/wp-content/uploads/2022/03/WhatsApp-Image-2022-02-05-at-11.46.55.jpeg</t>
  </si>
  <si>
    <t>Ayam goreng church texa sayap</t>
  </si>
  <si>
    <t>https://e7.pngegg.com/pngimages/66/902/png-clipart-church-s-chicken-bakery-chicken-nugget-fried-chicken-texas-chicken-church-s-chicken-bakery-thumbnail.png</t>
  </si>
  <si>
    <t>Ayam goreng church texas dada</t>
  </si>
  <si>
    <t>https://i0.wp.com/harga.web.id/wp-content/uploads/Harga-Texas-Chicken-Reguler-dan-Promo.jpg?fit=680%2C300&amp;ssl=1</t>
  </si>
  <si>
    <t>Ayam goreng kalasan paha</t>
  </si>
  <si>
    <t>https://thumb.viva.id/intipseleb/1265x711/2022/10/21/6352aa183c0c1-resep-ayam-goreng-kalasan.jpg</t>
  </si>
  <si>
    <t>Ayam goreng kentucky dada</t>
  </si>
  <si>
    <t>https://awsimages.detik.net.id/community/media/visual/2021/07/07/kirim-pesan-unik-kfc-2_43.jpeg?w=1200</t>
  </si>
  <si>
    <t>Ayam goreng Kentucky paha</t>
  </si>
  <si>
    <t>https://img-global.cpcdn.com/recipes/d61db7c7021bcd27/680x482cq70/paha-kentucky-yummy-foto-resep-utama.jpg</t>
  </si>
  <si>
    <t>Ayam goreng mbok berek dada</t>
  </si>
  <si>
    <t>https://img-global.cpcdn.com/recipes/d15c8abab4246c58/680x482cq70/ayam-goreng-mbok-berek-foto-resep-utama.jpg</t>
  </si>
  <si>
    <t>Ayam goreng paha</t>
  </si>
  <si>
    <t>https://cdn1-production-images-kly.akamaized.net/EwEm3hoNsTm-YZSonSqX2IlcAaY=/1200x1200/smart/filters:quality(75):strip_icc():format(webp)/kly-media-production/medias/2938630/original/066858200_1571039590-shutterstock_153914045.jpg</t>
  </si>
  <si>
    <t>Ayam goreng pasundan dada</t>
  </si>
  <si>
    <t>https://d1sag4ddilekf6.cloudfront.net/compressed_webp/items/6-C2DTTVLGUBJ3T6-C2DTTXDVTNJXLA/detail/menueditor_item_b01be5494e6b4600867dbcbc0dcd1ed2_1607529952400513906.webp</t>
  </si>
  <si>
    <t>Ayam goreng pasundan paha</t>
  </si>
  <si>
    <t>https://d1sag4ddilekf6.cloudfront.net/compressed_webp/items/IDITE2021041504584013744/detail/menueditor_item_de1f8bfb500e483d903ccb2e25a29a7d_1618462649639007677.webp</t>
  </si>
  <si>
    <t>Ayam goreng pioneer dada</t>
  </si>
  <si>
    <t>https://d1sag4ddilekf6.cloudfront.net/compressed_webp/items/IDITE20210726121341017693/detail/menueditor_item_428cb0ea19e44146a00e1cfbef85faae_1627524568218570621.webp</t>
  </si>
  <si>
    <t>Ayam goreng sukabumi dada</t>
  </si>
  <si>
    <t>https://i0.wp.com/i.gojekapi.com/darkroom/gofood-indonesia/v2/images/uploads/d5baa5ea-bad6-4cc6-b6fe-a0c4a9a86979_Go-Biz_20211222_160332.jpeg</t>
  </si>
  <si>
    <t>Ayam goreng sukabumi paha</t>
  </si>
  <si>
    <t>https://i0.wp.com/i.gojekapi.com/darkroom/gofood-indonesia/v2/images/uploads/60ef5b81-53d7-4375-a9a3-b7eb2aed3b2a_master-menu-item-image_1597233742745.jpg?resize=728%2C500</t>
  </si>
  <si>
    <t>Ayam hati segar</t>
  </si>
  <si>
    <t>https://asset.kompas.com/crops/9dZTmg32w0stodtsJ52gf85QjD4=/0x0:902x601/750x500/data/photo/2021/01/26/600f9d1967e9b.jpg</t>
  </si>
  <si>
    <t>Ayam taliwang masakan</t>
  </si>
  <si>
    <t>https://asset.kompas.com/crops/-oAqlkfrKHaqebhytdtKz-JV6ls=/4x0:1000x664/750x500/data/photo/2020/12/22/5fe16c7655542.jpg</t>
  </si>
  <si>
    <t>Ayam usus goreng</t>
  </si>
  <si>
    <t>https://img-global.cpcdn.com/recipes/fa7c9443ce9efcb5/1200x630cq70/photo.jpg</t>
  </si>
  <si>
    <t>Babat</t>
  </si>
  <si>
    <t>https://awsimages.detik.net.id/community/media/visual/2022/05/26/resep-bacem-babat-sapi.jpeg?w=1200</t>
  </si>
  <si>
    <t>Babi daging gemuk segar</t>
  </si>
  <si>
    <t>https://akcdn.detik.net.id/visual/2020/05/12/d2fe874b-b04f-41ad-bce5-84027ad803ab_169.jpeg?w=650</t>
  </si>
  <si>
    <t>Babi daging kurus segar</t>
  </si>
  <si>
    <t>https://dialeksis.com/images/web/2022/10/daging-babi.jpeg</t>
  </si>
  <si>
    <t>Babi ginjal segar</t>
  </si>
  <si>
    <t>https://s1.bukalapak.com/img/6117974221/large/GINJAL_BABI___PORK_KIDNEY_.jpg</t>
  </si>
  <si>
    <t>Babi hati segar</t>
  </si>
  <si>
    <t>https://www.static-src.com/wcsstore/Indraprastha/images/catalog/full//91/MTA-7170363/pasarbali-id_pasarbali-id_-_hati_babi_-500_gr-denpasar-_full02_fa2ryh3x.jpg</t>
  </si>
  <si>
    <t>Babi hutan masak rica masakan</t>
  </si>
  <si>
    <t>https://img-global.cpcdn.com/recipes/3bb79acbfc908ed8/1200x630cq70/photo.jpg</t>
  </si>
  <si>
    <t>Bacang</t>
  </si>
  <si>
    <t>https://cdn1-production-images-kly.akamaized.net/dmeIqjoEQPYVHvwOwc32D8B7EcI=/1200x675/smart/filters:quality(75):strip_icc():format(webp)/kly-media-production/medias/1495067/original/082497700_1486023784-bacang-fsui_wodpress.jpg</t>
  </si>
  <si>
    <t>Bagea kelapa asin</t>
  </si>
  <si>
    <t>https://resepkoki.id/wp-content/uploads/2018/02/Resep-Kue-Bagea.jpg</t>
  </si>
  <si>
    <t>Bagea kelapa manis</t>
  </si>
  <si>
    <t>https://s3.theasianparent.com/tap-assets-prod/wp-content/uploads/sites/24/2022/03/kue-bagea-featured-650x339.jpg</t>
  </si>
  <si>
    <t>Bagea kenari asin</t>
  </si>
  <si>
    <t>https://images.tokopedia.net/img/cache/700/hDjmkQ/2021/10/4/73219f10-0149-4af7-b1ca-c51d90ca767b.jpg</t>
  </si>
  <si>
    <t>Bagea kenari manis</t>
  </si>
  <si>
    <t>https://indonesiakaya.com/wp-content/uploads/2020/10/1__IMG_0796_CROP_Renyah_gurih_dan_manis_begitulah_kira-kira_gambaran_saat_mencicipi_kue_bagea_khas_Sulawesi_Utara.jpg</t>
  </si>
  <si>
    <t>Bagea kw 1</t>
  </si>
  <si>
    <t>https://i0.wp.com/www.cakefever.com/wp-content/uploads/rsz_unknown_187780537_492967188795850_1371196946421020494_n.jpg?fit=900%2C600&amp;ssl=1</t>
  </si>
  <si>
    <t>Bagea kw 2</t>
  </si>
  <si>
    <t>https://images.tokopedia.net/img/cache/700/VqbcmM/2021/8/15/c5337e96-32c2-4453-98d0-cc17b08837f1.jpg</t>
  </si>
  <si>
    <t>Baje</t>
  </si>
  <si>
    <t>https://cf.shopee.co.id/file/91afb76cc87856ee341c0ee5970d66a9</t>
  </si>
  <si>
    <t>Bakpia kue</t>
  </si>
  <si>
    <t>https://asset.kompas.com/crops/BZ6Z25Y0XcjtoHBInh10nGsMM2Q=/3x0:700x465/750x500/data/photo/2021/03/17/60514d8851d3e.jpeg</t>
  </si>
  <si>
    <t xml:space="preserve">Bakso </t>
  </si>
  <si>
    <t>https://asset.kompas.com/crops/x6OULHa8pMi47UnvDTzf1j62ov4=/3x0:700x465/750x500/data/photo/2022/08/25/6306b48bb80a1.jpeg</t>
  </si>
  <si>
    <t>Bakung segar</t>
  </si>
  <si>
    <t>https://assets.kompasiana.com/statics/files/14145651141145946500.jpg?t=o&amp;v=700?t=o&amp;v=110</t>
  </si>
  <si>
    <t>Bakwan</t>
  </si>
  <si>
    <t>https://i0.wp.com/resepkoki.id/wp-content/uploads/2019/04/Resep-Bakwan-Jagung-1.jpg?fit=1749%2C1920&amp;ssl=1</t>
  </si>
  <si>
    <t>Baligo</t>
  </si>
  <si>
    <t>https://rimbakita.com/wp-content/uploads/2020/08/kundur.jpg</t>
  </si>
  <si>
    <t>Bantal</t>
  </si>
  <si>
    <t>https://cdn.idntimes.com/content-images/community/2020/11/kue-bantal-sumber-ig-at-terunededarementaram-e3a62b69fc2f582e3148201ce8d68802_600x400.jpg</t>
  </si>
  <si>
    <t>Barongko</t>
  </si>
  <si>
    <t>https://upload.wikimedia.org/wikipedia/commons/5/5e/Barongko_hendak_dimakan.jpg</t>
  </si>
  <si>
    <t>Batang Tading</t>
  </si>
  <si>
    <t>https://i0.wp.com/bukanarjuna.com/wp-content/uploads/2019/11/batang-teratai.jpg?resize=680%2C453&amp;ssl=1</t>
  </si>
  <si>
    <t>Batar daan</t>
  </si>
  <si>
    <t>https://foreignfork.com/wp-content/uploads/2020/11/Batar-daan-7-scaled.jpg</t>
  </si>
  <si>
    <t>Batatas gembili segar</t>
  </si>
  <si>
    <t>https://cf.shopee.co.id/file/b49af4eb7afe41c41e9246a0005b843f</t>
  </si>
  <si>
    <t>Batatas kelapa ubi bakar</t>
  </si>
  <si>
    <t>https://img-global.cpcdn.com/recipes/95d754afdf8eb1f2/1200x630cq70/photo.jpg</t>
  </si>
  <si>
    <t>Batatas kelapa ubi kukus</t>
  </si>
  <si>
    <t>https://img-global.cpcdn.com/recipes/9f91679fd1ba49f0/680x482cq70/singkong-kukus-toping-kelapa-parut-foto-resep-utama.jpg</t>
  </si>
  <si>
    <t>Batatas kelapa ubi segar</t>
  </si>
  <si>
    <t>https://th.bing.com/th?id=ABTE8B1595CD1C0C5A990C01CE78BE64402674F61A3C217A9FF9CCB31D6F7E9E29A&amp;w=1144&amp;h=568&amp;c=1</t>
  </si>
  <si>
    <t>Batatas tali ubi rebus</t>
  </si>
  <si>
    <t>https://img-global.cpcdn.com/recipes/f9664da25cda52e4/1200x630cq70/photo.jpg</t>
  </si>
  <si>
    <t>Bawang Bombay</t>
  </si>
  <si>
    <t>https://res.cloudinary.com/dk0z4ums3/image/upload/v1621837004/attached_image/berbagai-nutrisi-di-balik-manfaat-bombay.jpg</t>
  </si>
  <si>
    <t>Bawang Merah</t>
  </si>
  <si>
    <t>https://cdn.shopify.com/s/files/1/0369/8321/0116/products/015_640x.jpg?v=1646380408</t>
  </si>
  <si>
    <t>Bawang Putih</t>
  </si>
  <si>
    <t>https://www.astronauts.id/blog/wp-content/uploads/2022/11/Manfaat-Bawang-Putih-Untuk-Kulit-yang-Tidak-Banyak-Tahu.jpg</t>
  </si>
  <si>
    <t>Bayam kukus</t>
  </si>
  <si>
    <t>https://img-global.cpcdn.com/recipes/ff942e133f5dc64e/680x482cq70/bayam-kukus-foto-resep-utama.jpg</t>
  </si>
  <si>
    <t>Bayam Merah</t>
  </si>
  <si>
    <t>https://d1vbn70lmn1nqe.cloudfront.net/prod/wp-content/uploads/2021/10/15060945/manfaat-bayam-merah-yang-jarang-diketahui-halodoc.jpg</t>
  </si>
  <si>
    <t>Bayam merah segar</t>
  </si>
  <si>
    <t>https://images.tokopedia.net/img/cache/700/VqbcmM/2020/10/28/6efbc93d-e05c-4446-8c6c-c6d401dc7407.jpg</t>
  </si>
  <si>
    <t>Bayam rebus</t>
  </si>
  <si>
    <t>https://img-global.cpcdn.com/recipes/5be8dc1e0002f811/1200x630cq70/photo.jpg</t>
  </si>
  <si>
    <t>Bayam segar</t>
  </si>
  <si>
    <t>https://mitalom.com/wp-content/uploads/2015/10/Gambar-Daun-Bayam.jpg</t>
  </si>
  <si>
    <t>Bayam tumis + oncom</t>
  </si>
  <si>
    <t>https://blue.kumparan.com/image/upload/fl_progressive,fl_lossy,c_fill,q_auto:best,w_640/v1601173915/chhxzj6dnkwkryigiyrl.jpg</t>
  </si>
  <si>
    <t>Bayam tumis bersantan</t>
  </si>
  <si>
    <t>https://img.kurio.network/FnRZ04iY18q6h7oJzzZDFZOD5Zk=/1200x1200/filters:quality(80)/https://kurio-img.kurioapps.com/21/04/07/2ab69e8a-370d-460a-89ac-0efadafee196.jpe</t>
  </si>
  <si>
    <t>Bebek (itik)</t>
  </si>
  <si>
    <t>https://asset.kompas.com/crops/6unVsacqX8mpZ19lviQLxyDPCoI=/0x0:1000x667/750x500/data/photo/2020/11/03/5fa0cee5cb3cf.jpg</t>
  </si>
  <si>
    <t>Bebek alabio daging segar</t>
  </si>
  <si>
    <t>https://medioenblog.files.wordpress.com/2018/02/bebek.jpg</t>
  </si>
  <si>
    <t>Bebek daging goreng</t>
  </si>
  <si>
    <t>https://asset.kompas.com/crops/y8jlET9Zwl-5iykdc5t58sS-_KY=/0x52:1000x719/750x500/data/photo/2020/07/14/5f0d253a6edd5.jpg</t>
  </si>
  <si>
    <t>Beberuk</t>
  </si>
  <si>
    <t>https://s.kaskus.id/images/2019/11/21/10218416_20191121013811.jpg</t>
  </si>
  <si>
    <t>Beef burger</t>
  </si>
  <si>
    <t>https://cdn.id9.site/burgerax/media/2020/09/beef-burger-e1644156606108.jpeg</t>
  </si>
  <si>
    <t>Beef teriyaki masakan</t>
  </si>
  <si>
    <t>https://www.masakapahariini.com/wp-content/uploads/2020/12/resep-beef-teriyaki-2-500x300.jpg</t>
  </si>
  <si>
    <t>Beef yakiniku masakan</t>
  </si>
  <si>
    <t>https://asset.kompas.com/crops/awoHyKStB8lI_yqs1PTI3VjIHsE=/78x42:958x629/750x500/data/photo/2022/12/08/6391613d09412.jpg</t>
  </si>
  <si>
    <t>Bekasam</t>
  </si>
  <si>
    <t>https://assets-a1.kompasiana.com/items/album/2021/11/13/bekasam-kuliner-fermentasi-khas-wong-sumsel-shd-1-removebg-preview-618f54d2c26b771c5c083212.png</t>
  </si>
  <si>
    <t>Bekasang</t>
  </si>
  <si>
    <t>https://www.surabayapagi.com/po-content/photo/big/a782bead716a8dbee3762c8c79ec4e54.jpg</t>
  </si>
  <si>
    <t>Belibis daging segar</t>
  </si>
  <si>
    <t>https://assets.tokko.io/2bbdc42e-f0c6-494e-ae09-9d177af2ec61/products/images/cc352d35-2818-45ed-9a63-03f4fbd2247b</t>
  </si>
  <si>
    <t>Belimbing</t>
  </si>
  <si>
    <t>https://cdn0-production-images-kly.akamaized.net/vVBJG9Flt0ncPec4-hGyZftu4og=/1200x900/smart/filters:quality(75):strip_icc():format(jpeg)/kly-media-production/medias/2778801/original/086460500_1556885614-belimbing.jpg</t>
  </si>
  <si>
    <t>Belitung talas kukus</t>
  </si>
  <si>
    <t>https://asset-a.grid.id/crop/0x0:0x0/700x0/photo/2020/06/29/1496174786.jpg</t>
  </si>
  <si>
    <t>Belut goreng</t>
  </si>
  <si>
    <t>https://asset.kompas.com/crops/EIwKgK9ZA21scjpbrA9zMJehUIU=/100x67:900x600/750x500/data/photo/2021/03/23/6059483f259e2.jpeg</t>
  </si>
  <si>
    <t>Belut segar</t>
  </si>
  <si>
    <t>https://cdn0-production-images-kly.akamaized.net/dzEIf_Zb-p6ktRAywNdWHoTH5Wg=/1200x900/smart/filters:quality(75):strip_icc():format(jpeg)/kly-media-production/medias/2760114/original/080217400_1553484954-Cara_budidaya_belut.jpg</t>
  </si>
  <si>
    <t>Belutlaut segar</t>
  </si>
  <si>
    <t>https://mfcepusluh.bpsdmkp.kkp.go.id/asset/foto_berita/SIDAT_OK_-1.jpg</t>
  </si>
  <si>
    <t>Bengkuang</t>
  </si>
  <si>
    <t>https://jovee.id/wp-content/uploads/2020/11/shutterstock_1830526784.jpg</t>
  </si>
  <si>
    <t>Bentul (Komba)  talas segar</t>
  </si>
  <si>
    <t>https://sampangkabmuseumjatim.files.wordpress.com/2014/08/talas.jpg</t>
  </si>
  <si>
    <t>Bentul talas kukus</t>
  </si>
  <si>
    <t>https://i.ytimg.com/vi/zJ9Rg_MIGfY/maxresdefault.jpg</t>
  </si>
  <si>
    <t>Beras Cerdas</t>
  </si>
  <si>
    <t>https://1.bp.blogspot.com/-bI9SR2CfOMQ/VIuCEHs40eI/AAAAAAAAAK8/iE3VYEXXno8/s1600/1460018_556060297809682_917149226_n.jpg</t>
  </si>
  <si>
    <t>Beras ganyong</t>
  </si>
  <si>
    <t>https://www.agrofarm.co.id/wp-content/uploads/2022/04/Ganyong-e1651331774497.jpg</t>
  </si>
  <si>
    <t>Beras Giling</t>
  </si>
  <si>
    <t>https://images.pexels.com/photos/4187621/pexels-photo-4187621.jpeg?auto=compress&amp;cs=tinysrgb&amp;w=1260&amp;h=750&amp;dpr=1</t>
  </si>
  <si>
    <t xml:space="preserve">Beras Giling masak (nasi) </t>
  </si>
  <si>
    <t>https://e0.pxfuel.com/wallpapers/769/103/desktop-wallpaper-white-rice-rice-bowl.jpg</t>
  </si>
  <si>
    <t>Beras giling mentah</t>
  </si>
  <si>
    <t>https://id-test-11.slatic.net/p/f39461bcbf996f071c0e206b97d62889.jpg</t>
  </si>
  <si>
    <t>Beras giling var pelita mentah</t>
  </si>
  <si>
    <t>https://rottebakery.com/wp-content/uploads/2022/06/white-rice-flour-small-bowl-with-rice-plant.jpg</t>
  </si>
  <si>
    <t>Beras giling var rojolele mentah</t>
  </si>
  <si>
    <t>https://s0.bukalapak.com/img/06431812631/large/BERAS_ROJOLELE_25KG.png</t>
  </si>
  <si>
    <t>Beras hitam mentah</t>
  </si>
  <si>
    <t>https://statik.tempo.co/data/2022/01/25/id_1083329/1083329_720.jpg</t>
  </si>
  <si>
    <t>Beras jagung kuning kering mentah</t>
  </si>
  <si>
    <t>https://thumbs.vdvc.id/olret/images/original/2022/07/21/62d900a97984b-manfaat-tepung-jagung_olret.jpg</t>
  </si>
  <si>
    <t>Beras jagung putih kering mentah</t>
  </si>
  <si>
    <t>https://awsimages.detik.net.id/community/media/visual/2016/05/06/8a8ccd2e-6879-4e3a-9082-e632e117354c.jpg?w=852</t>
  </si>
  <si>
    <t>Beras Ketan Hitam</t>
  </si>
  <si>
    <t>https://img.herstory.co.id/articles/archive_20211203/beras-hitam-20211203-092358.jpg</t>
  </si>
  <si>
    <t>Beras Ketan Hitam kukus</t>
  </si>
  <si>
    <t>https://img.freepik.com/free-photo/purple-rice-berries-cooked-wooden-dish-with-mint-leaves_1150-19858.jpg?w=1060&amp;t=st=1683884169~exp=1683884769~hmac=cbae358960d57fe16933cd26ccb63b1353dd59576d26b5334b0f7a9f732a4539</t>
  </si>
  <si>
    <t>Beras Ketan Hitam tape</t>
  </si>
  <si>
    <t>https://images.tokopedia.net/img/cache/500-square/VqbcmM/2021/5/19/6313260c-769d-4875-a3b2-ab4681eff412.jpg</t>
  </si>
  <si>
    <t>Beras Ketan Hitam tumbuk</t>
  </si>
  <si>
    <t>https://ceklist.id/wp-content/uploads/2021/08/Tepung-Ketan-Hitam-Terbaik.jpg</t>
  </si>
  <si>
    <t>Beras ketan hitam tumbuk mentah</t>
  </si>
  <si>
    <t>Beras Ketan Putih</t>
  </si>
  <si>
    <t>https://img.freepik.com/free-photo/milled-rice-bowl-wooden-spoon-black-cement-floor_1150-20058.jpg?w=1060&amp;t=st=1683884494~exp=1683885094~hmac=087d2b8d5b7ba0d5d39291bc84cfdab7dd5e308ae534fd542be811d73f1b8eed</t>
  </si>
  <si>
    <t>Beras Ketan Putih kukus</t>
  </si>
  <si>
    <t>https://img.freepik.com/free-photo/white-rice-is-placed-cup-wooden-floor_1150-26270.jpg?w=1060&amp;t=st=1683884551~exp=1683885151~hmac=a53080997cbf768ead7314bfb2a4eb430be3da2f4caefbe22061ff25aa62d18d</t>
  </si>
  <si>
    <t>Beras Ketan Putih tape</t>
  </si>
  <si>
    <t>https://awsimages.detik.net.id/community/media/visual/2020/06/23/tape-ketan-putih-2.jpeg?w=1280</t>
  </si>
  <si>
    <t>Beras Ketan Putih tumbuk</t>
  </si>
  <si>
    <t>https://www.melatiputrajaya.com/wp-content/uploads/2021/02/Tepung-Beras-Ketan-sumber-Bola-Keluarga.jpg</t>
  </si>
  <si>
    <t>Beras ketan putih tumbuk mentah</t>
  </si>
  <si>
    <t>https://s1.bukalapak.com/img/13260261701/large/data.jpeg</t>
  </si>
  <si>
    <t>Beras ladang mentah</t>
  </si>
  <si>
    <t>https://cf.shopee.co.id/file/7ba3bd8d1b35213b450210a2d8a7bebe</t>
  </si>
  <si>
    <t>Beras Menir</t>
  </si>
  <si>
    <t>https://s1.bukalapak.com/img/11085064122/large/Beras_Menir_Kiloan.jpg</t>
  </si>
  <si>
    <t>Beras menir mentah</t>
  </si>
  <si>
    <t>https://cf.shopee.co.id/file/545e238984fb60430e0c5974baa50a67</t>
  </si>
  <si>
    <t>Beras Merah tumbuk</t>
  </si>
  <si>
    <t>https://i0.wp.com/gitacinta.com/wp-content/uploads/2022/06/tepung-beras-merah.jpg?resize=650%2C276&amp;ssl=1</t>
  </si>
  <si>
    <t>Beras Parboiled</t>
  </si>
  <si>
    <t>https://nilaigizi.com/assets/images/produk/produk_1565756452.jpeg</t>
  </si>
  <si>
    <t>Beras parboiled</t>
  </si>
  <si>
    <t>https://media.istockphoto.com/id/682901376/id/foto/kantong-penuh-beras-parboiled.jpg?s=170667a&amp;w=0&amp;k=20&amp;c=XIjpCICb6eaZjgGTPXA-gGGo2EQHtQmwnNHny3ce_m8=</t>
  </si>
  <si>
    <t>Beras Pecah Kulit</t>
  </si>
  <si>
    <t>https://media.savitri.co.id/content/uploads/2020/11/05111454/Beras-Pecah-Kulit-2-scaled.jpg</t>
  </si>
  <si>
    <t>Beras Setengah Giling</t>
  </si>
  <si>
    <t>https://media.istockphoto.com/id/1028702012/id/foto/beras-beras-setengah-giling-atau-beras-sekam.jpg?s=170667a&amp;w=0&amp;k=20&amp;c=Jb-uK5CIE8eS7em_tTN1mI7vwFDbh_D3-ud50g1ODjc=</t>
  </si>
  <si>
    <t>Beras Siger</t>
  </si>
  <si>
    <t>https://www.goodnewsfromindonesia.id/uploads/post/large-beras-singkong-6b6d1b3932ec72a9012d9307b84fd243.jpg</t>
  </si>
  <si>
    <t>Beras tumbuk mentah</t>
  </si>
  <si>
    <t>https://nilaigizi.com/assets/images/produk/produk_1565756824.jpeg</t>
  </si>
  <si>
    <t>Beras tumbuk merah mentah</t>
  </si>
  <si>
    <t>https://www.faunadanflora.com/wp-content/uploads/2016/10/Kandungan-gizi-serta-manfaat-beras-merah-bagi-kesehatan.jpg</t>
  </si>
  <si>
    <t>Betok wadi masakan</t>
  </si>
  <si>
    <t>https://images.tokopedia.net/img/cache/700/VqbcmM/2021/11/29/26184a0a-29ed-48dc-9c82-ca5e70c66b39.jpg</t>
  </si>
  <si>
    <t>Bihun</t>
  </si>
  <si>
    <t>https://ik.imagekit.io/dcjlghyytp1/2020/03/curry-1609780_1920.jpg?tr=f-auto</t>
  </si>
  <si>
    <t xml:space="preserve">Bihun Goreng </t>
  </si>
  <si>
    <t>https://img.kurio.network/ZxAfF4qJQbpTcsTwVZ5fxE-8_no=/1200x1200/filters:quality(80)/https://kurio-img.kurioapps.com/21/10/17/f29f0fe9-7b93-498a-a6fe-2e0abc82e509.jpe</t>
  </si>
  <si>
    <t>Bihun goreng instan</t>
  </si>
  <si>
    <t>https://img-global.cpcdn.com/recipes/98b4c2fca1b1e699/1200x630cq70/photo.jpg</t>
  </si>
  <si>
    <t>Bihun Jagung mentah</t>
  </si>
  <si>
    <t>https://cdn.idntimes.com/content-images/post/20190917/ts3-afd6374f037588e5b1267149563c6ce7.jpg</t>
  </si>
  <si>
    <t>Bihun mentah</t>
  </si>
  <si>
    <t>https://asset.kompas.com/crops/dTUuoSNNMAy7MfUGn3xsMru6iQY=/0x0:1000x667/780x390/data/photo/2020/10/25/5f9537b7649a3.jpg</t>
  </si>
  <si>
    <t>Biji Jambu Mete</t>
  </si>
  <si>
    <t>https://static.republika.co.id/uploads/images/inpicture_slide/biji-jambu-mete-seorang-warga-menunjukkan-biji-jambu-mete-_121124152601-814.jpg</t>
  </si>
  <si>
    <t>Biji Jambu Mete goreng</t>
  </si>
  <si>
    <t>https://jovee.id/wp-content/uploads/2020/09/KACANGMEDE.jpg</t>
  </si>
  <si>
    <t>Biji nangka/Biji salak</t>
  </si>
  <si>
    <t>https://img-global.cpcdn.com/recipes/0df60642ab5496ab/680x482cq70/122-biji-salak-ber-nangka-foto-resep-utama.jpg</t>
  </si>
  <si>
    <t>Bika ambon</t>
  </si>
  <si>
    <t>https://upload.wikimedia.org/wikipedia/commons/4/43/Kue_bika_ambon.JPG</t>
  </si>
  <si>
    <t xml:space="preserve">Bika Ambon </t>
  </si>
  <si>
    <t>https://kurio-img.kurioapps.com/21/08/09/550ddc82-8004-49fe-a427-197fead4eec3.jpe</t>
  </si>
  <si>
    <t>Bir (4% alkohol)</t>
  </si>
  <si>
    <t>https://img-cdn.medkomtek.com/9nrwopmWH6OZWfzLJFo3sIIrBns=/0x0/smart/filters:quality(75):strip_icc():format(webp)/article/gHEIB2nYYci1BklN8-Ocn/original/014067600_1615200086-kadar-alkohol-di-dalam-berbagai-jenis-minuman-keras.jpg</t>
  </si>
  <si>
    <t>Biskuit</t>
  </si>
  <si>
    <t>https://s4.bukalapak.com/bukalapak-kontenz-production/content_attachments/57314/original/main_merek_biskuit_enak_shutterstock.jpg</t>
  </si>
  <si>
    <t>Bit</t>
  </si>
  <si>
    <t>https://static.honestdocs.id/system/blog_articles/main_hero_images/000/002/304/original/14_Manfaat_Buah_Bit_Bagi_Kesehatan_Tubuh.jpg</t>
  </si>
  <si>
    <t>Biwah segar</t>
  </si>
  <si>
    <t>https://cdn.idntimes.com/content-images/community/2019/07/big-1358231-960-720-8ba3de334ccaf29bc9502faa35dd8283_600x400.jpg</t>
  </si>
  <si>
    <t>Bonggol Pisang</t>
  </si>
  <si>
    <t>https://lzd-img-global.slatic.net/g/ff/kf/S1463a138f13a4911a9d6d535825ddb61O.jpg_720x720q80.jpg</t>
  </si>
  <si>
    <t>Bonggol Pisang kering</t>
  </si>
  <si>
    <t>https://www.pertanianku.com/wp-content/uploads/2021/04/Keripik-Bonggol-Pisang-Berhasil-Tembus-Pasar-Ekspor.jpg</t>
  </si>
  <si>
    <t>Bongkrek (tempe bungkil)</t>
  </si>
  <si>
    <t>https://cf.shopee.co.id/file/a7769b06122c01b56b932750fdbbd06d</t>
  </si>
  <si>
    <t>Boros Kunci</t>
  </si>
  <si>
    <t>https://assets-a1.kompasiana.com/items/album/2021/01/23/img-20201215-wa0054fix-600b9bfdd541df5c9d4c6c52.jpg</t>
  </si>
  <si>
    <t>Boros Laja (lengkuas)</t>
  </si>
  <si>
    <t>https://nilaigizi.com/assets/images/produk/produk_1537342919.png</t>
  </si>
  <si>
    <t>Botok lamtoro</t>
  </si>
  <si>
    <t>https://sweetrip.id/wp-content/uploads/2022/05/botok-lamtoro.jpg</t>
  </si>
  <si>
    <t>Brem</t>
  </si>
  <si>
    <t>https://upload.wikimedia.org/wikipedia/commons/c/c4/Brem_Madiun.JPG</t>
  </si>
  <si>
    <t xml:space="preserve">Brondong </t>
  </si>
  <si>
    <t>https://cdn.idntimes.com/content-images/community/2020/07/lg-k15522919710053-2-25e6aa2e5c1611522cabcd2dad7de10f.jpg</t>
  </si>
  <si>
    <t>Brongkos</t>
  </si>
  <si>
    <t>https://asset.kompas.com/crops/GCuybR2DVru6BFg_rszv6WI4n_g=/0x0:1000x667/780x390/data/photo/2020/11/02/5f9f84e0407e9.jpg</t>
  </si>
  <si>
    <t>Buah Atung</t>
  </si>
  <si>
    <t>https://docplayer.info/docs-images/102/153072846/images/35-4.jpg</t>
  </si>
  <si>
    <t>Buah kelenting segar</t>
  </si>
  <si>
    <t>https://bibitbunga.com/wp-content/uploads/2016/09/tanaman-labu-madu-butternut-squash.jpg</t>
  </si>
  <si>
    <t>Buah kelor</t>
  </si>
  <si>
    <t>https://statik.tempo.co/data/2020/09/18/id_967992/967992_720.jpg</t>
  </si>
  <si>
    <t>Buah kom segar</t>
  </si>
  <si>
    <t>https://images.tokopedia.net/img/cache/500-square/VqbcmM/2021/2/25/8a8932b4-ab82-4346-835e-07171fc1afec.jpg</t>
  </si>
  <si>
    <t>Buah Mentega (bisbul)</t>
  </si>
  <si>
    <t>https://cdns.klimg.com/merdeka.com/i/w/news/2020/07/07/1195681/content_images/670x335/20200707152852-1-ilsutrasi-buah-mentega-atau-bisbul-002-nurul-diva-kautsar.jpg</t>
  </si>
  <si>
    <t>Buah merah</t>
  </si>
  <si>
    <t>https://suaramandiri.co/wp-content/uploads/2023/03/Buah-Merah-Papua.jpg</t>
  </si>
  <si>
    <t>Buah Naga Merah segar</t>
  </si>
  <si>
    <t>https://www.static-src.com/wcsstore/Indraprastha/images/catalog/full//85/MTA-51432240/no-brand_buah-naga-merah-segar-fresh-1-pcs_full01.jpg</t>
  </si>
  <si>
    <t>Buah Naga Putih segar</t>
  </si>
  <si>
    <t>https://cf.shopee.co.id/file/957f1f3ed49275a0fe2f2d9ac37524e4</t>
  </si>
  <si>
    <t>Buah negri segar</t>
  </si>
  <si>
    <t>https://res.cloudinary.com/dk0z4ums3/image/upload/v1648442001/attached_image/manfaat-buah-markisa-yang-perlu-anda-ketahui.jpg</t>
  </si>
  <si>
    <t>Buah Nona</t>
  </si>
  <si>
    <t>https://www.pantau.com/wp-content/uploads/2022/04/191111044328-buah-nona-buah-langka-yang-memiliki-segundang-manfaat-bagi-kesehatan.jpg</t>
  </si>
  <si>
    <t>Buah rotan segar</t>
  </si>
  <si>
    <t>https://images.tokopedia.net/img/cache/700/hDjmkQ/2022/4/12/ad4d114e-599c-444e-9c1f-afa012cc8316.jpg</t>
  </si>
  <si>
    <t>Buah rukam segar</t>
  </si>
  <si>
    <t>https://manfaat.co.id/wp-content/uploads/2017/08/Screenshot_2.png</t>
  </si>
  <si>
    <t>Buah ruruhi segar</t>
  </si>
  <si>
    <t>https://cdn.shopify.com/s/files/1/0622/5965/9011/products/1_a8cfaab8-ecf5-41e0-a3fa-afc050a13393_1445x.jpg?v=1657438074</t>
  </si>
  <si>
    <t>Buah tuppa segar</t>
  </si>
  <si>
    <t>https://drive.google.com/file/d/1LZOGoU3M3XcPbU5_HaAZ26ybCTbiTXpT/view?usp=sharing</t>
  </si>
  <si>
    <t>Buaya daging dendeng mentah</t>
  </si>
  <si>
    <t>https://cf.shopee.co.id/file/e818d175e0423862b94c46e45e1ce055</t>
  </si>
  <si>
    <t xml:space="preserve">Bubur </t>
  </si>
  <si>
    <t>https://awsimages.detik.net.id/community/media/visual/2021/12/13/resep-bubur-ayam-cincang_43.jpeg?w=1200</t>
  </si>
  <si>
    <t>Bubur sagu</t>
  </si>
  <si>
    <t>https://img-global.cpcdn.com/recipes/541f0543f5b40b2a/680x482cq70/bubur-sagu-foto-resep-utama.jpg</t>
  </si>
  <si>
    <t>Bubur tinotuan (Manado)</t>
  </si>
  <si>
    <t>https://asset.kompas.com/crops/8IPl4RcIfLh3fkwXhKHPuPHqoz8=/81x22:892x563/750x500/data/photo/2020/05/13/5ebbdec618a37.jpg</t>
  </si>
  <si>
    <t>Bulgogi masakan</t>
  </si>
  <si>
    <t>https://asset.kompas.com/crops/MGdiKvcc-R0j5purun8FmiLeX_U=/0x0:0x0/750x500/data/photo/2020/12/23/5fe2c9413a6ce.jpg</t>
  </si>
  <si>
    <t>Bulung Jajan</t>
  </si>
  <si>
    <t>https://chanelmuslim.com/wp-content/uploads/2016/04/jaje-bulung.jpg</t>
  </si>
  <si>
    <t>Bulung Sangu</t>
  </si>
  <si>
    <t>https://upload.wikimedia.org/wikipedia/commons/thumb/7/79/Bulung.jpg/1200px-Bulung.jpg</t>
  </si>
  <si>
    <t>Buncis</t>
  </si>
  <si>
    <t>https://medicillin.com/admin/upload/images/information/584770af1e043.png</t>
  </si>
  <si>
    <t>Buncis asam</t>
  </si>
  <si>
    <t>https://asset-a.grid.id/crop/0x0:0x0/700x465/photo/sasefoto/original/35264_asem-asem-buncis.JPG</t>
  </si>
  <si>
    <t>Buncis rebus</t>
  </si>
  <si>
    <t>https://d1vbn70lmn1nqe.cloudfront.net/prod/wp-content/uploads/2022/11/15080206/selain-enak-ini-manfaat-buncis-rebus-yang-baik-untuk-kesehatan-halodoc.jpg</t>
  </si>
  <si>
    <t>Bunga pepaya segar</t>
  </si>
  <si>
    <t>https://images.tokopedia.net/img/cache/500-square/product-1/2017/11/18/6350250/6350250_3b502bca-8413-4817-8625-302d3e4a21c0_626_381.jpg</t>
  </si>
  <si>
    <t>Bunga turi segar</t>
  </si>
  <si>
    <t>https://images.tokopedia.net/img/cache/500-square/VqbcmM/2021/4/19/7e20d10e-a941-42aa-830a-bfa672dc2a81.jpg</t>
  </si>
  <si>
    <t>Bungkil Biji Karet</t>
  </si>
  <si>
    <t>https://www.pertanianku.com/wp-content/uploads/2021/04/Manfaat-Biji-Karet-Selain-Jadi-Benih.jpg</t>
  </si>
  <si>
    <t>Bungkil Kacang Tanah</t>
  </si>
  <si>
    <t>https://images.tokopedia.net/img/cache/700/VqbcmM/2021/10/20/34e1ca8b-cb9d-46ae-8088-0c9ea431f9f6.jpg</t>
  </si>
  <si>
    <t>Bungkil Kelapa</t>
  </si>
  <si>
    <t>https://images.tokopedia.net/img/cache/700/hDjmkQ/2022/1/29/4e91f29e-92d7-4178-a7d2-774f994714e1.jpg</t>
  </si>
  <si>
    <t xml:space="preserve">Buntil </t>
  </si>
  <si>
    <t>https://asset.kompas.com/crops/vCayyRtg4fGtL3Y9EnpXrWr_TIw=/3x0:700x465/750x500/data/photo/2021/02/08/6020e623372b3.jpg</t>
  </si>
  <si>
    <t>Buntil daun talas</t>
  </si>
  <si>
    <t>https://i0.wp.com/borobudurnews.com/wp-content/uploads/2021/05/buntil-daun-talas-khas-Magelang.jpg?fit=979%2C579&amp;ssl=1</t>
  </si>
  <si>
    <t xml:space="preserve">Buras </t>
  </si>
  <si>
    <t>https://www.masakapahariini.com/wp-content/uploads/2022/06/resep-buras.jpg</t>
  </si>
  <si>
    <t>Burung sarang segar</t>
  </si>
  <si>
    <t>https://premiumnest-5c4c.kxcdn.com/wp-content/uploads/2016/07/SS_white_900x600-4.jpg</t>
  </si>
  <si>
    <t>Cabai gembor merah segar</t>
  </si>
  <si>
    <t>https://id-test-11.slatic.net/p/26cd07379e953e1da920c5c6d5b4bf00.jpg</t>
  </si>
  <si>
    <t>Cabai hijau segar</t>
  </si>
  <si>
    <t>https://nilaigizi.com/assets/images/produk/produk_1537342967.jpg</t>
  </si>
  <si>
    <t>Cabai merah kering</t>
  </si>
  <si>
    <t>https://images.tokopedia.net/img/cache/700/product-1/2020/1/7/44364556/44364556_3ec62498-a7f5-4370-9a73-06ca62573e39_1024_1024</t>
  </si>
  <si>
    <t>Cabai merah segar</t>
  </si>
  <si>
    <t>https://asset-a.grid.id/crop/0x0:0x0/700x465/photo/2019/03/09/2750049933.jpg</t>
  </si>
  <si>
    <t>Cabai rawit segar</t>
  </si>
  <si>
    <t>https://asset.kompas.com/crops/0bQZazreqC3rXuoZOPv1FDQWLl4=/0x0:1000x667/750x500/data/photo/2020/03/26/5e7cbe05c9d12.jpg</t>
  </si>
  <si>
    <t>Caisin segar</t>
  </si>
  <si>
    <t>https://images.tokopedia.net/img/cache/700/product-1/2020/4/5/5400804/5400804_d23967b7-039f-4904-97d8-6a303aae6628_1051_1051.jpg</t>
  </si>
  <si>
    <t>Cakalang asar (asap papua)</t>
  </si>
  <si>
    <t>https://indonesiakaya.com/wp-content/uploads/2020/10/Ikan_Asar_yang_sudah_matang_dan_siap_untuk_disajikan_atau_diolah_lagi_.jpg</t>
  </si>
  <si>
    <t>Cake tape</t>
  </si>
  <si>
    <t>https://resepkoki.id/wp-content/uploads/2016/12/Resep-Bolu-Tape.jpg</t>
  </si>
  <si>
    <t>Cammetutu</t>
  </si>
  <si>
    <t>https://1.bp.blogspot.com/-Zmr_06Y7tCo/Xgw2ac9m9JI/AAAAAAAAEwg/qTFriUUdEGUpqOfGkkxvlY5STGOXhlUiQCLcBGAsYHQ/s1600/Camme%2BTuttu.png</t>
  </si>
  <si>
    <t>Cantel mentah</t>
  </si>
  <si>
    <t>https://nilaigizi.com/assets/images/produk/produk_1565757095.jpg</t>
  </si>
  <si>
    <t>Cap cai sayur</t>
  </si>
  <si>
    <t>https://awsimages.detik.net.id/community/media/visual/2021/12/25/resep-capcay-kuah-kental.jpeg?w=1200</t>
  </si>
  <si>
    <t>Carica papaya segar</t>
  </si>
  <si>
    <t>https://i0.wp.com/ygi.or.id/wp-content/uploads/2021/10/Manfaat-pepaya-www.ygi_.or_.id_.jpg?resize=678%2C381&amp;ssl=1</t>
  </si>
  <si>
    <t>Cassavastick</t>
  </si>
  <si>
    <t>https://img-global.cpcdn.com/recipes/28197e7ad5840e48/680x482cq70/cassava-cheese-stick-with-veggies-foto-resep-utama.jpg</t>
  </si>
  <si>
    <t>Cempedak</t>
  </si>
  <si>
    <t>https://images.genpi.co/uploads/kalbar/arsip/normal/2022/07/15/buah-cempedak-foto-istockphotocom-n3j5.jpg</t>
  </si>
  <si>
    <t>Cengkeh kering</t>
  </si>
  <si>
    <t>https://nilaigizi.com/assets/images/produk/produk_1537345513.jpg</t>
  </si>
  <si>
    <t>Centel</t>
  </si>
  <si>
    <t>https://img.freepik.com/free-photo/heap-millet-seeds-dark-background_1150-38166.jpg?w=1060&amp;t=st=1683885686~exp=1683886286~hmac=d9a1010ca20cfd33db12bc7a1c50098ab7bba4f439fd6de5ee690bc62d2f9230</t>
  </si>
  <si>
    <t>Ceriping getuk singkong</t>
  </si>
  <si>
    <t>https://cf.shopee.co.id/file/ee6c6b19853ec0734ceff90d980e685c</t>
  </si>
  <si>
    <t>Chicken teriyaki masakan</t>
  </si>
  <si>
    <t>https://img-global.cpcdn.com/recipes/ff7dc38da72458fa/680x482cq70/ayam-teriyaki-ala-hokben-foto-resep-utama.jpg</t>
  </si>
  <si>
    <t>Chikiniku masakan</t>
  </si>
  <si>
    <t>Coklat bubuk</t>
  </si>
  <si>
    <t>https://static.sehatq.com/content/review/image/1622196432.jpeg</t>
  </si>
  <si>
    <t>Coklat Manis batang</t>
  </si>
  <si>
    <t>https://www.mampu.or.id/wp-content/uploads/2022/10/6007a9065cace.jpeg</t>
  </si>
  <si>
    <t>Coklat Pahit batang</t>
  </si>
  <si>
    <t>https://nilaigizi.com/assets/images/produk/produk_1535873875.jpg</t>
  </si>
  <si>
    <t>Coklat Susu batang</t>
  </si>
  <si>
    <t>https://www.nyonyor.com/wp-content/uploads/2018/11/Harga-Coklat-Batangan-Terbaru-540x350.jpg</t>
  </si>
  <si>
    <t xml:space="preserve">Combro </t>
  </si>
  <si>
    <t>https://assets.suaramerdeka.com/crop/7x38:699x495/750x500/webp/photo/2021/11/01/2899515089.jpg</t>
  </si>
  <si>
    <t>Corned Beef</t>
  </si>
  <si>
    <t>https://www.jessicagavin.com/wp-content/uploads/2023/03/corned-beef-hash-15-1200.jpg</t>
  </si>
  <si>
    <t>Coto mangkasara kuda masakan</t>
  </si>
  <si>
    <t>https://eljohnnews.com/wp-content/uploads/2018/08/Wisata-Kuliner-Coto-Makassar.png</t>
  </si>
  <si>
    <t>Coto mangkasara sapi masakan</t>
  </si>
  <si>
    <t>https://asset.kompas.com/crops/ljY1r3f3HJaNEuLip3iARQOaK-E=/0x1226:3000x3226/750x500/data/photo/2021/06/11/60c2acf88c6f0.jpg</t>
  </si>
  <si>
    <t>Cue Selar Kuning</t>
  </si>
  <si>
    <t>https://images.tokopedia.net/img/cache/500-square/VqbcmM/2021/8/14/a5d8db60-6ecb-4ddc-9375-7d0e6c35ad79.jpg</t>
  </si>
  <si>
    <t>Cuka</t>
  </si>
  <si>
    <t>https://images.bisnis.com/posts/2021/02/01/1350454/cuka.jpg</t>
  </si>
  <si>
    <t>Cumi-cumi goreng</t>
  </si>
  <si>
    <t>https://i0.wp.com/resepmasakandapurarie.com/wp-content/uploads/2014/09/Resep-Cumi-Goreng-Tepung-Crispy-.jpg</t>
  </si>
  <si>
    <t>Cumi-cumi segar</t>
  </si>
  <si>
    <t>https://www.malang-guidance.com/wp-content/uploads/2018/02/Supplier-Cumi-Segar-Malang.jpg</t>
  </si>
  <si>
    <t>Daging Anak Sapi</t>
  </si>
  <si>
    <t>https://media.istockphoto.com/id/1138359907/id/foto/daging-escalope-potongan-daging-mentah.jpg?s=612x612&amp;w=0&amp;k=20&amp;c=z5mFkMyiVftjcWw5Ll8ghKdWcK0k6byDA6azNQXr7R8=</t>
  </si>
  <si>
    <t>Daging Asap</t>
  </si>
  <si>
    <t>https://asset.kompas.com/crops/hysnw0J-U1aA8CzBNW5j_uEC3s8=/0x476:1080x1196/750x500/data/photo/2022/03/22/6239bc36b14f4.jpg</t>
  </si>
  <si>
    <t>Daging Babi Gemuk</t>
  </si>
  <si>
    <t>https://assets.pikiran-rakyat.com/crop/0x53:1280x855/x/photo/2020/05/11/151297858.jpg</t>
  </si>
  <si>
    <t>Daging Babi Kurus</t>
  </si>
  <si>
    <t>https://png.pngtree.com/thumb_back/fw800/background/20220318/pngtree-photo-of-fresh-pork-and-lean-meat-image_1019860.jpg</t>
  </si>
  <si>
    <t>Daging Domba</t>
  </si>
  <si>
    <t>https://news.unair.ac.id/wp-content/uploads/2020/10/Daging-Domba.jpg</t>
  </si>
  <si>
    <t>Daging Kambing</t>
  </si>
  <si>
    <t>https://imgx.parapuan.co/crop/0x0:0x0/x/photo/2021/07/20/istock-538918713jpg-20210720042557.jpg</t>
  </si>
  <si>
    <t>Daging Kerbau</t>
  </si>
  <si>
    <t>https://awsimages.detik.net.id/community/media/visual/2016/07/15/209987a0-2b65-461e-aec5-e7432a4012f2_169.jpg?w=700&amp;q=90</t>
  </si>
  <si>
    <t>Daging Kuda</t>
  </si>
  <si>
    <t>https://awsimages.detik.net.id/community/media/visual/2021/07/29/fakta-daging-kuda-2.jpeg?w=724</t>
  </si>
  <si>
    <t>Daging Sapi</t>
  </si>
  <si>
    <t>https://asset.kompas.com/crops/loXNzgMXFEX_3avDpy_53_3rXsU=/1x0:1000x666/750x500/data/photo/2021/07/14/60ee601a87545.jpg</t>
  </si>
  <si>
    <t>Daun bangun-bangun segar</t>
  </si>
  <si>
    <t>https://assets-a1.kompasiana.com/items/album/2021/11/23/bangun-bangun-bks-619c4900c26b7758a7749f33.jpg</t>
  </si>
  <si>
    <t>Daun Bawang</t>
  </si>
  <si>
    <t>https://asset.kompas.com/crops/u8jpueVME4sJk32KP-0Rnjg9o1I=/479x0:1500x681/750x500/data/photo/2022/05/07/6275586c1ce7d.jpg</t>
  </si>
  <si>
    <t>Daun bawang  merah segar</t>
  </si>
  <si>
    <t>https://media.istockphoto.com/id/597675376/id/foto/daun-bawang-merah-segar.jpg?s=1024x1024&amp;w=is&amp;k=20&amp;c=vjx8lvI9LQGkXe24K8FT_GTriW-k3B1azWaSWpAiQwY=</t>
  </si>
  <si>
    <t>Daun bebuas segar</t>
  </si>
  <si>
    <t>https://images.tokopedia.net/img/cache/500-square/VqbcmM/2021/3/26/eb897228-88e3-49ce-8fad-40ba10721e37.jpg</t>
  </si>
  <si>
    <t>Daun belem segar</t>
  </si>
  <si>
    <t>https://lzd-img-global.slatic.net/g/p/92f6ecf8d15adbd5af6f3045c6bf6bbb.jpg_720x720q80.jpg</t>
  </si>
  <si>
    <t>Daun Beluntas</t>
  </si>
  <si>
    <t>https://res.cloudinary.com/dk0z4ums3/image/upload/v1616413651/attached_image/5-manfaat-daun-beluntas-untuk-kesehatan.jpg</t>
  </si>
  <si>
    <t>Daun Cincau</t>
  </si>
  <si>
    <t>https://cdns.klimg.com/merdeka.com/i/w/news/2020/09/04/1216320/content_images/670x335/20200904010226-2-ilustrasi-cincau-perdu-premna-oblongifolia-001-tantri-setyorini.jpg</t>
  </si>
  <si>
    <t>Daun Gandaria</t>
  </si>
  <si>
    <t>https://www.socfindoconservation.co.id/asset/plant/701-1-pterospermum-javanicum.jpg</t>
  </si>
  <si>
    <t>Daun gedi besar segar</t>
  </si>
  <si>
    <t>https://cdns.klimg.com/merdeka.com/i/w/news/2020/10/13/1231070/content_images/670x335/20201013233812-2-ilustrasi-daun-gedi-001-tantri-setyorini.jpg</t>
  </si>
  <si>
    <t>Daun gelang segar</t>
  </si>
  <si>
    <t>https://images.tokopedia.net/img/cache/700/product-1/2018/1/9/12396679/12396679_0dc228fb-e120-4f24-9d2e-da5123ba2f53_500_443.jpg</t>
  </si>
  <si>
    <t>Daun gunda bali segar</t>
  </si>
  <si>
    <t>https://www.satuharapan.com/uploads/pics/news_77177_1515750542.jpg</t>
  </si>
  <si>
    <t>Daun gunda serang segar</t>
  </si>
  <si>
    <t>https://www.satuharapan.com/uploads/pics/news_77177_1515750542.jpgg</t>
  </si>
  <si>
    <t>Daun Jambu Mete muda</t>
  </si>
  <si>
    <t>https://images.tokopedia.net/img/cache/500-square/VqbcmM/2022/6/12/d3d20ad6-e9fc-4656-9ad4-6ce95d19d6a4.jpg</t>
  </si>
  <si>
    <t>Daun jampang segar</t>
  </si>
  <si>
    <t>https://lzd-img-global.slatic.net/g/ff/kf/S414251a362064f0283c21a801e20329ci.jpg_720x720q80.jpg</t>
  </si>
  <si>
    <t>Daun jawaw seluang segar</t>
  </si>
  <si>
    <t>https://thumb.antvklik.com/images/thumbs/2022/11/28/638495d5b1931-daun-singkong_antvklik_1265_711.jpg</t>
  </si>
  <si>
    <t>Daun jonghe segar</t>
  </si>
  <si>
    <t>https://images.tokopedia.net/img/cache/700/VqbcmM/2021/12/28/698aba7a-5d6b-4adc-be53-9088d5c02d4c.jpg</t>
  </si>
  <si>
    <t>Daun kacang ma segar</t>
  </si>
  <si>
    <t>https://cdns.klimg.com/merdeka.com/i/w/news/2020/06/30/1193302/540x270/6-manfaat-daun-kacang-panjang-untuk-kesehatan-melancarkan-asi-hingga-cegah-anemia.jpg</t>
  </si>
  <si>
    <t>Daun Kacang Panjang</t>
  </si>
  <si>
    <t>https://assets-a2.kompasiana.com/items/album/2015/06/11/143403317310358818361.JPG?t=o&amp;v=500</t>
  </si>
  <si>
    <t>Daun Kacang Panjang kukus</t>
  </si>
  <si>
    <t>https://img-global.cpcdn.com/recipes/4ec6b371c573cabe/680x482cq70/sayur-bobor-lembayung-daun-kacang-panjang-foto-resep-utama.jpg</t>
  </si>
  <si>
    <t>Daun kacang panjang segar</t>
  </si>
  <si>
    <t>https://images.tokopedia.net/img/cache/500-square/VqbcmM/2021/2/4/5c0dd4cf-a160-41ef-8b53-d6fe2c574194.jpg</t>
  </si>
  <si>
    <t>Daun kasbi/singkong karet segar</t>
  </si>
  <si>
    <t>https://s1.bukalapak.com/img/63611371791/large/data.jpeg</t>
  </si>
  <si>
    <t>Daun Katuk</t>
  </si>
  <si>
    <t>https://sikia.unair.ac.id/wp-content/uploads/2022/04/daunkatuk.png</t>
  </si>
  <si>
    <t>Daun katuk rebus</t>
  </si>
  <si>
    <t>https://img-global.cpcdn.com/recipes/68161cf2088797fc/680x482cq70/rebus-daun-katuk-foto-resep-utama.jpg</t>
  </si>
  <si>
    <t>Daun katuk segar</t>
  </si>
  <si>
    <t>https://images.tokopedia.net/img/cache/500-square/product-1/2018/11/8/1626651/1626651_18da08cc-9923-436e-9efe-69934ac75af0_700_393.jpg</t>
  </si>
  <si>
    <t>Daun Kecipir</t>
  </si>
  <si>
    <t>https://1.bp.blogspot.com/-moRYlTt2bEM/X9bjZhiWvSI/AAAAAAAAD_c/nVwXkhZK_00JrQf6hOIrTdhb3J_Ci30cQCLcBGAsYHQ/s1055/Psophocarpus%2Btetragonolobus%2BKecipir%2B19.jpg</t>
  </si>
  <si>
    <t>Daun Kedondong</t>
  </si>
  <si>
    <t>https://images.tokopedia.net/img/cache/500-square/VqbcmM/2022/1/3/24b383ed-0957-44ff-a84e-63251c4d77ed.jpg</t>
  </si>
  <si>
    <t>Daun Kelor</t>
  </si>
  <si>
    <t>https://diskes.badungkab.go.id/storage/diskes/image/WhatsApp%20Image%202023-01-30%20at%2013.55.59.jpeg</t>
  </si>
  <si>
    <t>Daun Kelor rebus</t>
  </si>
  <si>
    <t>https://img-global.cpcdn.com/recipes/ed600b784cb28839/680x482cq70/daun-kelor-rebus-foto-resep-utama.jpg</t>
  </si>
  <si>
    <t>Daun Kemangi</t>
  </si>
  <si>
    <t>https://d1vbn70lmn1nqe.cloudfront.net/prod/wp-content/uploads/2021/11/01025747/ini-4-manfaat-daun-kemangi-yang-jarang-diketahui-halodoc.jpg</t>
  </si>
  <si>
    <t>Daun kenikir segar</t>
  </si>
  <si>
    <t>https://assets.ayobandung.com/crop/0x0:0x0/750x500/webp/photo/2022/12/18/1000776031.jpg</t>
  </si>
  <si>
    <t>Daun kesum segar</t>
  </si>
  <si>
    <t>https://id-test-11.slatic.net/p/764fec8a7c2b4aab6a2355fc945e85c7.png</t>
  </si>
  <si>
    <t>Daun kol sawi segar</t>
  </si>
  <si>
    <t>https://asset.kompas.com/crops/MsuwGORqaxVW-qpj97DoEK4RTLs=/293x0:1145x568/780x390/data/photo/2021/09/27/61517629bbd33.jpg</t>
  </si>
  <si>
    <t>Daun Koro</t>
  </si>
  <si>
    <t>https://tanamankoropedang.files.wordpress.com/2011/10/bunga-koro-pedang41.jpg</t>
  </si>
  <si>
    <t>Daun kubis segar</t>
  </si>
  <si>
    <t>https://nilaigizi.com/assets/images/produk/produk_1599051215.jpg</t>
  </si>
  <si>
    <t>Daun Kumak</t>
  </si>
  <si>
    <t>https://blog.kuranesia.com/wp-content/uploads/2020/12/siomak-makanan-kura-kura-1024x768.jpg</t>
  </si>
  <si>
    <t>Daun Labu Siam</t>
  </si>
  <si>
    <t>https://aksikata.com/wp-content/uploads/2019/05/daun-labu-siam.jpg</t>
  </si>
  <si>
    <t>Daun Labu Waluh</t>
  </si>
  <si>
    <t>https://www.parenting.co.id/img/images/B1.jpg</t>
  </si>
  <si>
    <t>Daun lamtoro segar</t>
  </si>
  <si>
    <t>https://images.tokopedia.net/img/cache/700/product-1/2019/8/18/2557427/2557427_56747d87-c701-4023-80e8-2afe684f3653_480_480.jpg</t>
  </si>
  <si>
    <t>Daun leilem segar</t>
  </si>
  <si>
    <t>https://images.tokopedia.net/img/cache/500-square/VqbcmM/2021/9/25/83b72d5f-d787-44e2-8948-a39c39825c37.jpg</t>
  </si>
  <si>
    <t>Daun Leunca</t>
  </si>
  <si>
    <t>https://www.bengkuluinteraktif.com/sites/default/files/articles/Pucuk%20Lumai.jpg</t>
  </si>
  <si>
    <t>Daun Lobak</t>
  </si>
  <si>
    <t>https://cms.sehatq.com/public/img/article_img/9-manfaat-daun-lobak-yang-tidak-diduga-duga-1606467271.jpg</t>
  </si>
  <si>
    <t>Daun Lompong Tales</t>
  </si>
  <si>
    <t>https://akcdn.detik.net.id/visual/2015/02/24/8175622a-42e8-494b-a380-e9a910f492bc_169.jpg?w=650</t>
  </si>
  <si>
    <t>Daun Mangkokan</t>
  </si>
  <si>
    <t>https://i0.wp.com/resepkoki.id/wp-content/uploads/2017/08/daun-mangkokan-sajian-sedap.jpg?fit=960%2C631&amp;ssl=1</t>
  </si>
  <si>
    <t>Daun matel ambon segar</t>
  </si>
  <si>
    <t>https://i.ytimg.com/vi/lPwmWQFW8nU/maxresdefault.jpg</t>
  </si>
  <si>
    <t>Daun Melinjo</t>
  </si>
  <si>
    <t>https://goleksayur.com/data/images/product/IMG10160.jpg</t>
  </si>
  <si>
    <t>Daun Mengkudu Kukus</t>
  </si>
  <si>
    <t>https://img-global.cpcdn.com/recipes/49833231f339c1b4/680x482cq70/pilas-pindang-daun-mengkudu-foto-resep-utama.jpg</t>
  </si>
  <si>
    <t>Daun ndusuk segar</t>
  </si>
  <si>
    <t>https://ngkiong.com/wp-content/uploads/2020/12/senggani-1-e1609032934136.jpg</t>
  </si>
  <si>
    <t>Daun Oyong</t>
  </si>
  <si>
    <t>https://arafuru.com/wp-content/uploads/2014/08/menanam-gambas-agar-tumbuh-subur.jpg</t>
  </si>
  <si>
    <t>Daun oyong segar</t>
  </si>
  <si>
    <t>https://cdn.antaranews.com/cache/730x487/2018/07/daun-oyong.jpg</t>
  </si>
  <si>
    <t>Daun Pakis</t>
  </si>
  <si>
    <t>https://d1vbn70lmn1nqe.cloudfront.net/prod/wp-content/uploads/2022/11/11085513/Jarang-Diketahui-Ini-X-Manfaat-Sayur-Pakis-bagi-Kesehatan.jpg</t>
  </si>
  <si>
    <t>Daun pakis longgiho segar</t>
  </si>
  <si>
    <t>https://id-live-01.slatic.net/p/e5fc6e2239f19bbaad5350801bd5ec35.jpg</t>
  </si>
  <si>
    <t>Daun pakis segar</t>
  </si>
  <si>
    <t>https://images.tokopedia.net/img/cache/700/VqbcmM/2021/8/4/fc5f220f-8450-4e87-b3a6-6f9d1704ba02.jpg</t>
  </si>
  <si>
    <t>Daun pakis wambateu segar</t>
  </si>
  <si>
    <t>https://id-test-11.slatic.net/p/9448936aa018ceea1ad7c824279ab700.jpg</t>
  </si>
  <si>
    <t>Daun paku segar</t>
  </si>
  <si>
    <t>https://images.tokopedia.net/img/cache/700/VqbcmM/2021/8/4/fc5f220f-8450-4e87-b3a6-6f9d1704ba02.jpgg</t>
  </si>
  <si>
    <t>Daun pangisegar</t>
  </si>
  <si>
    <t>https://img-cdn.medkomtek.com/rXX054UODp71SG3R3ZbIyuVlswY=/0x0/smart/filters:quality(75):strip_icc():format(webp)/article/cWS8XiCC8wtp6UT-piKna/original/057796300_1575283178-Daun-Pangi-Obati-HIV-AIDS-Mitos-atau-Fakta-by-basabali.jpg</t>
  </si>
  <si>
    <t>Daun pare segar</t>
  </si>
  <si>
    <t>https://images.tokopedia.net/img/cache/700/VqbcmM/2021/11/14/84ab160b-18bb-4c17-815c-b86869bcd9a2.jpg</t>
  </si>
  <si>
    <t>Daun pepaya segar</t>
  </si>
  <si>
    <t>https://images.tokopedia.net/img/cache/700/VqbcmM/2021/9/14/4beb22b7-d9e8-4689-9bb1-4446366b1b07.jpg</t>
  </si>
  <si>
    <t>Daun Pete Cina</t>
  </si>
  <si>
    <t>https://images.tokopedia.net/img/cache/500-square/VqbcmM/2020/10/20/4d5b4825-c15e-4361-a51f-9918e6fb5835.png</t>
  </si>
  <si>
    <t>Daun Poh-pohan</t>
  </si>
  <si>
    <t>https://cdns.klimg.com/merdeka.com/i/w/news/2020/11/09/1240320/content_images/670x335/20201109100132-1-daun-pohpohan-001-nurul-diva-kautsar.jpg</t>
  </si>
  <si>
    <t>Daun salam  bubuk</t>
  </si>
  <si>
    <t>https://nilaigizi.com/assets/images/produk/produk_1537345863.jpg</t>
  </si>
  <si>
    <t>Daun selasih segar</t>
  </si>
  <si>
    <t>https://asset-a.grid.id/crop/0x0:0x0/780x800/photo/bobofoto/original/20908_darimanakah-biji-selasih-berasal.jpg</t>
  </si>
  <si>
    <t>Daun Semanggi</t>
  </si>
  <si>
    <t>https://d39wptbp5at4nd.cloudfront.net/media/21696_original_Daun-Semanggi-768x576.jpg</t>
  </si>
  <si>
    <t>Daun semanggi segar</t>
  </si>
  <si>
    <t>https://images.tokopedia.net/img/cache/700/product-1/2016/6/6/7951466/7951466_2919c0d2-eeb8-404a-b52c-01d0a2a68662.jpg</t>
  </si>
  <si>
    <t>Daun simpur segar</t>
  </si>
  <si>
    <t>https://www.socfindoconservation.co.id/asset/plant/537-3-dillenia-suffruticosa-griff-ex-hook.jpg</t>
  </si>
  <si>
    <t>Daun singkil segar</t>
  </si>
  <si>
    <t>https://images.tokopedia.net/img/cache/700/VqbcmM/2020/7/8/a50ed9f6-7f6b-4a75-abd2-0d8b7aeb2f03.jpg</t>
  </si>
  <si>
    <t>Daun Singkong</t>
  </si>
  <si>
    <t>https://s3-publishing-cmn-svc-prd.s3.ap-southeast-1.amazonaws.com/article/k6oXuilGJwEixYI9s0ubT/original/043951600_1631871725-Berbagai_Manfaat_Daun_Singkong_untuk_Kesehatan_Anda.jpg</t>
  </si>
  <si>
    <t>Daun singkong ambon segar</t>
  </si>
  <si>
    <t>https://images.tokopedia.net/img/cache/700/product-1/2019/8/23/314662615/314662615_6e886ccb-20d5-4a20-9d8b-0a5b4f874482_494_494.jpg</t>
  </si>
  <si>
    <t>Daun singkong ampenan segar</t>
  </si>
  <si>
    <t>https://images.tokopedia.net/img/cache/500-square/VqbcmM/2022/1/12/3cf5787e-7ef3-4d2e-ac6b-28f9f8e2c872.jpg</t>
  </si>
  <si>
    <t>Daun singkong kopang segar</t>
  </si>
  <si>
    <t>https://ds393qgzrxwzn.cloudfront.net/resize/m500x500/cat1/img/images/0/xmCLZX6vfY.jpg</t>
  </si>
  <si>
    <t>Daun Singkong lodeh</t>
  </si>
  <si>
    <t>https://asset.kompas.com/crops/mxv9DRtBdiPbq6Lb9lPvPEn4Mtk=/0x0:1000x667/750x500/data/photo/2020/10/21/5f8f3ec62aee7.jpg</t>
  </si>
  <si>
    <t>Daun Singkong rebus</t>
  </si>
  <si>
    <t>https://img-global.cpcdn.com/recipes/0aba29b97a7b109f/680x482cq70/daun-singkong-rebus-ala-rm-padang-foto-resep-utama.jpg</t>
  </si>
  <si>
    <t>Daun singkong segar</t>
  </si>
  <si>
    <t>https://images.tokopedia.net/img/cache/500-square/VqbcmM/2021/3/14/5b176e26-9bf1-486e-ba6f-ec448cf01472.jpg</t>
  </si>
  <si>
    <t>Daun Sintrong</t>
  </si>
  <si>
    <t>https://images.tokopedia.net/img/cache/700/VqbcmM/2020/12/21/69e76fb4-86ba-4508-91a3-29ba9070212e.jpg</t>
  </si>
  <si>
    <t>Daun talas rebus</t>
  </si>
  <si>
    <t>https://archive.netralnews.com/foto/2020/04/13/76-daun_talas_sangat_lezat_dibuat_masakan_buntil.jpg</t>
  </si>
  <si>
    <t>Daun talas segar</t>
  </si>
  <si>
    <t>https://images.tokopedia.net/img/cache/700/product-1/2019/4/21/5808648/5808648_8744c29e-b9e5-475b-9c59-48324dc3e20e_348_348.jpg</t>
  </si>
  <si>
    <t>Daun Tales</t>
  </si>
  <si>
    <t>https://fisipol.uma.ac.id/wp-content/uploads/2022/12/daun-talas.jpg</t>
  </si>
  <si>
    <t>Daun Tales rebus</t>
  </si>
  <si>
    <t>https://cdn-2.tstatic.net/belitung/foto/bank/images/buntil-daun-talas.jpg</t>
  </si>
  <si>
    <t>Daun tespong segar</t>
  </si>
  <si>
    <t>https://images.tokopedia.net/img/cache/700/product-1/2020/6/11/batch-upload/batch-upload_c91521e8-a510-4026-8230-9be8e1313791.jpg</t>
  </si>
  <si>
    <t>Daun Ubi Jalar</t>
  </si>
  <si>
    <t>https://assets.promediateknologi.id/crop/0x0:0x0/750x500/webp/photo/jawapos/2022/11/daun-ubi-jalar.jpg</t>
  </si>
  <si>
    <t>Daun Ubi Jalar kukus</t>
  </si>
  <si>
    <t>https://cdnimage2.caping.co.id/news/20220228/2a/1619199045A782A517.jpg_480A0A1A80.webp</t>
  </si>
  <si>
    <t>Daun ubi kuning segar</t>
  </si>
  <si>
    <t>https://images.tokopedia.net/img/cache/700/hDjmkQ/2021/1/17/dd16436c-6a1f-4900-8c9e-1e7654adf66b.jpg</t>
  </si>
  <si>
    <t>Daun ubi merah kukus</t>
  </si>
  <si>
    <t>https://cdn1-production-images-kly.akamaized.net/53ShO_wlxOo4hIuWjKZKBK2QLvQ=/469x260/smart/filters:quality(75):strip_icc():format(webp)/kly-media-production/medias/2580229/original/025700500_1546586996-resep-tumis-daun-ubi-jalar.jpg</t>
  </si>
  <si>
    <t>Daun ubi merah segar</t>
  </si>
  <si>
    <t>https://images.tokopedia.net/img/cache/700/VqbcmM/2022/3/8/938424e6-4195-4814-9f3a-dffa83482865.jpg</t>
  </si>
  <si>
    <t>Daun ubi putih segar</t>
  </si>
  <si>
    <t>https://asset-a.grid.id/crop/0x0:0x0/700x465/photo/2019/10/08/983732094.jpg</t>
  </si>
  <si>
    <t>Daun ubi tinta segar</t>
  </si>
  <si>
    <t>https://static.wixstatic.com/media/47a984_0de71c01a4e447fb86743743e8cd94b3.jpg/v1/fill/w_582,h_291,al_c,q_80,usm_0.66_1.00_0.01,enc_auto/47a984_0de71c01a4e447fb86743743e8cd94b3.jpg</t>
  </si>
  <si>
    <t xml:space="preserve">Deblo </t>
  </si>
  <si>
    <t>https://img-global.cpcdn.com/recipes/613bae93e873b173/680x482cq70/deblo-foto-resep-utama.jpg</t>
  </si>
  <si>
    <t>Dendeng belut goreng</t>
  </si>
  <si>
    <t>https://selerasa.com/wp-content/uploads/2015/11/images_dendeng-belut.JPG</t>
  </si>
  <si>
    <t>Dendeng Daging Sapi</t>
  </si>
  <si>
    <t>https://awsimages.detik.net.id/community/media/visual/2022/02/20/resep-dendeng-sapi-medan_43.jpeg?w=700&amp;q=90</t>
  </si>
  <si>
    <t>Dendeng mujahir goreng</t>
  </si>
  <si>
    <t>https://img-global.cpcdn.com/recipes/c49ebd05c391ae54/680x482cq70/dendeng-mujair-foto-resep-utama.jpg</t>
  </si>
  <si>
    <t>Dideh darah ayam</t>
  </si>
  <si>
    <t>https://blogger.googleusercontent.com/img/b/R29vZ2xl/AVvXsEh9d4T1r7jHqSELzd2b3KBFeJlzKWtbaUIbOrsHTyKYSr_SJvpO2EijjASugjDKlv0-WhFvsRpcskdPJx95G3cpox3XJVzjTbDJQaISa_egWAzjYl3Cd8Zb0hXWGcIGj8KavQ37Uu6qRvTtob_G9TAIxgfhI4Xz2yKfM_PuI3PixHmXXHJySQ70I4e9dQ/s600/dideh.jpg</t>
  </si>
  <si>
    <t>Dideh darah sapi</t>
  </si>
  <si>
    <t>https://cdns.diadona.id/diadona.id/resized/640x320/news/2020/09/29/23311/664xauto-banyak-digemari-kuliner-asal-indonesia-ini-ternyata-terbuat-dari-darah-hewan-200929c.jpg</t>
  </si>
  <si>
    <t>Djibokum masakan</t>
  </si>
  <si>
    <t>Dodol</t>
  </si>
  <si>
    <t>https://asset.kompas.com/crops/e3JycmGm1r9fr7krT-Kj-p7R3m0=/32x18:1000x664/750x500/data/photo/2023/03/03/64014f11134b7.jpeg</t>
  </si>
  <si>
    <t>Dodol bali</t>
  </si>
  <si>
    <t>https://awsimages.detik.net.id/community/media/visual/2022/06/13/dodol-khas-bali-berbungkus-kulit-jagung-kering-buatan-perajin-dodol-di-desa-penglatan-kecamatan-buleleng-kabupaten-buleleng_169.jpeg?w=620</t>
  </si>
  <si>
    <t>Dodol banjarmasin</t>
  </si>
  <si>
    <t>https://indonesiakaya.com/wp-content/uploads/2020/10/4__Sentra_pembuatan_dodol_Kandangan_berada_di_kabupaten_Hulu_Sungai_Selatan_kota_Banjarmasin_Kalimantan_Selatan_edit.jpg</t>
  </si>
  <si>
    <t>Dodol galamai</t>
  </si>
  <si>
    <t>https://cdn.idntimes.com/content-images/community/2021/01/101186477-721573788678961-609266625911808050-n-0b2e3fe55c98e8dc089991ca6127b017-d50f4f0a2cefd2131bdbae4fd41bbbef.jpg</t>
  </si>
  <si>
    <t>Dodol kedondong</t>
  </si>
  <si>
    <t>https://smansabangko.sch.id/storage/smansabangko.sch.id/editor/irouKFVLfBSxITWbSup2WiqvqfbWRybMTVnpJgr8.jpg</t>
  </si>
  <si>
    <t>Dodol manado</t>
  </si>
  <si>
    <t>https://cdn-2.tstatic.net/manado/foto/bank/images/dodol-amurang_khas-manado.jpg</t>
  </si>
  <si>
    <t xml:space="preserve">Dodonkol </t>
  </si>
  <si>
    <t>https://www.piknikdong.com/wp-content/uploads/2022/06/Resep-Awug-Sederhana.jpg</t>
  </si>
  <si>
    <t>Domba daging gemuk segar</t>
  </si>
  <si>
    <t>https://png.pngtree.com/png-vector/20210913/ourlarge/pngtree-fresh-lamb-ingredients-png-image_3922032.jpg</t>
  </si>
  <si>
    <t>Domba daging kurus  segar</t>
  </si>
  <si>
    <t>https://images.tokopedia.net/img/cache/700/VqbcmM/2020/11/2/63145b70-ef97-4649-af84-9b14cdc13519.jpg</t>
  </si>
  <si>
    <t>Domba ginjal segar</t>
  </si>
  <si>
    <t>https://media.istockphoto.com/id/1457294473/id/foto/ginjal-domba-segar-mentah-di-atas-talenan.jpg?s=612x612&amp;w=0&amp;k=20&amp;c=coamiTuIqCOb7QJ-3vJkyY6CWF7hjKA75JGFQmQFCDw=</t>
  </si>
  <si>
    <t>Duku</t>
  </si>
  <si>
    <t>https://upload.wikimedia.org/wikipedia/commons/thumb/5/50/Duku_Lansium_domesticum_Ripe.jpg/1200px-Duku_Lansium_domesticum_Ripe.jpg</t>
  </si>
  <si>
    <t>Durian</t>
  </si>
  <si>
    <t>https://asset-a.grid.id/crop/0x0:0x0/x/photo/2023/01/20/alasan-mengapa-buah-durian-diseb-20230120035049.jpg</t>
  </si>
  <si>
    <t>Duwet segar</t>
  </si>
  <si>
    <t>https://t-2.tstatic.net/jogja/foto/bank/images/duwet-atau-jamblang_20181006_142430.jpg</t>
  </si>
  <si>
    <t>Eceng Gondok</t>
  </si>
  <si>
    <t>https://unair.ac.id/wp-content/uploads/2022/11/Foto-by-detikFood.jpeg</t>
  </si>
  <si>
    <t>Embacang</t>
  </si>
  <si>
    <t>https://s0.bukalapak.com/img/037360101/large/144135_2embacang.jpg</t>
  </si>
  <si>
    <t>Empal (daging) Goreng masakan</t>
  </si>
  <si>
    <t>https://cdn-2.tstatic.net/batam/foto/bank/images/resep-empal.jpg</t>
  </si>
  <si>
    <t>Empal Goreng</t>
  </si>
  <si>
    <t>https://ikafood.com/wp-content/uploads/2020/09/Empal-Gepuk.jpg</t>
  </si>
  <si>
    <t>Emping (kerupuk melinjo)</t>
  </si>
  <si>
    <t>https://cdns.klimg.com/merdeka.com/i/w/news/2020/09/24/1224077/540x270/cara-membuat-emping-melinjo-yang-gurih-dan-renyah-mudah-dipraktikkan.jpg</t>
  </si>
  <si>
    <t>Emping beras</t>
  </si>
  <si>
    <t>https://id-test-11.slatic.net/p/8d475dd96749024eb4626810ea458829.jpg</t>
  </si>
  <si>
    <t>Emping komak</t>
  </si>
  <si>
    <t>https://s2.bukalapak.com/img/762986024/large/Cemilan__Emping_Komak_Lombok_.jpg</t>
  </si>
  <si>
    <t>Encung asam segar</t>
  </si>
  <si>
    <t>https://agretail.id/uploads/news/news_20200728174010_846.jpeg</t>
  </si>
  <si>
    <t>Enting-enting gepuk hello kity</t>
  </si>
  <si>
    <t>https://lzd-img-global.slatic.net/g/p/46ae93d66169830341e0450a39d663b5.jpg_720x720q80.jpg_.webp</t>
  </si>
  <si>
    <t>Enting-enting gepuk kacang tanah</t>
  </si>
  <si>
    <t>https://eventkampus.com/data/artikel/2/enting-enting-khas-salatiga-asal-usul-dan-kandungan-nutrisi-dalam-enting-enting.jpeg</t>
  </si>
  <si>
    <t>Enting-enting wijen</t>
  </si>
  <si>
    <t>https://img-global.cpcdn.com/recipes/fb33825abf7ebb72/680x482cq70/enting-enting-kacang-wijen-foto-resep-utama.jpg</t>
  </si>
  <si>
    <t>Erbis</t>
  </si>
  <si>
    <t>https://media.suara.com/pictures/653x366/2022/07/10/74690-ilustrasi-erbis.jpg</t>
  </si>
  <si>
    <t>Es krim</t>
  </si>
  <si>
    <t>https://cdn0-production-images-kly.akamaized.net/HfkjSnesMVgDaS0dVGBUFFN6sZw=/1200x1200/smart/filters:quality(75):strip_icc():format(webp)/kly-media-production/medias/2769420/original/063670200_1554367843-birthday-break-caramel-461430.jpg</t>
  </si>
  <si>
    <t xml:space="preserve">Es Krim (Coconut milk) </t>
  </si>
  <si>
    <t>https://cdn.nutritioninthekitch.com/wp-content/uploads/2022/03/Coconut-ice-cream-5-800x1184.jpg</t>
  </si>
  <si>
    <t xml:space="preserve">Es Mambo </t>
  </si>
  <si>
    <t>https://www.masakapahariini.com/wp-content/uploads/2020/06/es-mambo.jpg</t>
  </si>
  <si>
    <t xml:space="preserve">Es Sirup </t>
  </si>
  <si>
    <t>https://cdn.yummy.co.id/content-images/images/20220619/xfaVB26SMb4zm5RAt72MsKdSiArIkWyc-31363535363231363533d41d8cd98f00b204e9800998ecf8427e.jpg?x-oss-process=image/resize,w_388,h_388,m_fixed,x-oss-process=image/format,webp</t>
  </si>
  <si>
    <t>Fillet o-fish</t>
  </si>
  <si>
    <t>https://www.recipetineats.com/wp-content/uploads/2018/08/Homemade-Filet-O-Fish_3.jpg</t>
  </si>
  <si>
    <t>Gadeng/Gadung kering</t>
  </si>
  <si>
    <t>https://cf.shopee.co.id/file/4bd71bb1fd0ed9886cc4dd7af0f7b436</t>
  </si>
  <si>
    <t>Gado-gado</t>
  </si>
  <si>
    <t>https://img.kurio.network/rlKzeW_1_iLZ-JMm9fFHX-rGdIE=/1200x1200/filters:quality(80)/https://kurio-img.kurioapps.com/22/06/22/53264347-b7ba-4257-852d-04e3d1b4e4e5.jpe</t>
  </si>
  <si>
    <t>Gadung kukus</t>
  </si>
  <si>
    <t>https://img-global.cpcdn.com/recipes/51c229856c44e39a/680x482cq70/gadung-kukus-foto-resep-utama.jpg</t>
  </si>
  <si>
    <t>Gadung mentah</t>
  </si>
  <si>
    <t>https://jernih.co/wp-content/uploads/gadung-1.jpg</t>
  </si>
  <si>
    <t>Gadung ubi kukus</t>
  </si>
  <si>
    <t>https://img-global.cpcdn.com/recipes/51c229856c44e39a/1200x630cq70/photo.jpg</t>
  </si>
  <si>
    <t>Gadung ubi segar</t>
  </si>
  <si>
    <t>https://images.tokopedia.net/img/cache/500-square/product-1/2019/5/8/6003009/6003009_42d1e66b-cf0c-44b1-bf85-82709633f561.png</t>
  </si>
  <si>
    <t>Gambas (Oyong)</t>
  </si>
  <si>
    <t>https://static.honestdocs.id/system/blog_articles/main_hero_images/000/001/679/original/15_Manfaat_Sayur_Gambas_%28Oyong%29_Bagi_Kesehatan.jpg</t>
  </si>
  <si>
    <t>Gambas lodeh</t>
  </si>
  <si>
    <t>https://cdn.yummy.co.id/content-images/images/20210411/n8JWL5o9Saqut50aP4W9cCHqob98nCg8-31363138313239343736d41d8cd98f00b204e9800998ecf8427e.jpg?x-oss-process=image/resize,w_388,h_388,m_fixed,x-oss-process=image/format,webp</t>
  </si>
  <si>
    <t>Gandaria</t>
  </si>
  <si>
    <t>https://awsimages.detik.net.id/community/media/visual/2019/12/27/cdbc1b24-d9d7-4212-a38f-f527093a21e6_43.jpeg?w=600&amp;q=90</t>
  </si>
  <si>
    <t>Ganyong kukus</t>
  </si>
  <si>
    <t>https://pbs.twimg.com/media/FaAqu9paIAEm13B?format=jpg&amp;name=4096x4096</t>
  </si>
  <si>
    <t>Ganyong mentah</t>
  </si>
  <si>
    <t>https://3.bp.blogspot.com/-NKNz9WU0oo8/WfobcfcbliI/AAAAAAAAAQk/yJ3EvQk5_xQucwTaboHstWVS56JUmjjxACLcBGAs/s1600/IMG_6745.JPG</t>
  </si>
  <si>
    <t>Ganyong rebus</t>
  </si>
  <si>
    <t>https://assets-a1.kompasiana.com/items/album/2019/11/18/fb-img-1574037281653-5dd1e7e2d541df7e5258fdc2.jpg</t>
  </si>
  <si>
    <t>Ganyong segar</t>
  </si>
  <si>
    <t>https://id-test-11.slatic.net/p/b5d4ead3758c0c6492d33214e29bf296.jpg</t>
  </si>
  <si>
    <t>Gaplek</t>
  </si>
  <si>
    <t>https://img-global.cpcdn.com/recipes/136bf6be239b77b2/1280x1280sq70/photo.webp</t>
  </si>
  <si>
    <t>Gatep segar</t>
  </si>
  <si>
    <t>https://visitbali.id/images/data/2021/Sep/27/615168beaee801728.jpg</t>
  </si>
  <si>
    <t>Gatot</t>
  </si>
  <si>
    <t>https://upload.wikimedia.org/wikipedia/commons/f/fb/19._Gathot_2.jpg</t>
  </si>
  <si>
    <t>Geblek</t>
  </si>
  <si>
    <t>https://assets.pikiran-rakyat.com/crop/13x117:1065x1297/x/photo/2022/07/22/2059763332.jpg</t>
  </si>
  <si>
    <t>Gelatine</t>
  </si>
  <si>
    <t>https://asset.kompas.com/crops/_L9e1vMf1G0xP0ebOzrif0YDzzQ=/0x0:1000x667/750x500/data/photo/2020/10/06/5f7c01379379a.jpg</t>
  </si>
  <si>
    <t>Gembili</t>
  </si>
  <si>
    <t>https://awsimages.detik.net.id/community/media/visual/2020/05/04/47dff53b-5a39-4136-907a-51e3754353b1_169.png?w=650&amp;q=90</t>
  </si>
  <si>
    <t>Gembili ubi segar</t>
  </si>
  <si>
    <t>https://www.static-src.com/wcsstore/Indraprastha/images/catalog/full//101/MTA-48006729/tidak_ada_merk_umbi_gembili_500_gram_ubi_gembili_ketan_pulen_segar_full03_9aa38a1b.jpg</t>
  </si>
  <si>
    <t>Gemblong</t>
  </si>
  <si>
    <t>https://asset.kompas.com/crops/I3Y-iWTZTZ0TLo5ZTtNqPtrya_s=/0x73:1280x926/750x500/data/photo/2020/08/16/5f3913fdc5e69.jpg</t>
  </si>
  <si>
    <t>Gendar goreng</t>
  </si>
  <si>
    <t>https://img-global.cpcdn.com/recipes/8740dfff5f5019cb/1200x630cq70/photo.jpg</t>
  </si>
  <si>
    <t>Genjer segar</t>
  </si>
  <si>
    <t>https://images.tokopedia.net/img/cache/700/product-1/2020/5/15/7845717/7845717_a5118472-420f-4bf5-a311-ff8401926d6d_1000_1000.jpg</t>
  </si>
  <si>
    <t>Geplak</t>
  </si>
  <si>
    <t>https://www.tuguwisata.com/wp-content/uploads/2017/10/chefjourneys_3_10_2017_14_6_38_173.jpg</t>
  </si>
  <si>
    <t>Geplak jahe</t>
  </si>
  <si>
    <t>https://id-live-01.slatic.net/p/e9d3d5c495903bfc0909965e77c210ad.jpg</t>
  </si>
  <si>
    <t>Gete kuah asam masakan</t>
  </si>
  <si>
    <t>https://nilaigizi.com/assets/images/produk/produk_1535785356.jpg</t>
  </si>
  <si>
    <t>Getuk goreng</t>
  </si>
  <si>
    <t>https://resepkoki.id/wp-content/uploads/2016/03/Resep-Getuk-goreng.jpg</t>
  </si>
  <si>
    <t xml:space="preserve">Getuk Lindri </t>
  </si>
  <si>
    <t>https://asset-a.grid.id/crop/0x0:0x0/x/photo/2018/12/21/1509136869.jpg</t>
  </si>
  <si>
    <t>Getuk pisang</t>
  </si>
  <si>
    <t>https://asset.kompas.com/crops/l3xnQh1pGb-JXXnQlqwMVzdfRMo=/0x0:1000x667/750x500/data/photo/2022/12/25/63a7a3ef59ddd.jpeg</t>
  </si>
  <si>
    <t>Getuk singkong</t>
  </si>
  <si>
    <t>https://images.tokopedia.net/img/KRMmCm/2022/8/9/d04d11c4-f1e5-4595-8166-a53955b475ca.jpg</t>
  </si>
  <si>
    <t>Ginjal Babi</t>
  </si>
  <si>
    <t>Ginjal Domba</t>
  </si>
  <si>
    <t>https://images.tokopedia.net/img/cache/500-square/VqbcmM/2022/6/21/c055064b-bb60-4818-b25b-4213572335df.jpg</t>
  </si>
  <si>
    <t>Ginjal Sapi</t>
  </si>
  <si>
    <t>https://i0.wp.com/herald.id/wp-content/uploads/2023/01/google.jpg?fit=521%2C405&amp;ssl=1</t>
  </si>
  <si>
    <t xml:space="preserve">Gudeg </t>
  </si>
  <si>
    <t>https://cdn1-production-images-kly.akamaized.net/IpYTbngk7MSDqY-O2zh-l35oxxs=/1200x1200/smart/filters:quality(75):strip_icc():format(jpeg)/kly-media-production/medias/776636/original/012158200_1417956101-gudeg.jpg</t>
  </si>
  <si>
    <t>Gudeg sayur</t>
  </si>
  <si>
    <t>https://1.bp.blogspot.com/-dubLmtxl4XI/V9NzynrpH4I/AAAAAAAAZTY/Mh8U8r2Fy58EWteb0ARFDyZWj7Wot4n0ACLcB/s1600/A%2BGUDEG%2BBASAH%2BIG.jpg</t>
  </si>
  <si>
    <t>Gula Aren</t>
  </si>
  <si>
    <t>https://pertanian.uma.ac.id/wp-content/uploads/2023/02/61b16531c9fe7.jpg</t>
  </si>
  <si>
    <t>Gula Kelapa</t>
  </si>
  <si>
    <t>https://centralagrolestari.com/public/storage/pos/images/1626581730.jpg</t>
  </si>
  <si>
    <t>Gula Merah Tebu belum dimurnikan</t>
  </si>
  <si>
    <t>https://img.my-best.id/content_section/choice_component/contents/31f66e56783bda930982232d7debc6ca.jpg?ixlib=rails-4.3.1&amp;q=70&amp;lossless=0&amp;w=690&amp;fit=max&amp;s=3f720921b474d65bdf6d775ab995d54c</t>
  </si>
  <si>
    <t>Gula putih</t>
  </si>
  <si>
    <t>https://s0.bukalapak.com/bukalapak-kontenz-production/content_attachments/88280/original/manfaat_gula_pasir_main_image.jpg</t>
  </si>
  <si>
    <t>Gulai asam keueung masakan</t>
  </si>
  <si>
    <t>https://img-global.cpcdn.com/recipes/8f989c17e5803c3b/680x482cq70/gulai-asam-keueng-asam-pedas-tongkol-seafoodfestival-foto-resep-utama.jpg</t>
  </si>
  <si>
    <t>Gulai ikan masakan</t>
  </si>
  <si>
    <t>https://sweetrip.id/wp-content/uploads/2022/10/1.jpg</t>
  </si>
  <si>
    <t>Gulai ikan paya masakan</t>
  </si>
  <si>
    <t>https://www.glory-travel.com/wp-content/uploads/2018/11/o1AJ9qDyyJNSpZWhUgGYc3MngFqoAN6WRcGHHcyTN6eXyGCVk.jpg</t>
  </si>
  <si>
    <t>Gulai kambing</t>
  </si>
  <si>
    <t>https://kbu-cdn.com/dk/wp-content/uploads/gulai-kambing.jpg</t>
  </si>
  <si>
    <t>Gulai keumamah masakan</t>
  </si>
  <si>
    <t>https://img-global.cpcdn.com/recipes/d43cbe5d1ad0490d/680x482cq70/gulai-keumamah-foto-resep-utama.jpg</t>
  </si>
  <si>
    <t>Gulai pakis</t>
  </si>
  <si>
    <t>https://www.agrowindo.com/wp-content/uploads/2017/06/Gulai-pakis-agrowindo.jpg</t>
  </si>
  <si>
    <t>Gulai pliek</t>
  </si>
  <si>
    <t>https://mediakom.kemkes.go.id/wp-content/uploads/2021/08/kuah-pliek-u.png</t>
  </si>
  <si>
    <t>Gulai tiram masakan</t>
  </si>
  <si>
    <t>https://img-global.cpcdn.com/recipes/09856a93968f8df1/1200x630cq70/photo.jpg</t>
  </si>
  <si>
    <t>Gurame asem manis masakan</t>
  </si>
  <si>
    <t>https://d12man5gwydfvl.cloudfront.net/wp-content/uploads/2020/03/shutterstock_1561182373.jpg</t>
  </si>
  <si>
    <t>Gurandil</t>
  </si>
  <si>
    <t>https://i.ytimg.com/vi/xDsBbOWMWJo/maxresdefault.jpg</t>
  </si>
  <si>
    <t>Ham</t>
  </si>
  <si>
    <t>https://bakeitwithlove.com/wp-content/uploads/2021/12/glazed-honey-ham-sq.jpg</t>
  </si>
  <si>
    <t>Hangop</t>
  </si>
  <si>
    <t>https://www.lekkerensimpel.com/wp-content/uploads/2016/10/IMG_0381-2.jpg</t>
  </si>
  <si>
    <t>Hati Babi</t>
  </si>
  <si>
    <t>https://media.suara.com/pictures/653x366/2019/10/10/41737-ilustrasi-hati-babi-pixabaychodarat.jpg</t>
  </si>
  <si>
    <t>Hati Sapi</t>
  </si>
  <si>
    <t>https://doktersehat.com/wp-content/uploads/2022/04/hati-sapi-doktersehat.jpg</t>
  </si>
  <si>
    <t>Havermout</t>
  </si>
  <si>
    <t>https://id-test-11.slatic.net/p/2055593e09b807e28ea3fd9b8756b103.jpg</t>
  </si>
  <si>
    <t>Hofa/Ubi hutan segar</t>
  </si>
  <si>
    <t>https://www.mongabay.co.id/wp-content/uploads/2015/05/sikapa02.jpg</t>
  </si>
  <si>
    <t>Ikan asar merah masakan</t>
  </si>
  <si>
    <t>https://t-2.tstatic.net/medan/foto/bank/images2/Resep-Ikan-Asar-dan-Cara-Membuatnya-Hidangan-Khas-Maluku.jpg</t>
  </si>
  <si>
    <t>Ikan Asin bilis goreng</t>
  </si>
  <si>
    <t>https://img-global.cpcdn.com/recipes/446879a009d58694/1200x630cq70/photo.jpg</t>
  </si>
  <si>
    <t>Ikan Asin gabus goreng</t>
  </si>
  <si>
    <t>https://images.tokopedia.net/img/cache/700/product-1/2019/7/27/6486945/6486945_99c1b375-e266-42bb-b539-f5731fb74114_960_960.jpg</t>
  </si>
  <si>
    <t>Ikan Asin japuh goreng</t>
  </si>
  <si>
    <t>https://img-global.cpcdn.com/recipes/756a62f3201bd80c/1200x630cq70/photo.jpg</t>
  </si>
  <si>
    <t>Ikan Asin kering</t>
  </si>
  <si>
    <t>https://cdn2.tstatic.net/tribunnewswiki/foto/bank/images/ikan-asinn.jpg</t>
  </si>
  <si>
    <t>Ikan Asin pari goreng</t>
  </si>
  <si>
    <t>https://img-global.cpcdn.com/recipes/Recipe_2015_01_31_12_33_39_810_87c9c03bd7c9a069b268/680x482cq70/ikan-pari-goreng-foto-resep-utama.jpg</t>
  </si>
  <si>
    <t>Ikan Asin pepetek goreng</t>
  </si>
  <si>
    <t>https://img-global.cpcdn.com/recipes/63c1692184e591d6/1200x630cq70/photo.jpg</t>
  </si>
  <si>
    <t>Ikan Asin sirinding goreng</t>
  </si>
  <si>
    <t>https://images.tokopedia.net/img/cache/700/product-1/2020/2/4/7723047/7723047_740a394f-4f87-467c-bb24-6ff77d857edd_1224_1224.jpg</t>
  </si>
  <si>
    <t>Ikan Asin teri goreng</t>
  </si>
  <si>
    <t>https://img-global.cpcdn.com/recipes/15714e008b15f3e0/680x482cq70/teri-segar-goreng-tanpa-minyak-foto-resep-utama.jpg</t>
  </si>
  <si>
    <t>Ikan Bader (Tawes)</t>
  </si>
  <si>
    <t>https://3.bp.blogspot.com/-QIgcZ7K-sU4/XCHN03j4UGI/AAAAAAAAGjQ/Lmq-K-j5qQgIR-aSasCnx01eQ9bND4pfwCLcBGAs/s1600/ikan%2Btawes%2B1.jpg</t>
  </si>
  <si>
    <t>Ikan balong segar</t>
  </si>
  <si>
    <t>https://upload.wikimedia.org/wikipedia/commons/9/98/Maroon_Clown_Fish444.jpg</t>
  </si>
  <si>
    <t>Ikan bambangan segar</t>
  </si>
  <si>
    <t>https://workamerica.co/wp-content/uploads/2020/03/kakap-merah.jpg</t>
  </si>
  <si>
    <t>Ikan Bandeng</t>
  </si>
  <si>
    <t>https://images.tokopedia.net/blog-tokopedia-com/uploads/2021/08/Featured_Manfaat-Ikan-Bandeng.jpg</t>
  </si>
  <si>
    <t>Ikan bandeng presto masakan</t>
  </si>
  <si>
    <t>https://www.philips.com/c-dam/b2c/id_ID/experience/ho/cooking/iikan-goreng-thumbnail.jpg</t>
  </si>
  <si>
    <t>Ikan banjar segar</t>
  </si>
  <si>
    <t>https://altarafish.com/wp-content/uploads/2019/02/kembung-banjar-2.jpg</t>
  </si>
  <si>
    <t>Ikan baronang segar</t>
  </si>
  <si>
    <t>https://assets.ayobandung.com/crop/0x0:0x0/750x500/webp/photo/tangerangraya/2021/10/Baronang1.jpg</t>
  </si>
  <si>
    <t>Ikan baung bakar</t>
  </si>
  <si>
    <t>https://dherdian.files.wordpress.com/2014/12/ikan-baung.jpg</t>
  </si>
  <si>
    <t>Ikan baung segar</t>
  </si>
  <si>
    <t>https://www.pustakadunia.com/media/posts/9/green-baung.jpg</t>
  </si>
  <si>
    <t>Ikan Bawal</t>
  </si>
  <si>
    <t>https://cdn0-production-images-kly.akamaized.net/C-d15AzyqyZ6g3FXgdgNiM0vT8w=/881x0:3882x3001/1200x1200/filters:quality(75):strip_icc():format(webp)/kly-media-production/medias/3083206/original/068408300_1584935571-shutterstock_1543262462.jpg</t>
  </si>
  <si>
    <t>Ikan Bekasang</t>
  </si>
  <si>
    <t>Ikan Belida bakar</t>
  </si>
  <si>
    <t>https://nilaigizi.com/assets/images/produk/produk_1535645437.JPG</t>
  </si>
  <si>
    <t>Ikan Belida segar</t>
  </si>
  <si>
    <t>https://asset.kompas.com/crops/1fAzPKIXKLg0zUIFq1noM_71D44=/73x0:916x562/750x500/data/photo/2021/09/07/6137430f50e33.jpg</t>
  </si>
  <si>
    <t>Ikan Belut Segar goreng</t>
  </si>
  <si>
    <t>https://kbu-cdn.com/dk/wp-content/uploads/belut-goreng-crispy.jpg</t>
  </si>
  <si>
    <t>Ikan Belut Segar mentah</t>
  </si>
  <si>
    <t>https://images.tokopedia.net/img/cache/700/VqbcmM/2021/8/9/57ed09de-9e7e-4d05-9de8-d85353362446.jpg</t>
  </si>
  <si>
    <t>Ikan Beunteur</t>
  </si>
  <si>
    <t>https://agrozine.id/wp-content/uploads/2022/10/Ikan-Wader.jpg</t>
  </si>
  <si>
    <t>Ikan biawan segar</t>
  </si>
  <si>
    <t>https://panennews.com/wp-content/uploads/2020/06/Ikan-Biawan.jpg</t>
  </si>
  <si>
    <t>Ikan bili segar</t>
  </si>
  <si>
    <t>https://cdn.shopify.com/s/files/1/0592/8633/products/Ikan_Bilis.jpg?v=1523265834</t>
  </si>
  <si>
    <t>Ikan bubara segar</t>
  </si>
  <si>
    <t>https://cdn.antaranews.com/cache/800x533/2021/09/17/IMG-20210917-WA0002_2.jpg</t>
  </si>
  <si>
    <t>Ikan bulan-bulan segar</t>
  </si>
  <si>
    <t>https://upload.wikimedia.org/wikipedia/commons/1/1a/Megalops_cyprinoides2.jpg</t>
  </si>
  <si>
    <t>Ikan cakalang asap mentah</t>
  </si>
  <si>
    <t>https://jurnal6.com/wp-content/uploads/2021/11/received_532156504848726.jpeg</t>
  </si>
  <si>
    <t>Ikan cakalang asin mentah</t>
  </si>
  <si>
    <t>https://images.tokopedia.net/img/cache/700/VqbcmM/2021/7/7/76b181bf-a94c-4a34-a2b4-5e1c4ba01dc5.jpg</t>
  </si>
  <si>
    <t>Ikan cakalang hati segar</t>
  </si>
  <si>
    <t>https://assets.pikiran-rakyat.com/crop/0x0:0x0/x/photo/2022/07/13/2233154868.jpg</t>
  </si>
  <si>
    <t>Ikan cakalang jantung segar</t>
  </si>
  <si>
    <t>Ikan cakalang perut segar</t>
  </si>
  <si>
    <t>Ikan cakalang segar</t>
  </si>
  <si>
    <t>Ikan calo/ peda mentah</t>
  </si>
  <si>
    <t>https://assets.ayobandung.com/crop/0x0:0x0/750x500/webp/photo/2021/11/22/2261616866.jpg</t>
  </si>
  <si>
    <t>Ikan daun segar</t>
  </si>
  <si>
    <t>https://nilaigizi.com/assets/images/produk/produk_1535461660.jpg</t>
  </si>
  <si>
    <t>Ikan Ekor Kuning</t>
  </si>
  <si>
    <t>https://id-live-01.slatic.net/p/a050c6abf2757b9dd5d9e179ac5f6f58.jpg</t>
  </si>
  <si>
    <t>Ikan Gabus asap mentah</t>
  </si>
  <si>
    <t>https://id-test-11.slatic.net/p/bb5a949dcbe534ed2ecdfd98a8e9c07b.jpg</t>
  </si>
  <si>
    <t>Ikan Gabus kering</t>
  </si>
  <si>
    <t>https://nilaigizi.com/assets/images/produk/produk_1535646586.jpg</t>
  </si>
  <si>
    <t>Ikan Gabus segar</t>
  </si>
  <si>
    <t>https://images.tokopedia.net/img/cache/500-square/VqbcmM/2020/10/17/13ad7cdb-015a-4298-a4ef-f698a1143555.jpg</t>
  </si>
  <si>
    <t>Ikan gete goreng</t>
  </si>
  <si>
    <t>https://nilaigizi.com/assets/images/produk/produk_1535646628.jpg</t>
  </si>
  <si>
    <t>Ikan hitam segar</t>
  </si>
  <si>
    <t>https://www.fishbase.se/images/species/Lachr_u2.jpg</t>
  </si>
  <si>
    <t>Ikan hiu kering</t>
  </si>
  <si>
    <t>https://nilaigizi.com/assets/images/produk/produk_1535646676.jpg</t>
  </si>
  <si>
    <t>Ikan hiu segar</t>
  </si>
  <si>
    <t>https://awsimages.detik.net.id/community/media/visual/2021/10/21/ilustrasi-ikan-hiu.jpeg?w=1200</t>
  </si>
  <si>
    <t>Ikan kacangan segar</t>
  </si>
  <si>
    <t>https://gratisongkir-storage.com/products/900x900/GgmwAfyK453X.jpg</t>
  </si>
  <si>
    <t>Ikan kakap segar</t>
  </si>
  <si>
    <t>https://d1vbn70lmn1nqe.cloudfront.net/prod/wp-content/uploads/2022/11/30105045/Tinggi-Protein-Ini-X-Manfaat-Ikan-Kakap-untuk-Kesehatan.jpg</t>
  </si>
  <si>
    <t>Ikan kakatua segar</t>
  </si>
  <si>
    <t>https://jagalaut.id/wp-content/uploads/2022/05/IMG_3929.jpg</t>
  </si>
  <si>
    <t>Ikan kapar segar</t>
  </si>
  <si>
    <t>https://upload.wikimedia.org/wikipedia/commons/b/b0/Belont_hasselt_100523-1755_sap.JPG</t>
  </si>
  <si>
    <t>Ikan katombo asin</t>
  </si>
  <si>
    <t>https://img-global.cpcdn.com/recipes/4e1636ada1bc35e0/1200x630cq70/photo.jpg</t>
  </si>
  <si>
    <t>Ikan kawalinya segar</t>
  </si>
  <si>
    <t>https://assets.ayobandung.com/crop/0x0:0x0/x/photo/2022/03/18/236634727.png</t>
  </si>
  <si>
    <t>Ikan kayu kering</t>
  </si>
  <si>
    <t>https://nilaigizi.com/assets/images/produk/produk_1535646769.jpg</t>
  </si>
  <si>
    <t>Ikan Kembung</t>
  </si>
  <si>
    <t>https://asset.kompas.com/crops/G41p2wbQwOBGvIZvV4aU4qOQtBQ=/0x0:1000x667/750x500/data/photo/2023/03/18/64153daddd7cc.jpg</t>
  </si>
  <si>
    <t>Ikan kima segar</t>
  </si>
  <si>
    <t>https://asset-a.grid.id/crop/0x0:0x0/x/photo/2022/01/19/kima-yic-artikel-by-tionjpg-20220119124005.jpg</t>
  </si>
  <si>
    <t>Ikan Lais bakar</t>
  </si>
  <si>
    <t>https://dotdolan.com/wp-content/uploads/2022/04/Olahan-Lais_IG-@rukurukuresto-e1649583973110.jpeg</t>
  </si>
  <si>
    <t>Ikan Layang</t>
  </si>
  <si>
    <t>https://lintasbalikpapan.com/asset/foto_berita/Ikan_Layang_2.jpg</t>
  </si>
  <si>
    <t>Ikan layur segar</t>
  </si>
  <si>
    <t>https://ikanwiki.com/gambar/gambar_besar/ikanlay.webp</t>
  </si>
  <si>
    <t>Ikan lehoma segar</t>
  </si>
  <si>
    <t>https://2.bp.blogspot.com/-hcHeOSZ-k-M/VkNmXVXuJFI/AAAAAAAABPU/lU_LNkEOoHo/s1600/MAlalugis.jpg</t>
  </si>
  <si>
    <t>Ikan Lele goreng</t>
  </si>
  <si>
    <t>https://kbu-cdn.com/dk/wp-content/uploads/lele-goreng-bumbu-lengkuas.jpg</t>
  </si>
  <si>
    <t>Ikan Lemuru</t>
  </si>
  <si>
    <t>https://images.tokopedia.net/img/cache/700/product-1/2020/6/12/101531639/101531639_f8f0374d-3534-4642-84c3-530d9b1fb3f0_690_690.jpg</t>
  </si>
  <si>
    <t>Ikan lidah segar</t>
  </si>
  <si>
    <t>https://homemadeindonesia.com/apihmi/images/datatoko/K3DE232FF89_brg66792.jpg</t>
  </si>
  <si>
    <t>Ikan lomak asin mentah</t>
  </si>
  <si>
    <t>https://images.tokopedia.net/img/cache/500-square/VqbcmM/2022/5/31/7abefabd-7a9c-4faa-91f8-6a17ff7d0616.jpg</t>
  </si>
  <si>
    <t>Ikan malalugis segar</t>
  </si>
  <si>
    <t>https://upload.wikimedia.org/wikipedia/commons/thumb/b/bb/Decapterus_koheru_%28koheru%29.jpg/1200px-Decapterus_koheru_%28koheru%29.jpg</t>
  </si>
  <si>
    <t>Ikan Mas</t>
  </si>
  <si>
    <t>https://static.republika.co.id/uploads/images/inpicture_slide/ikan-mas_220111065132-645.jpg</t>
  </si>
  <si>
    <t>Ikan Mas goreng</t>
  </si>
  <si>
    <t>https://cdn1-production-images-kly.akamaized.net/PoXdFBAzit7rJj6MDEQSxQ35dT8=/0x462:5162x3371/1200x675/filters:quality(75):strip_icc():format(webp)/kly-media-production/medias/2930376/original/062217400_1570175183-shutterstock_445394449.jpg</t>
  </si>
  <si>
    <t>Ikan Mas pepes</t>
  </si>
  <si>
    <t>https://assets.pikiran-rakyat.com/crop/0x0:0x0/x/photo/2022/01/06/1877204615.jpg</t>
  </si>
  <si>
    <t>Ikan mayong segar</t>
  </si>
  <si>
    <t>https://homemadeindonesia.com/apihmi/images/datatoko/K0B6216F87F_brg17106.jpg</t>
  </si>
  <si>
    <t>Ikan Mujair dendeng goreng</t>
  </si>
  <si>
    <t>Ikan Mujair dendeng mentah</t>
  </si>
  <si>
    <t>https://images.tokopedia.net/img/cache/700/VqbcmM/2021/5/21/38d1433b-a298-46d1-8f07-797840199762.jpg.webp</t>
  </si>
  <si>
    <t>Ikan Mujair goreng</t>
  </si>
  <si>
    <t>https://kurio-img.kurioapps.com/22/10/07/3521e216-d7b3-498d-a045-95973e196c36.jpg</t>
  </si>
  <si>
    <t>Ikan Mujair pepes</t>
  </si>
  <si>
    <t>https://sweetrip.id/wp-content/uploads/2022/10/a-pepeas.jpg</t>
  </si>
  <si>
    <t>Ikan Mujair segar</t>
  </si>
  <si>
    <t>https://s4.bukalapak.com/img/9282888648/large/1792856_scaled.jpg</t>
  </si>
  <si>
    <t>Ikan nasu metti segar</t>
  </si>
  <si>
    <t>https://img-global.cpcdn.com/recipes/a9e68b1f59b7db4c/680x482cq70/ikan-kuah-kuning-nasu-bale-menre-bhs-bugis-foto-resep-utama.jpg</t>
  </si>
  <si>
    <t>Ikan oci kembung segar</t>
  </si>
  <si>
    <t>https://d1vbn70lmn1nqe.cloudfront.net/prod/wp-content/uploads/2022/10/17065323/Jarang-Disadari-Ini-X-Manfaat-Ikan-Kembung-bagi-Kesehatan.jpg</t>
  </si>
  <si>
    <t>Ikan Papuyu bakar</t>
  </si>
  <si>
    <t>https://img-global.cpcdn.com/recipes/c0df8c1401aba288/1200x630cq70/photo.jpg</t>
  </si>
  <si>
    <t>Ikan papuyu/ betok segar</t>
  </si>
  <si>
    <t>https://www.researchgate.net/publication/334733354/figure/fig1/AS:785755827888128@1564350196700/Gambar-5-Papuyu-Anabas-testudineus.ppm</t>
  </si>
  <si>
    <t>Ikan Patin bakar</t>
  </si>
  <si>
    <t>https://awsimages.detik.net.id/community/media/visual/2022/05/16/resep-ikan-patin-bakar-bumbu-kecap-pedas_43.jpeg?w=1200</t>
  </si>
  <si>
    <t>Ikan Patin segar</t>
  </si>
  <si>
    <t>https://trubus.id/wp-content/uploads/2022/08/Tiga-Olahan-Enak-Berbahan-Baku-Ikan-Patin-dok.-trubus.jpg</t>
  </si>
  <si>
    <t>Ikan peda banjar mentah</t>
  </si>
  <si>
    <t>https://images.tokopedia.net/img/cache/500-square/product-1/2020/4/28/7175728/7175728_25c6290f-ccb7-47d2-a15c-1266d270670a_1000_1000.jpg</t>
  </si>
  <si>
    <t>Ikan Pepetek</t>
  </si>
  <si>
    <t>https://upload.wikimedia.org/wikipedia/commons/1/18/Eubleekeria_splendens.jpg</t>
  </si>
  <si>
    <t>Ikan Pindang banjar mentah</t>
  </si>
  <si>
    <t>https://images.tokopedia.net/img/cache/700/VqbcmM/2020/9/9/44e37968-f73e-414b-85e9-9827c1aa143d.jpg</t>
  </si>
  <si>
    <t>Ikan Pindang benggol mentah</t>
  </si>
  <si>
    <t>https://images.tokopedia.net/img/cache/700/product-1/2020/5/18/100272860/100272860_f2502f9f-9d38-4cdd-b059-e7ca97aa1eff_663_663</t>
  </si>
  <si>
    <t>Ikan Pindang layang mentah</t>
  </si>
  <si>
    <t>https://cf.shopee.co.id/file/0e26765825aea3e4317d06e1bdc59e54</t>
  </si>
  <si>
    <t>Ikan Pindang selar mentah</t>
  </si>
  <si>
    <t>https://s3.dimanaja.com/resep/cover/pindang-ikan-selar-e069d05.webp</t>
  </si>
  <si>
    <t>Ikan sale lais mentah</t>
  </si>
  <si>
    <t>https://images.tokopedia.net/img/cache/700/product-1/2016/10/28/4294887/4294887_93a595e0-6049-492f-9da8-1a9d01d36dba.jpg</t>
  </si>
  <si>
    <t>Ikan Sale segar</t>
  </si>
  <si>
    <t>https://www.bengkulutoday.com/sites/default/files/article/2021-04/salai.jpg</t>
  </si>
  <si>
    <t>Ikan saluang kering mentah</t>
  </si>
  <si>
    <t>https://cf.shopee.co.id/file/7c26ef3abb212c815cac1b6bb8aa7314</t>
  </si>
  <si>
    <t>Ikan saluang segar</t>
  </si>
  <si>
    <t>https://upload.wikimedia.org/wikipedia/id/0/0d/Rasbora-borapatensis.jpg</t>
  </si>
  <si>
    <t>Ikan sanggang masakan</t>
  </si>
  <si>
    <t>https://img-global.cpcdn.com/recipes/fafa134ca5a95acb/680x482cq70/ikan-bakar-kelabau-ala-mamak-tya-foto-resep-utama.jpg</t>
  </si>
  <si>
    <t>Ikan sarden segar</t>
  </si>
  <si>
    <t>https://asset-a.grid.id/crop/0x0:0x0/700x465/photo/2020/02/17/2999385616.jpg</t>
  </si>
  <si>
    <t>Ikan Segar</t>
  </si>
  <si>
    <t>https://awsimages.detik.net.id/community/media/visual/2018/10/29/00c23498-0ad9-42cc-b788-2a04cd3e8fc5.jpeg?w=650&amp;q=90</t>
  </si>
  <si>
    <t>Ikan Selar kering</t>
  </si>
  <si>
    <t>https://awsimages.detik.net.id/community/media/visual/2022/01/03/cara-menggoreng-ikan-selar-1_43.jpeg?w=700&amp;q=90</t>
  </si>
  <si>
    <t>Ikan selar kuning cue mentah</t>
  </si>
  <si>
    <t>https://upload.wikimedia.org/wikipedia/commons/3/3e/Selaro_leptole_100812-6006_tdp.jpg</t>
  </si>
  <si>
    <t>Ikan selar segar</t>
  </si>
  <si>
    <t>https://upload.wikimedia.org/wikipedia/commons/thumb/3/3e/Selaro_leptole_100812-6006_tdp.jpg/1200px-Selaro_leptole_100812-6006_tdp.jpg</t>
  </si>
  <si>
    <t>Ikan Sepat kering</t>
  </si>
  <si>
    <t>https://nnc-media.netralnews.com/286497-ikan%20sepat%20kering-kompasiana.jpg</t>
  </si>
  <si>
    <t>Ikan sepat segar</t>
  </si>
  <si>
    <t>https://i0.wp.com/agrotek.id/hewan/wp-content/uploads/2021/07/Jenis-Ciri-Habitat-dan-Makanan-Ikan-Sepat.jpg?fit=1366%2C768&amp;ssl=1</t>
  </si>
  <si>
    <t>Ikan sidat segar</t>
  </si>
  <si>
    <t>Ikan sunu asin mentah</t>
  </si>
  <si>
    <t>https://s1.bukalapak.com/img/10859818002/large/data.jpeg</t>
  </si>
  <si>
    <t>Ikan sunu segar</t>
  </si>
  <si>
    <t>https://upload.wikimedia.org/wikipedia/commons/3/32/Plectropomus_leopardus.jpg</t>
  </si>
  <si>
    <t>Ikan tahuman segar</t>
  </si>
  <si>
    <t>https://rimbakita.com/wp-content/uploads/2021/01/ikan-toman.jpg</t>
  </si>
  <si>
    <t>Ikan tarmon segar</t>
  </si>
  <si>
    <t>https://nakamaaquatics.id/wp-content/uploads/2018/05/Indo-Pasific-Tarpon.png</t>
  </si>
  <si>
    <t>Ikan telan segar</t>
  </si>
  <si>
    <t>https://blogger.googleusercontent.com/img/a/AVvXsEgba6E89_I30f-0A_i3n5JS5xSCizdlJInQuk2baiseXg5ni9m3oW5P_m19BjUXNHT5-TTWCNUPtQwytE_eODWyGe9_yv6W5m6EzITwy12weA1rdZE5V5qnaUYlq_0ekxES9VRKpBrBYvmP0Bu2B4coMg1fx1gKJXs4andJfgUVrKfxbkUp1G0rB-240Q=w1200-h630-p-k-no-nu</t>
  </si>
  <si>
    <t>Ikan telur asin mentah</t>
  </si>
  <si>
    <t>https://i0.wp.com/resepkoki.id/wp-content/uploads/2017/09/Fish-roe.jpg?fit=540%2C404&amp;ssl=1</t>
  </si>
  <si>
    <t>Ikan Tembang</t>
  </si>
  <si>
    <t>https://images.tokopedia.net/img/cache/500-square/VqbcmM/2022/4/19/87543f36-a30b-438c-87df-cc28f4fef66c.jpg</t>
  </si>
  <si>
    <t>Ikan tempahas segar</t>
  </si>
  <si>
    <t>https://upload.wikimedia.org/wikipedia/commons/thumb/7/7d/Wallagonia_leerii.jpg/1200px-Wallagonia_leerii.jpg</t>
  </si>
  <si>
    <t>Ikan tepung mentah</t>
  </si>
  <si>
    <t>https://www.hypermart.co.id/wp-content/uploads/elementor/thumbs/39-p5q08kcf3d0lwn296wiprds6lco6xhci500fw5m7fc.jpg</t>
  </si>
  <si>
    <t>Ikan terbang segar</t>
  </si>
  <si>
    <t>https://cdn1-production-images-kly.akamaized.net/2nIB6HIv40IwoVBiHpf01GwGYG4=/1280x720/smart/filters:quality(75):strip_icc():format(webp)/kly-media-production/medias/1379786/original/078541800_1476951455-ikan-terbang.jpg</t>
  </si>
  <si>
    <t>Ikan Teri bubuk</t>
  </si>
  <si>
    <t>https://healthycornersby.com/wp-content/uploads/2020/02/WhatsApp-Image-2020-02-24-at-9.55.30-AM.jpeg</t>
  </si>
  <si>
    <t>Ikan Teri kering</t>
  </si>
  <si>
    <t>https://cdn0-production-images-kly.akamaized.net/4bbReyz-sVqbGn_hW5cfWFGKH3k=/735x0:1734x1332/469x625/filters:quality(75):strip_icc():format(webp)/kly-media-production/medias/2874061/original/070741100_1565075348-shutterstock_1277489326.jpg</t>
  </si>
  <si>
    <t>Ikan Teri Kering tawar</t>
  </si>
  <si>
    <t>https://id-live-01.slatic.net/p/2c66b75ba7c1ae5fc1aff0e6ba330871.jpg</t>
  </si>
  <si>
    <t>Ikan Teri Nasi kering</t>
  </si>
  <si>
    <t>https://s0.bukalapak.com/img/54156313/large/teri_nasi.jpg</t>
  </si>
  <si>
    <t>Ikan teri segar</t>
  </si>
  <si>
    <t>https://imgx.parapuan.co/crop/158x87:1101x703/945x630/photo/2022/03/17/istock-1338406521jpg-20220317072335.jpg</t>
  </si>
  <si>
    <t>Ikan Teri tepung</t>
  </si>
  <si>
    <t>https://kbu-cdn.com/dk/wp-content/uploads/teri-kriuk.jpg</t>
  </si>
  <si>
    <t>Ikan titang segar</t>
  </si>
  <si>
    <t>https://www.greeners.co/wp-content/uploads/2021/06/Ikan-Kiper.jpg</t>
  </si>
  <si>
    <t>Ikan tongkol segar</t>
  </si>
  <si>
    <t>https://upload.wikimedia.org/wikipedia/commons/5/5d/Euthyn_affin_101018-8111_tdp.jpg</t>
  </si>
  <si>
    <t>Ikan turi segar</t>
  </si>
  <si>
    <t>https://www.garnesia.com/images/vendor/v4934.jpg</t>
  </si>
  <si>
    <t>Intip goreng</t>
  </si>
  <si>
    <t>https://img-global.cpcdn.com/recipes/4dece0e171a7ee52/1200x630cq70/photo.jpg</t>
  </si>
  <si>
    <t>Itik alabio daging dendeng mentah</t>
  </si>
  <si>
    <t>https://2.bp.blogspot.com/-SbmA8hgkc0o/WJCLWXFxWdI/AAAAAAAAAew/-RmRX3YjJ3EtldaLu6fvsQoQvowStN2OwCLcB/s1600/287162783_4_644x461_dendeng-itik-rina-asli-amuntai-rumah-tangga.jpg</t>
  </si>
  <si>
    <t>Jagung grontol</t>
  </si>
  <si>
    <t>https://img-global.cpcdn.com/recipes/763fb46246f99eb2/680x482cq70/grontol-jagung-foto-resep-utama.jpg</t>
  </si>
  <si>
    <t>Jagung Kuning giling</t>
  </si>
  <si>
    <t>https://i0.wp.com/hobiternak.com/wp-content/uploads/2018/10/Jagung-Giling.jpg?ssl=1</t>
  </si>
  <si>
    <t>Jagung Kuning muda</t>
  </si>
  <si>
    <t>https://asset.kompas.com/crops/HUdXp3hvaVaonEfuXn7HIdFl66A=/100x98:900x632/750x500/data/photo/2023/04/25/6447c89e49faa.jpg</t>
  </si>
  <si>
    <t>Jagung Kuning pipil baru</t>
  </si>
  <si>
    <t>https://img.freepik.com/free-photo/heap-grains-maiz-background-pile_1417-409.jpg?w=1060&amp;t=st=1684231990~exp=1684232590~hmac=fe077cdb34e08b9400fe5947a004f01634731054b42142ff29ea2ae9c6a7c519</t>
  </si>
  <si>
    <t>Jagung kuning pipil kering mentah</t>
  </si>
  <si>
    <t>https://images.tokopedia.net/img/cache/700/VqbcmM/2021/3/9/46770004-bb6d-4090-9004-d533f57099b6.jpg</t>
  </si>
  <si>
    <t>Jagung Kuning pipil lama</t>
  </si>
  <si>
    <t>Jagung kuning pipil rebus</t>
  </si>
  <si>
    <t>https://asset-a.grid.id/crop/0x0:0x0/700x0/photo/2021/11/13/webpnet-resizeimage-2021-11-1-20211113101409.jpg</t>
  </si>
  <si>
    <t>Jagung Kuning segar</t>
  </si>
  <si>
    <t>https://img.freepik.com/free-photo/fresh-corn-wooden-table_93675-128402.jpg?w=1060&amp;t=st=1684232021~exp=1684232621~hmac=042e896b6f66894e080286eff787ce22c624d05b8a23aca7b2a8697e1db9c2a4</t>
  </si>
  <si>
    <t>Jagung kuning tepung</t>
  </si>
  <si>
    <t>https://asset.kompas.com/crops/DML-7ulQtT9LImhG3ktsEsZGSvk=/0x0:780x520/780x390/data/photo/2020/06/28/5ef8bf9a2b929.jpg</t>
  </si>
  <si>
    <t>Jagung muda</t>
  </si>
  <si>
    <t>https://images.tokopedia.net/img/cache/700/VqbcmM/2021/5/30/92010621-b054-4943-a591-999d1a51d8f6.jpg</t>
  </si>
  <si>
    <t>Jagung muda kuning mentah</t>
  </si>
  <si>
    <t>https://cdn0-production-images-kly.akamaized.net/TEujZlJaBxECV4gi2Q1Wsm-MQEM=/1200x675/smart/filters:quality(75):strip_icc():format(jpeg)/kly-media-production/medias/2861087/original/051181600_1563862977-corn-4318296_1920.jpg</t>
  </si>
  <si>
    <t>Jagung muda rebus</t>
  </si>
  <si>
    <t>https://img-global.cpcdn.com/recipes/692c7955006bca76/1200x630cq70/photo.jpg</t>
  </si>
  <si>
    <t>Jagung pipil var. harapan kering</t>
  </si>
  <si>
    <t>https://s2.bukalapak.com/img/7921308452/large/IMG_20180418_WA0037_scaled.jpg</t>
  </si>
  <si>
    <t>Jagung pipil var. metro kering</t>
  </si>
  <si>
    <t>https://cdn.antaranews.com/cache/800x533/2011/05/20110519103631tanaman.gif</t>
  </si>
  <si>
    <t>Jagung Putih giling</t>
  </si>
  <si>
    <t>https://s.alicdn.com/@sc04/kf/Af5e0567d01f840f1be84540684200cabd.png</t>
  </si>
  <si>
    <t>Jagung Putih muda</t>
  </si>
  <si>
    <t>https://awsimages.detik.net.id/community/media/visual/2023/01/30/resep-tumis-jagung-muda-dan-ayam-1_43.jpeg?w=480</t>
  </si>
  <si>
    <t>Jagung Putih pipil baru</t>
  </si>
  <si>
    <t>https://sg-live-01.slatic.net/p/2d3e9d117d7da5fe175c4490faa98074.jpg</t>
  </si>
  <si>
    <t>Jagung Putih pipil lama</t>
  </si>
  <si>
    <t>Jagung Putih segar</t>
  </si>
  <si>
    <t>https://cdn.timesmedia.co.id/images/2018/05/01/Jagung-Putih-Bukalapak.jpg</t>
  </si>
  <si>
    <t xml:space="preserve">Jagung Rebus </t>
  </si>
  <si>
    <t>https://asset.kompas.com/crops/L0i8I7tD8bIDLcs9nVG_Ok9egfI=/0x0:1000x667/750x500/data/photo/2021/10/05/615b9e713eeda.jpg</t>
  </si>
  <si>
    <t xml:space="preserve">Jagung Sayur (tumis) </t>
  </si>
  <si>
    <t>https://ibusayur.my.id/wp-content/uploads/2022/08/ibusayur.my.id-sayur-nangka-51661b26-eb56-4072-8613-65cb6b4c2ecb.png</t>
  </si>
  <si>
    <t>Jagung titi</t>
  </si>
  <si>
    <t>https://www.goodnewsfromindonesia.id/uploads/post/large-jagung-titi-khas-nusa-tenggara-timur-tagar-auto-x2-6d59375d908da9e03022e47ce4038409.jpg</t>
  </si>
  <si>
    <t>Jahe</t>
  </si>
  <si>
    <t>https://s3-publishing-cmn-svc-prd.s3.ap-southeast-1.amazonaws.com/article/yGGUi3g36leAkNBWE0jT6/original/044762400_1598525725-Ini-Bedanya-Manfaat-Jahe-Merah-Jahe-Putih-dan-Jahe-Emprit-shutterstock_585874265.jpg</t>
  </si>
  <si>
    <t>Jali</t>
  </si>
  <si>
    <t>https://statics.indozone.news/content/2020/11/20/qEsjPJP/jali-jali-superfood-dengan-pemanfaatan-terbatas-di-indonesia98_700.jpg</t>
  </si>
  <si>
    <t>Jam selai</t>
  </si>
  <si>
    <t>https://i0.wp.com/pinkkorset.com/wp-content/uploads/2016/07/selai.jpg</t>
  </si>
  <si>
    <t>Jambal goreng</t>
  </si>
  <si>
    <t>https://img-global.cpcdn.com/recipes/c8380e9b21a49f17/680x482cq70/ikan-asin-jambal-goreng-renyah-tips-foto-resep-utama.jpg</t>
  </si>
  <si>
    <t>Jambu Air</t>
  </si>
  <si>
    <t>https://demfarm.id/wp-content/uploads/2022/08/rose-apples-or-chomphu-isolated-on-white-backgroun-2021-09-03-19-03-57-utc-1024x768.jpg</t>
  </si>
  <si>
    <t>Jambu Biji</t>
  </si>
  <si>
    <t>https://asset.kompas.com/crops/4TGyZIJJ3wev1NuC6g-2Pggg6tA=/51x58:931x644/750x500/data/photo/2022/10/28/635b7364a7089.jpg</t>
  </si>
  <si>
    <t>Jambu biji putih tidak berbiji</t>
  </si>
  <si>
    <t>https://asset.kompas.com/crops/5tqZoxNrD7W4y60L4TJeRG9hIDM=/2x1:1000x667/375x240/data/photo/2021/06/15/60c8497419234.jpg</t>
  </si>
  <si>
    <t>Jambu Bol</t>
  </si>
  <si>
    <t>https://asset.kompas.com/crops/CRaVBVmC7B0888k4y86iwwNsCvo=/0x41:1000x707/750x500/data/photo/2021/06/15/60c82d8d8e0d2.jpg</t>
  </si>
  <si>
    <t>Jambu Monyet buah</t>
  </si>
  <si>
    <t>https://images.tokopedia.net/img/cache/500-square/product-1/2018/1/7/15542540/15542540_dac5a5c7-8e74-415d-b2c9-2725481acb7d_705_628.jpg</t>
  </si>
  <si>
    <t>Jampang huma mentah</t>
  </si>
  <si>
    <t>https://assets.tokko.io/ff2dd45e-0891-49db-bf59-8cb4abad9ad1/products/images/4332adf2-41b4-4e4c-8a05-404d66b7d3b7</t>
  </si>
  <si>
    <t>Jamur Coklat (kulat siau)</t>
  </si>
  <si>
    <t>https://img-global.cpcdn.com/recipes/a08c63a31c3cf541/680x482cq70/kolat-tiungkulat-siaujamur-merahjamur-kalimantanjamur-hutan-foto-resep-utama.jpg</t>
  </si>
  <si>
    <t>Jamur encik</t>
  </si>
  <si>
    <t>https://asset-a.grid.id//crop/0x0:0x0/700x0/photo/2019/10/29/3488789990.jpg</t>
  </si>
  <si>
    <t>Jamur kuping kering</t>
  </si>
  <si>
    <t>https://asset.kompas.com/crops/3caJpamNwFqn62cq9Tf8ZRPsIh4=/0x41:1000x707/750x500/data/photo/2021/12/06/61ad642aaebd0.jpg</t>
  </si>
  <si>
    <t>Jamur kuping segar</t>
  </si>
  <si>
    <t>https://res.cloudinary.com/dk0z4ums3/image/upload/v1677240659/attached_image/10-manfaat-jamur-kuping-bagi-kesehatan-yang-sayang-dilewatkan.jpg</t>
  </si>
  <si>
    <t>Jamur merang segar</t>
  </si>
  <si>
    <t>https://images.tokopedia.net/img/cache/500-square/VqbcmM/2021/5/18/4d757a05-da96-4e08-9f32-3d899e031add.jpg</t>
  </si>
  <si>
    <t>Jamur Putih (kulat putih)</t>
  </si>
  <si>
    <t>https://www.nahuby.sk/images/fotosutaz/2011/09/28/peter_stalnik_288950.jpg</t>
  </si>
  <si>
    <t>Jamur sagu</t>
  </si>
  <si>
    <t>https://www.teropongmalut.com/wp-content/uploads/2022/09/IMG-20220903-WA0037.jpg</t>
  </si>
  <si>
    <t>Jamur tiram segar</t>
  </si>
  <si>
    <t>https://asset.kompas.com/crops/3R88xEE7NLaT0rK6S_XENi_1zd8=/4x6:996x667/750x500/data/photo/2021/05/20/60a5f01d9e454.jpg</t>
  </si>
  <si>
    <t>Jangang bintatoeng masakan</t>
  </si>
  <si>
    <t>https://img-global.cpcdn.com/recipes/6c2521b843621d65/1200x630cq70/photo.jpg</t>
  </si>
  <si>
    <t>Jantung Pisang segar</t>
  </si>
  <si>
    <t>https://asset.kompas.com/crops/2zx51z9WAiu1a3cgaM959AQ3FfU=/0x0:1000x667/750x500/data/photo/2021/07/30/610382161a0ea.jpeg</t>
  </si>
  <si>
    <t>Japilus</t>
  </si>
  <si>
    <t>https://id-test-11.slatic.net/p/d809d741c919c2e26bf7e8d56c038b2a.jpg</t>
  </si>
  <si>
    <t>Jaruk Tigarun</t>
  </si>
  <si>
    <t>https://img-global.cpcdn.com/recipes/5c50bcf45854e703/680x482cq70/jaruk-kembang-tigarun-foto-resep-utama.jpg</t>
  </si>
  <si>
    <t>Jawawut</t>
  </si>
  <si>
    <t>https://cdn.idntimes.com/content-images/community/2019/06/jewawut-c5d88cea040490164bd3275c6903bfa3.jpg</t>
  </si>
  <si>
    <t xml:space="preserve">Jenang </t>
  </si>
  <si>
    <t>https://cdn.idntimes.com/content-images/community/2022/01/fromandroid-fbaa0f050bd3678e2e78518c3020f9f9_600x400.jpg</t>
  </si>
  <si>
    <t>Jengkol segar</t>
  </si>
  <si>
    <t>https://asset.kompas.com/crops/O1NhMjXQxojyWCncDswDkrWpdS4=/0x76:1000x742/750x500/data/photo/2021/09/20/6147fb289e795.jpg</t>
  </si>
  <si>
    <t>Jeruk Bali</t>
  </si>
  <si>
    <t>https://d1vbn70lmn1nqe.cloudfront.net/prod/wp-content/uploads/2021/11/15053620/Jeruk-Bali-Kaya-Vitamin-C-Ini-Manfaatnya-untuk-Kesehatan.jpg</t>
  </si>
  <si>
    <t>Jeruk banjar segar</t>
  </si>
  <si>
    <t>https://images.tokopedia.net/img/cache/250-square/VqbcmM/2022/6/20/c671b4ac-5716-43f7-a15a-3a946e27c869.jpg?ect=4g</t>
  </si>
  <si>
    <t>Jeruk Garut</t>
  </si>
  <si>
    <t>https://niagatani.id/public/uploads/all/dPV6XsNI9r3rTpv9M1svWGkSKVRoALQcCIJTueAk.jpg</t>
  </si>
  <si>
    <t>Jeruk Kalamansi segar</t>
  </si>
  <si>
    <t>https://lzd-img-global.slatic.net/g/ff/kf/Sd9344c04c7df41bb8787ac8325e92891D.jpg_200x200q80.jpg_.webp</t>
  </si>
  <si>
    <t>Jeruk Manis</t>
  </si>
  <si>
    <t>https://img.okezone.com/content/2015/07/30/298/1187784/tips-pilih-jeruk-berkualitas-baik-segar-oOeyrrcWKr.jpg</t>
  </si>
  <si>
    <t>Jeruk Nipis</t>
  </si>
  <si>
    <t>https://asset-a.grid.id/crop/0x0:0x0/700x465/photo/2020/03/02/2284586354.png</t>
  </si>
  <si>
    <t>Jeruk ragi segar</t>
  </si>
  <si>
    <t>https://images.tokopedia.net/img/cache/250-square/hDjmkQ/2021/1/3/2de49603-36db-48fc-9749-df7946340f62.png</t>
  </si>
  <si>
    <t>Jotang</t>
  </si>
  <si>
    <t>https://upload.wikimedia.org/wikipedia/commons/4/44/Acmel_panic_100301-0161_sbrg.jpg</t>
  </si>
  <si>
    <t>Jukku pallu kaloa masakan</t>
  </si>
  <si>
    <t>https://blue.kumparan.com/image/upload/fl_progressive,fl_lossy,c_fill,q_auto:best,f_jpg,w_480/bj0crytdzulie8ypcyxz.jpg</t>
  </si>
  <si>
    <t>Kabau segar</t>
  </si>
  <si>
    <t>https://images.tokopedia.net/img/cache/700/VqbcmM/2021/6/3/255b2a88-b862-413f-a0cc-ebcd29434199.jpg.webp</t>
  </si>
  <si>
    <t>Kaburan ubi segar</t>
  </si>
  <si>
    <t>https://foto.kontan.co.id/fHSXSoMtEpGrecd0KCpAArEf5W0=/smart/2018/12/10/1579520447p.jpg</t>
  </si>
  <si>
    <t>Kabuto</t>
  </si>
  <si>
    <t>https://cdn0-production-images-kly.akamaized.net/hZKL7YCCO0DmgDk3ROjdgSZ6lJc=/174x0:841x667/1200x1200/filters:quality(75):strip_icc():format(webp)/kly-media-production/medias/3242002/original/017665300_1600417068-shutterstock_1339481684.jpg</t>
  </si>
  <si>
    <t>Kacang Andong</t>
  </si>
  <si>
    <t>https://bibitbunga.com/wp-content/uploads/2017/03/manfaat-kacang-koro-untuk-kesehatan.jpg</t>
  </si>
  <si>
    <t>Kacang Arab</t>
  </si>
  <si>
    <t>https://img.okezone.com/content/2021/02/04/298/2356167/mengenal-chickpea-kacang-arab-penuh-nutrisi-yang-baik-untuk-tubuh-ahltPCXlfV.jpg</t>
  </si>
  <si>
    <t>Kacang atom</t>
  </si>
  <si>
    <t>https://img-global.cpcdn.com/recipes/74c03b7bf26daaf4/680x482cq70/sukro-kacang-atom-foto-resep-utama.jpg</t>
  </si>
  <si>
    <t>Kacang babi kering</t>
  </si>
  <si>
    <t>https://www.static-src.com/wcsstore/Indraprastha/images/catalog/full//110/MTA-29695870/no_brand_bubuk_biji_koro_benguk_hitam_-_kacang_babi_-_kacang_kowas_kering_1_kg_full10_rcfasmvl.jpg</t>
  </si>
  <si>
    <t>Kacang belimbing (kecipir) kering</t>
  </si>
  <si>
    <t>https://i0.wp.com/resepkoki.id/wp-content/uploads/2018/03/kecipir2.jpg?fit=500%2C500&amp;ssl=1</t>
  </si>
  <si>
    <t>Kacang Belimbing rebus</t>
  </si>
  <si>
    <t>https://cdn1-production-images-kly.akamaized.net/TNGJxQzLI6y-VeIWmj2-GBuyLBQ=/1200x900/smart/filters:quality(75):strip_icc():format(jpeg)/kly-media-production/medias/2729965/original/086034000_1550232841-foto_kecipir.JPG</t>
  </si>
  <si>
    <t>Kacang Belimbing tempe</t>
  </si>
  <si>
    <t>https://akcdn.detik.net.id/community/media/visual/2020/06/15/jenis-biji-untuk-bahan-baku-tempe-2_43.jpeg?w=250&amp;q=</t>
  </si>
  <si>
    <t>Kacang beracun segar</t>
  </si>
  <si>
    <t>https://cdn.timesmedia.co.id/images/2021/01/26/Kacang-Merah-2.jpg</t>
  </si>
  <si>
    <t>Kacang Bogor goreng</t>
  </si>
  <si>
    <t>https://img-global.cpcdn.com/recipes/375c798c374e2ef5/680x482cq70/kacang-bogor-goreng-foto-resep-utama.jpg</t>
  </si>
  <si>
    <t>Kacang bogor kering</t>
  </si>
  <si>
    <t>https://id-live-01.slatic.net/p/255d3fb8b6f1958112878b186718fe18.jpg</t>
  </si>
  <si>
    <t>Kacang Bogor rebus</t>
  </si>
  <si>
    <t>https://pbs.twimg.com/media/ErcuMzmVcAQFOI9.jpg</t>
  </si>
  <si>
    <t>Kacang bogor segar</t>
  </si>
  <si>
    <t>https://images.tokopedia.net/img/cache/700/VqbcmM/2021/9/4/81363626-bddb-4204-9c60-a98a15ea01e3.jpg</t>
  </si>
  <si>
    <t>Kacang Endel biji</t>
  </si>
  <si>
    <t>https://asset.kompas.com/crops/OD4HIuyUqbZ89QTHXDG9oEb8fz4=/12x8:1280x853/750x500/data/photo/2022/09/04/6314132a253b9.jpg</t>
  </si>
  <si>
    <t>Kacang ercis segar</t>
  </si>
  <si>
    <t>https://assets.ayobandung.com/crop/0x0:0x0/750x500/webp/photo/2022/05/24/2609424364.jpg</t>
  </si>
  <si>
    <t>kacang galing segar</t>
  </si>
  <si>
    <t>https://encrypted-tbn0.gstatic.com/images?q=tbn:ANd9GcQO_j0Sg_ZZ80_RJolJolWTEGad7VA92qgQPlzgyHiFkA4AbHc0XsxKxaiASj54WcIld-Q&amp;usqp=CAU</t>
  </si>
  <si>
    <t>Kacang goyang</t>
  </si>
  <si>
    <t>https://cdn2.tstatic.net/tribunnewswiki/foto/bank/images/Ilustrasi-kacang-goyang-khas-Sulawesi2.jpg</t>
  </si>
  <si>
    <t>Kacang Gude biji</t>
  </si>
  <si>
    <t>https://d39wptbp5at4nd.cloudfront.net/media/22860_original_IMG-20180318-WA0017.jpg</t>
  </si>
  <si>
    <t>Kacang gude biji kering</t>
  </si>
  <si>
    <t>https://ahligizi.id/blog/wp-content/uploads/2022/03/gude.jpg</t>
  </si>
  <si>
    <t>Kacang Gude biji muda</t>
  </si>
  <si>
    <t>https://filebroker-cdn.lazada.co.id/kf/S7e8dd05201e2416882c2894863f7f8b6p.jpg</t>
  </si>
  <si>
    <t>Kacang Gude muda</t>
  </si>
  <si>
    <t>https://encrypted-tbn3.gstatic.com/licensed-image?q=tbn:ANd9GcQ-WwJwMnCRCqMGqKYWLzBXYcge9l9VJFl2QEaMNuuTtVlE90nV6aXt0RWOG86w90qXNZpQvzXPNwnBX_Q</t>
  </si>
  <si>
    <t>Kacang gude rebus</t>
  </si>
  <si>
    <t>https://img-global.cpcdn.com/recipes/dba1205c0417dd10/680x482cq70/gule-kacang-gude-dan-pepaya-foto-resep-utama.jpg</t>
  </si>
  <si>
    <t>Kacang hijau kering</t>
  </si>
  <si>
    <t>https://cf.shopee.co.id/file/b416e2ddeda943e915e6b496b1e6bb0f</t>
  </si>
  <si>
    <t>kacang hijau rebus</t>
  </si>
  <si>
    <t>https://cdns.klimg.com/merdeka.com/i/w/news/2019/11/19/1126920/540x270/tips-dan-cara-membuat-sari-kacang-hijau-yang-benar-untuk-kesuburan.jpg</t>
  </si>
  <si>
    <t>Kacang hijau var. bakti kering</t>
  </si>
  <si>
    <t>https://cdn.hellosehat.com/wp-content/uploads/2017/10/e3bdc474-shutterstock_1458579881.jpg?w=1200&amp;q=75</t>
  </si>
  <si>
    <t>Kacang hijau var. siwalik kering</t>
  </si>
  <si>
    <t>https://cdns.klimg.com/merdeka.com/i/w/news/2019/10/28/1121036/540x270/7-alasan-konsumsi-kacang-hijau-baik-untuk-wanita.jpg</t>
  </si>
  <si>
    <t>Kacang hitam kering</t>
  </si>
  <si>
    <t>https://s3.bukalapak.com/img/3905433584/large/1_kg_000000_Tausi_Douchi_Dou_chi_Black_Soy_Bean_Kacang_Hitam.jpg</t>
  </si>
  <si>
    <t>Kacang Ijo</t>
  </si>
  <si>
    <t>https://cdn0-production-images-kly.akamaized.net/EfXY7zn0w4mfhomUUiKK4dlg2Cs=/1200x675/smart/filters:quality(75):strip_icc():format(jpeg)/kly-media-production/medias/704437/original/Kacang_Hijau_0714.jpg</t>
  </si>
  <si>
    <t xml:space="preserve">Kacang Kapri Goreng </t>
  </si>
  <si>
    <t>https://sc04.alicdn.com/kf/HTB1TBuVqKuSBuNjSsziq6zq8pXae.jpg</t>
  </si>
  <si>
    <t>Kacang Kapri muda</t>
  </si>
  <si>
    <t>https://idnmedis.com/wp-content/uploads/2020/03/VEPEA34285_3.jpg</t>
  </si>
  <si>
    <t>Kacang Kedelai basah</t>
  </si>
  <si>
    <t>https://tempebumbung.files.wordpress.com/2016/01/biji-kedelai.jpg</t>
  </si>
  <si>
    <t>Kacang kedelai goreng</t>
  </si>
  <si>
    <t>https://img-global.cpcdn.com/recipes/e4e2747431572f24/680x482cq70/kacang-kedelai-goreng-foto-resep-utama.jpg</t>
  </si>
  <si>
    <t>Kacang kedelai kering</t>
  </si>
  <si>
    <t>https://images.tokopedia.net/img/cache/500-square/VqbcmM/2020/10/26/a9bc5ef4-e063-4d3f-933e-50af2da28c3e.jpg</t>
  </si>
  <si>
    <t>Kacang Kedelai kukus</t>
  </si>
  <si>
    <t>https://img2.beritasatu.com/cache/beritasatu/910x580-2/20082012110024.jpg</t>
  </si>
  <si>
    <t>Kacang kedelai rebus</t>
  </si>
  <si>
    <t>https://assets.pikiran-rakyat.com/crop/0x0:0x0/x/photo/2020/07/27/1000907679.jpg</t>
  </si>
  <si>
    <t>Kacang kedelai segar</t>
  </si>
  <si>
    <t>https://media.istockphoto.com/id/998946502/id/foto/closeup-kacang-kedelai-segar.jpg?s=1024x1024&amp;w=is&amp;k=20&amp;c=YDjNN-yd20A-KQODXpi8thMiAjzFk3UXPMd82G1mMbA=</t>
  </si>
  <si>
    <t>Kacang komak segar</t>
  </si>
  <si>
    <t>https://sendme.co.id/img/1649134785.jpg</t>
  </si>
  <si>
    <t>Kacang kuning kering</t>
  </si>
  <si>
    <t>https://img.lovepik.com/photo/20211125/medium/lovepik-soybean-picture_501067376.jpg</t>
  </si>
  <si>
    <t>Kacang lebui /iris kering</t>
  </si>
  <si>
    <t>https://upload.wikimedia.org/wikipedia/commons/thumb/5/58/Cajanus_caja_080716-1078_ayot.jpg/640px-Cajanus_caja_080716-1078_ayot.jpg</t>
  </si>
  <si>
    <t>Kacang mekah polong segar</t>
  </si>
  <si>
    <t>https://media.istockphoto.com/id/146924220/id/foto/kacang-polong-segar-dalam-polong-kacang-polong.jpg?s=1024x1024&amp;w=is&amp;k=20&amp;c=2OA86bH3o03hV8E94FD9yW2ClYjN6E3Q1UeajU8bXVE=</t>
  </si>
  <si>
    <t>Kacang mentega kering</t>
  </si>
  <si>
    <t>https://asset.kompas.com/crops/9lQ0OMqPUCFReecNr0lCP8bJB-M=/128x85:1152x768/750x500/data/photo/2021/04/23/60826e8d1d256.jpg</t>
  </si>
  <si>
    <t>Kacang Merah</t>
  </si>
  <si>
    <t>https://static.honestdocs.id/system/blog_articles/main_hero_images/000/002/101/original/Manfaat_Kacang_Merah_Bagi_Kesehatan_dan_Kecantikan.jpg</t>
  </si>
  <si>
    <t>Kacang merah /banda kering</t>
  </si>
  <si>
    <t>https://id-test-11.slatic.net/p/b97d57abeab6df73f51d9895a292c74d.jpg</t>
  </si>
  <si>
    <t>Kacang merah kering</t>
  </si>
  <si>
    <t>https://asset.kompas.com/crops/nBiP6zOU-h9McvCAclGFwsJwevo=/6x64:806x597/750x500/data/photo/2022/02/16/620c996b3cb39.jpg</t>
  </si>
  <si>
    <t>Kacang Merah kering rebus</t>
  </si>
  <si>
    <t>https://asset.kompas.com/crops/Nas6r0JWAfSTCuULYQOzawPHY1I=/59x3:885x554/780x390/data/photo/2022/02/16/620ca71bcdae7.jpg</t>
  </si>
  <si>
    <t>Kacang merah segar</t>
  </si>
  <si>
    <t>https://o-cdn-cas.sirclocdn.com/parenting/images/manfaat-kacang-merah.width-800.format-webp.webp</t>
  </si>
  <si>
    <t>Kacang Merah segar rebus</t>
  </si>
  <si>
    <t>https://cdn1-production-images-kly.akamaized.net/sw7MW5kTq2GgNjLOMmVju4J51qI=/546x0:1994x1448/1200x900/filters:quality(75):strip_icc():format(webp)/kly-media-production/medias/2578999/original/060869200_1546581834-shutterstock_197295407.jpg</t>
  </si>
  <si>
    <t>Kacang merah tua kering</t>
  </si>
  <si>
    <t>https://sc04.alicdn.com/kf/A4b18aaaf0bb940ba95877544b057be6cK.jpg</t>
  </si>
  <si>
    <t>Kacang mete/biji jambu monyet goreng</t>
  </si>
  <si>
    <t>https://img-global.cpcdn.com/recipes/4f25cc206ec3ac25/680x482cq70/kacang-metemede-goreng-dengan-tips-foto-resep-utama.jpg</t>
  </si>
  <si>
    <t>Kacang mete/biji jambu monyet segar</t>
  </si>
  <si>
    <t>https://sambikelen.lombokutarakab.go.id/assets/files/artikel/sedang_14889020189829709594_313eba7317.jpg</t>
  </si>
  <si>
    <t>Kacang negara</t>
  </si>
  <si>
    <t>https://cdns.klimg.com/merdeka.com/i/w/news/2020/04/30/1172565/content_images/670x335/20200430152447-1-ilustrasi-kacang-tunggak-001-rizqi-adnamazida.jpg</t>
  </si>
  <si>
    <t>Kacang Panjang</t>
  </si>
  <si>
    <t>https://s3-publishing-cmn-svc-prd.s3.ap-southeast-1.amazonaws.com/article/gZoi3RpBmq4C4Hoi6kh2h/original/007943700_1622441473-Kacang-Panjang.jpg</t>
  </si>
  <si>
    <t>Kacang Panjang biji</t>
  </si>
  <si>
    <t>https://cf.shopee.co.id/file/85c586f13afe37142fd479dec06fa623</t>
  </si>
  <si>
    <t>Kacang Panjang kukus</t>
  </si>
  <si>
    <t>https://asset-a.grid.id/crop/0x0:0x0/700x465/photo/2021/08/20/kacang-panjangjpg-20210820065144.jpg</t>
  </si>
  <si>
    <t>Kacang Panjang tumis</t>
  </si>
  <si>
    <t>https://asset.kompas.com/crops/If5HOEMwzIA4cyaXwjSvrF79U2E=/1x25:963x667/750x500/data/photo/2021/02/27/6039ddfacfede.jpg</t>
  </si>
  <si>
    <t>Kacang ranti polong</t>
  </si>
  <si>
    <t>https://www.andrafarm.co.id/_andra_farm/gambar_kelompok/a140.jpg</t>
  </si>
  <si>
    <t>Kacang sukro</t>
  </si>
  <si>
    <t>https://icalan.id/userfile/filemanager/834//lz-olshop_1630921772-uTyPi.jpeg</t>
  </si>
  <si>
    <t xml:space="preserve">Kacang Sukro Putih </t>
  </si>
  <si>
    <t>https://cdn1.productnation.co/stg/sites/5/5cbfb08983c9b.jpeg</t>
  </si>
  <si>
    <t>Kacang Tanah atom</t>
  </si>
  <si>
    <t>https://assets.ayobandung.com/crop/0x0:0x0/750x500/webp/photo/2022/11/21/4260757127.jpg</t>
  </si>
  <si>
    <t>Kacang tanah goreng</t>
  </si>
  <si>
    <t>https://cdn.rasa.my/2018/10/Untitled-design33.png</t>
  </si>
  <si>
    <t>Kacang Tanah kacang sari</t>
  </si>
  <si>
    <t>https://mmc.tirto.id/image/otf/1024x535/2017/07/12/susu-kacang-tanah--ISTOCK.jpg</t>
  </si>
  <si>
    <t>Kacang tanah kering</t>
  </si>
  <si>
    <t>https://imgx.parapuan.co/crop/0x0:0x0/x/photo/2022/03/02/khasiat-kacang-tanah-sebagai-oba-20220302010109.jpg</t>
  </si>
  <si>
    <t xml:space="preserve">Kacang Tanah Rebus </t>
  </si>
  <si>
    <t>https://img-global.cpcdn.com/recipes/ff019c14f757cfbf/1200x630cq70/photo.jpg</t>
  </si>
  <si>
    <t>Kacang Tanah rebus berkulit</t>
  </si>
  <si>
    <t>https://www.wikihow.com/images/8/85/Boil-Peanuts-Step-14-Version-2.jpg</t>
  </si>
  <si>
    <t>Kacang Tanah rempeyek</t>
  </si>
  <si>
    <t>https://img.okezone.com/content/2020/06/15/298/2230610/resep-peyek-kacang-tanah-dan-udang-rebon-renyah-bikin-terus-ngunyah-3j0ZqjZUGs.jpg</t>
  </si>
  <si>
    <t>Kacang Tanah sangan berselaput</t>
  </si>
  <si>
    <t>https://myxo.com.my/wp-content/uploads/2016/01/Bold-Grade-Kernels-700x700.jpg</t>
  </si>
  <si>
    <t>Kacang tanah sangan tanpa selaput</t>
  </si>
  <si>
    <t>https://t-2.tstatic.net/palembang/foto/bank/images/kacang-tanah1-kacang-tanah-tanpa-kulit.jpg</t>
  </si>
  <si>
    <t>Kacang tanah sari</t>
  </si>
  <si>
    <t>https://halalstore.jp/wp-content/uploads/2019/07/k-367-kacang-tanah-sariraya-500g-480yen.jpg</t>
  </si>
  <si>
    <t xml:space="preserve">Kacang Telur </t>
  </si>
  <si>
    <t>https://img-global.cpcdn.com/recipes/18de1fa4c4094900/400x400cq70/photo.jpg</t>
  </si>
  <si>
    <t>Kacang tolo / tunggak kering</t>
  </si>
  <si>
    <t>https://id-live-01.slatic.net/p/ff99e4641bb6620735a89a1caf898a14.jpg</t>
  </si>
  <si>
    <t>Kacang tolo rebus</t>
  </si>
  <si>
    <t>https://img-global.cpcdn.com/recipes/e486ea31cffe0892/680x482cq70/kacang-tolo-kacang-tunggak-rebus-5307-foto-resep-utama.jpg</t>
  </si>
  <si>
    <t>Kacang Tunggak (tolo)</t>
  </si>
  <si>
    <t>https://res.cloudinary.com/dk0z4ums3/image/upload/v1610970899/attached_image/jangan-lewatkan-5-manfaat-kacang-tolo-ini.jpg</t>
  </si>
  <si>
    <t>Kacang Tunggak rebus</t>
  </si>
  <si>
    <t>https://cf.shopee.co.id/file/68892d4ed119d6c119cabdbe11503188</t>
  </si>
  <si>
    <t>Kacang Tunggak rempeyek</t>
  </si>
  <si>
    <t>https://img-global.cpcdn.com/recipes/dc9828ce49f235aa/680x482cq70/peyek-kacang-tunggaktemas-foto-resep-utama.jpg</t>
  </si>
  <si>
    <t>Kacang tunis kering</t>
  </si>
  <si>
    <t>https://sc01.alicdn.com/kf/Aa651abed773a47af8e91ae2da51df3de0.jpg</t>
  </si>
  <si>
    <t>Kacang uci kering</t>
  </si>
  <si>
    <t>https://asset.kompas.com/crops/XHI8qd19XKfLu13brPQP23b8fo0=/65x67:891x618/750x500/data/photo/2022/02/17/620dc04a8ab8f.jpg</t>
  </si>
  <si>
    <t>Kacang urei kering</t>
  </si>
  <si>
    <t>1200px-Painted_Pony_Bean.JPG (1200×900) (wikimedia.org)</t>
  </si>
  <si>
    <t>Kadada katembe</t>
  </si>
  <si>
    <t>https://2.bp.blogspot.com/-Kl9M50i67tY/Wn-7saMXs0I/AAAAAAAAHh4/hHbFU4Fy0s4M8zegnfa_q3kpze8Z5xjXgCLcBGAs/w1200-h630-p-k-no-nu/LogoLicious_20180205_134921.png</t>
  </si>
  <si>
    <t>Kaholeo masakan</t>
  </si>
  <si>
    <t>https://img-global.cpcdn.com/recipes/e82d99f1eb64c14b/680x482cq70/ikan-teri-kaholeo-masak-asam-khas-buton-sulawesi-foto-resep-utama.jpg</t>
  </si>
  <si>
    <t>Kakap</t>
  </si>
  <si>
    <t>Kalakai</t>
  </si>
  <si>
    <t>https://upload.wikimedia.org/wikipedia/commons/2/28/Stenoc_palus_100625-5191_mms.JPG</t>
  </si>
  <si>
    <t>Kalio jeroan masakan</t>
  </si>
  <si>
    <t>https://img-global.cpcdn.com/recipes/2031e463b74f84a0/1200x630cq70/photo.jpg</t>
  </si>
  <si>
    <t>Kalio kikil (tunjang) masakan</t>
  </si>
  <si>
    <t>https://asset.kompas.com/crops/mqYtGN3S_jZncBl0Ug8aj0WNS0E=/0x0:1000x667/750x500/data/photo/2021/03/01/603c964830992.jpg</t>
  </si>
  <si>
    <t>Kalio otak masakan</t>
  </si>
  <si>
    <t>https://asset-a.grid.id/crop/0x0:0x0/700x465/photo/sasefoto/original/32036_kalio-otak.JPG</t>
  </si>
  <si>
    <t>Kalio telur masakan</t>
  </si>
  <si>
    <t>https://img-global.cpcdn.com/recipes/642209af1316da73/680x482cq70/kalio-telur-foto-resep-utama.jpg</t>
  </si>
  <si>
    <t>Kambing daging segar</t>
  </si>
  <si>
    <t>https://akcdn.detik.net.id/visual/2020/10/27/ilustrasi-daging-kambing_169.jpeg?w=650</t>
  </si>
  <si>
    <t>Kambose</t>
  </si>
  <si>
    <t>https://img-global.cpcdn.com/recipes/26bdea923d2d4e15/680x482cq70/sup-dayak-foto-resep-utama.jpg</t>
  </si>
  <si>
    <t>Kangkung</t>
  </si>
  <si>
    <t>https://www.astronauts.id/blog/wp-content/uploads/2023/01/Mengenal-Manfaat-Kangkung-Bagi-Tubuh--1200x900.jpg</t>
  </si>
  <si>
    <t>Kangkung kukus</t>
  </si>
  <si>
    <t>https://cdn1-production-images-kly.akamaized.net/A3CuOjVcvmP6noevlbrt75x6srk=/1200x1200/smart/filters:quality(75):strip_icc():format(webp)/kly-media-production/medias/3446098/original/094275500_1619997238-stir-fried-vegetables-2245082_1280.jpg</t>
  </si>
  <si>
    <t>Kangkung rebus</t>
  </si>
  <si>
    <t>https://cdn0-production-images-kly.akamaized.net/-w7C3Sli-qWhlPa4hmzbg324XkA=/190x0:855x665/1200x1200/filters:quality(75):strip_icc():format(webp)/kly-media-production/medias/4353847/original/077195900_1678438446-shutterstock_1262667451.jpg</t>
  </si>
  <si>
    <t>Kangkung tondano</t>
  </si>
  <si>
    <t>https://www.andrafarm.com/_andra_farm/gambar_kelompok/a046-2.jpg</t>
  </si>
  <si>
    <t>Kangkung tumis</t>
  </si>
  <si>
    <t>https://scm-assets.constant.co/scm/unilever/e9dc924f238fa6cc29465942875fe8f0/17ea3056-4e78-4d25-bd54-cf3a9296188b.jpg</t>
  </si>
  <si>
    <t>Kaparende sayur</t>
  </si>
  <si>
    <t>https://www.gotravelly.com/blog/wp-content/uploads/2021/05/kaparende.jpg</t>
  </si>
  <si>
    <t>Kapri Muda</t>
  </si>
  <si>
    <t>https://image-cdn.medkomtek.com/OCSqvD25KLrQq1bSKxrCwGP_oeI=/640x640/smart/klikdokter-media-buckets/medias/2309803/original/019268400_1575683224-Manfaat-Kacang-Kapri-bagi-Kesehatan-by-Brent-Hofacker-123rf-101578039_s.jpg</t>
  </si>
  <si>
    <t>Kapurung</t>
  </si>
  <si>
    <t>https://rasabunda.com/wp-content/uploads/2021/08/Kapurung.jpg</t>
  </si>
  <si>
    <t>Kapusa</t>
  </si>
  <si>
    <t>https://nilaigizi.com/assets/images/produk/produk_1538364792.jpg</t>
  </si>
  <si>
    <t>Karawila</t>
  </si>
  <si>
    <t>https://d1vbn70lmn1nqe.cloudfront.net/prod/wp-content/uploads/2022/11/14043340/5-manfaat-sayur-oyong-bagi-kesehatan-tubuh-halodoc.jpg</t>
  </si>
  <si>
    <t xml:space="preserve">Karedok </t>
  </si>
  <si>
    <t>https://asset.kompas.com/crops/szsUOraQ00vakiV0314KT6-71v8=/0x0:1000x667/750x500/data/photo/2021/07/07/60e56c9f60649.jpg</t>
  </si>
  <si>
    <t>Karedok sayur</t>
  </si>
  <si>
    <t>https://asset.kompas.com/crops/jbNcoL1_PmijICoxtO4126XbZgM=/0x0:1000x667/780x390/data/photo/2021/07/07/60e56c9f60649.jpg</t>
  </si>
  <si>
    <t xml:space="preserve">Karoket </t>
  </si>
  <si>
    <t>https://img-global.cpcdn.com/recipes/3ac8414039a793c2/680x482cq70/karoket-indomie-foto-resep-utama.jpg</t>
  </si>
  <si>
    <t>Katak</t>
  </si>
  <si>
    <t>https://cdn1-production-images-kly.akamaized.net/e8re_jFwgunefEHuSaulapyNoh4=/1200x900/smart/filters:quality(75):strip_icc():format(jpeg)/kly-media-production/medias/1272374/original/013170600_1466667636-dagk.jpg</t>
  </si>
  <si>
    <t>Katul Beras</t>
  </si>
  <si>
    <t>https://cdn.idntimes.com/content-images/post/20170623/rye-bran-2500-56a210e73df78cf7727192c2-f82bea323262cc6f562d6321d24ab643_600x400.jpg</t>
  </si>
  <si>
    <t>Katul Jagung</t>
  </si>
  <si>
    <t>https://s2.bukalapak.com/img/2370243413/large/20180830_215736_scaled.jpg</t>
  </si>
  <si>
    <t>Kawista segar</t>
  </si>
  <si>
    <t>https://cf.shopee.co.id/file/293d8f06ecc4a6b0022b24dbc2230d06_tn</t>
  </si>
  <si>
    <t>Kecap</t>
  </si>
  <si>
    <t>https://awsimages.detik.net.id/community/media/visual/2022/07/18/titik-kritis-kehalalan-kecap-1.jpeg?w=700&amp;q=90</t>
  </si>
  <si>
    <t>Kecimpring singkong goreng</t>
  </si>
  <si>
    <t>https://www.eresep.com/media/images/resep/2020/11/18/u9be0rva491sknkbkqfhhuifa1kecip.jpg.1000x650_q85.jpg</t>
  </si>
  <si>
    <t>Kecipir biji</t>
  </si>
  <si>
    <t>https://images.tokopedia.net/img/cache/500-square/product-1/2020/3/27/97682031/97682031_f091ebf8-1cac-4b60-8337-825c870286c9_624_624.jpg</t>
  </si>
  <si>
    <t>Kecipir buah muda</t>
  </si>
  <si>
    <t>https://asset-a.grid.id/crop/0x0:0x0/x/photo/2018/05/07/3810331211.jpg</t>
  </si>
  <si>
    <t>Kecipir muda segar</t>
  </si>
  <si>
    <t>https://images.tokopedia.net/img/cache/500-square/VqbcmM/2022/5/4/e8f64f70-84a2-45bc-b615-b63eb60fe9cb.jpg</t>
  </si>
  <si>
    <t>Kecombrang segar</t>
  </si>
  <si>
    <t>https://images.tokopedia.net/img/cache/700/VqbcmM/2021/3/15/aa94797a-c3d6-4f9f-a9e2-942dec4ebeea.jpg</t>
  </si>
  <si>
    <t xml:space="preserve">Kedondong segar </t>
  </si>
  <si>
    <t>https://images.tokopedia.net/img/cache/500-square/VqbcmM/2021/12/4/5329d842-9637-48e3-9d33-eb653a5d9f88.jpg</t>
  </si>
  <si>
    <t>Keju</t>
  </si>
  <si>
    <t>https://cdns.klimg.com/merdeka.com/i/w/news/2020/05/08/1175035/content_images/670x335/20200508114326-1-ilustrasi-keju-008-destriyana.jpg</t>
  </si>
  <si>
    <t>Keju Kacang Tanah</t>
  </si>
  <si>
    <t>https://img.freepik.com/free-photo/cheddar-cheese-dark-wooden-surface_1150-41937.jpg?w=1060&amp;t=st=1684238932~exp=1684239532~hmac=578424a4cc6bde6d195628ec281e5daa943e767e0e6d813354904914dc34af51</t>
  </si>
  <si>
    <t>Kelapa hutan kering</t>
  </si>
  <si>
    <t>https://cf.shopee.co.id/file/b744bbf5c824fbcba58e1aeff62b2e8f</t>
  </si>
  <si>
    <t>Kelapa Muda air</t>
  </si>
  <si>
    <t>https://img.okezone.com/content/2023/02/10/298/2762492/6-manfaat-minum-air-kelapa-muda-selain-melepas-dahaga-TMckAbHjlI.jpeg</t>
  </si>
  <si>
    <t>Kelapa Muda daging</t>
  </si>
  <si>
    <t>https://assets.tokko.io/7785295b-a6a6-4936-ab19-a31759ef44d7/products/images/8f8a1078-27c5-43e8-8a32-93738de68b9d</t>
  </si>
  <si>
    <t>Kelapa Setengah Tua daging</t>
  </si>
  <si>
    <t>https://doktersehat.com/wp-content/uploads/2020/05/manfaat-daging-kelapa.jpg</t>
  </si>
  <si>
    <t>Kelapa Tua daging</t>
  </si>
  <si>
    <t>https://asset-a.grid.id/crop/0x0:0x0/x/photo/2022/09/06/daging-kelapajpg-20220906030742.jpg</t>
  </si>
  <si>
    <t xml:space="preserve">Kelepon </t>
  </si>
  <si>
    <t>https://caramembuat.id/wp-content/uploads/2022/06/Cara-Membuat-Klepon-Ketan-Khas-Bali.webp</t>
  </si>
  <si>
    <t>Kelewih</t>
  </si>
  <si>
    <t>https://kecipir.com/blog/wp-content/uploads/2018/02/arto_commun_070509_0128_ltn.jpg</t>
  </si>
  <si>
    <t>Kelinci daging segar</t>
  </si>
  <si>
    <t>https://cdn0-production-images-kly.akamaized.net/Gw1RJQgcjxFIOkJZPYqIZasno4E=/1200x1200/smart/filters:quality(75):strip_icc():format(jpeg)/kly-media-production/medias/759485/original/044795000_1414853739-rabbit-carcass-1-rev.jpg</t>
  </si>
  <si>
    <t>Kemang</t>
  </si>
  <si>
    <t>https://www.mongabay.co.id/wp-content/uploads/2017/11/Kemang.jpg</t>
  </si>
  <si>
    <t>Kembang tahu</t>
  </si>
  <si>
    <t>https://asset.kompas.com/crops/sgS6iHzRJjt2l5GMjgtm8spQscM=/0x0:1000x667/750x500/data/photo/2020/08/22/5f412ff8eee87.jpg</t>
  </si>
  <si>
    <t>Kembang Turi</t>
  </si>
  <si>
    <t>https://blue.kumparan.com/image/upload/fl_progressive,fl_lossy,c_fill,q_auto:best,w_640/v1568729650/gegx4jyvwt2yemk2wou0.jpg</t>
  </si>
  <si>
    <t>Kemiri</t>
  </si>
  <si>
    <t>https://d1vbn70lmn1nqe.cloudfront.net/prod/wp-content/uploads/2021/10/11044054/Mengenal-Manfaat-Kemiri-untuk-Kesehatan-Tubuh.jpg</t>
  </si>
  <si>
    <t>Kenari</t>
  </si>
  <si>
    <t>https://cdn.antaranews.com/cache/800x533/2021/09/03/Screenshot_2021-09-03-09-41-57-05_copy_1055x704.jpg</t>
  </si>
  <si>
    <t>Kenari banda kering</t>
  </si>
  <si>
    <t>13_20211016_144252_0012.jpg (1024×576) (wp.com)</t>
  </si>
  <si>
    <t>Kentang</t>
  </si>
  <si>
    <t>https://img.freepik.com/free-photo/side-view-basket-bowl-full-potato-sackcloth-wooden-surface-background-with-copy-space_141793-5650.jpg?w=1060&amp;t=st=1684232790~exp=1684233390~hmac=d4c5a62367069d98e3ddf3935be7b63e3f650cd00d6f80da197e948280b1e1b3</t>
  </si>
  <si>
    <t>Kentang Hitam</t>
  </si>
  <si>
    <t>https://www.satuharapan.com/uploads/cache/news_69316_1481712492.jpg</t>
  </si>
  <si>
    <t>Keong</t>
  </si>
  <si>
    <t>https://asset-a.grid.id/crop/0x0:0x0/700x465/photo/2020/09/03/639552413.jpg</t>
  </si>
  <si>
    <t>Kepala Susu (Krim)</t>
  </si>
  <si>
    <t>https://www.donnemagazine.it/wp-content/uploads/2015/05/panna-montata-1.jpg</t>
  </si>
  <si>
    <t>Kepiting</t>
  </si>
  <si>
    <t>https://thumb.tvonenews.com/thumbnail/2022/09/09/631ae5a4f1c8b-ilustrasi-makanan-laut-kepiting_1265_711.jpg</t>
  </si>
  <si>
    <t>Kerang</t>
  </si>
  <si>
    <t>https://i0.wp.com/resepkoki.id/wp-content/uploads/2017/02/Kerang-Tiram.jpg?fit=740%2C471&amp;ssl=1</t>
  </si>
  <si>
    <t>Kerang asap mentah</t>
  </si>
  <si>
    <t>https://paxelmarket.co/wp-content/uploads/2022/06/Screen-Shot-2022-06-29-at-10.00.22.png</t>
  </si>
  <si>
    <t>Kerang dendeng mentah</t>
  </si>
  <si>
    <t>https://4.bp.blogspot.com/-5I6Zu0DTOK8/V6wE5yIdA-I/AAAAAAAAJGY/SQEdOWqHUoEpdwm-J9RhQMDoXODT-zkrwCLcB/s1600/DK1x.jpg</t>
  </si>
  <si>
    <t>Kerbau daging segar</t>
  </si>
  <si>
    <t>https://milenianews.com/wp-content/uploads/2020/08/dagingkerbau.jpg</t>
  </si>
  <si>
    <t>Keremes</t>
  </si>
  <si>
    <t>https://1.bp.blogspot.com/-7vUY82UReBs/WTbWbqEd68I/AAAAAAAAG4k/isry-Tn67FQgLbx5nqz5ZVhpQeAMHkaSACLcB/s1600/23-04-12-2863049_540b3cf5-8735-4432-9749-3805a501b746.jpg</t>
  </si>
  <si>
    <t>Keribang ubi segar</t>
  </si>
  <si>
    <t>https://asset.kompas.com/crops/Hzj3mDoX0ZXIcCMNelE5lBGlh4E=/0x0:626x417/750x500/data/photo/2020/08/06/5f2bfbf9426da.jpg</t>
  </si>
  <si>
    <t>Keripik bayam</t>
  </si>
  <si>
    <t>https://asset.kompas.com/crops/jYESdylVwVMIxcGzRhIFfZhPjnI=/0x28:1000x694/750x500/data/photo/2021/06/12/60c3ff4b72ad0.jpeg</t>
  </si>
  <si>
    <t>Keripik gadung</t>
  </si>
  <si>
    <t>https://www.ngadipuro.desa.id/desa/upload/artikel/sedang_1634355777_keripik-gadung.jpg</t>
  </si>
  <si>
    <t>Keripik kentang</t>
  </si>
  <si>
    <t>https://asset.kompas.com/crops/TaJKfxhk6isVM1cCWS03MJ-LeZw=/32x12:1000x657/780x390/data/photo/2022/05/25/628d7e2eb24a9.jpg</t>
  </si>
  <si>
    <t>Keripik lampung</t>
  </si>
  <si>
    <t>https://img-global.cpcdn.com/recipes/42103518f5a03444/680x482cq70/keripik-pisang-coklat-khas-lampung-foto-resep-utama.jpg</t>
  </si>
  <si>
    <t>Keripik oncom</t>
  </si>
  <si>
    <t>https://images.tokopedia.net/img/cache/700/product-1/2020/8/16/58377017/58377017_c917b0cd-8da8-412b-834f-792308dd5144_538_538</t>
  </si>
  <si>
    <t>Keripik singkong</t>
  </si>
  <si>
    <t>https://www.astronauts.id/blog/wp-content/uploads/2022/09/Olahan-Keripik-Khas-Indonesia-yang-Bikin-Kamu-Ketagihan-1024x683.jpg</t>
  </si>
  <si>
    <t>Keripik singkong berbumbu</t>
  </si>
  <si>
    <t>https://www.primarasa.co.id/images/images/Keripik%20Singkong%20Balado%20-%20resep.jpg</t>
  </si>
  <si>
    <t>Keripik tempe</t>
  </si>
  <si>
    <t>https://assets.pikiran-rakyat.com/crop/0x0:0x0/750x500/photo/2022/07/19/1076813219.png</t>
  </si>
  <si>
    <t>Keripik tempe abadi murni</t>
  </si>
  <si>
    <t>8597be9ee32588c99d9ad731093cd18a (640×640) (shopee.co.id)</t>
  </si>
  <si>
    <t>Keripik tempe abadi sedang</t>
  </si>
  <si>
    <t>kripik_tempe_abadi.jpg (600×450) (bukalapak.com)</t>
  </si>
  <si>
    <t>Keripik tempe abadi telur</t>
  </si>
  <si>
    <t>https://s2.bukalapak.com/img/7559256151/large/kripik_tempe_abadi.jpg</t>
  </si>
  <si>
    <t>Keripik ubi</t>
  </si>
  <si>
    <t>https://kurio-img.kurioapps.com/21/09/02/38b4842e-bbd0-4c81-9ac4-2f41364dfbfc.jpe</t>
  </si>
  <si>
    <t>Kerokot segar</t>
  </si>
  <si>
    <t>https://images.tokopedia.net/img/cache/500-square/product-1/2018/5/19/3052608/3052608_5252d99e-65b7-4461-a4c6-2a49e215357a_443_332.jpg</t>
  </si>
  <si>
    <t>Kerupuk Aci</t>
  </si>
  <si>
    <t>https://alatpresplastik.com/wp-content/uploads/2022/01/kekekeru.jpg</t>
  </si>
  <si>
    <t>Kerupuk cumi goreng</t>
  </si>
  <si>
    <t>https://pesonanusantara.co.id/images/upload//p/e/pes-kerupuk-cumi-mgl.jpg</t>
  </si>
  <si>
    <t>Kerupuk Ikan berpati</t>
  </si>
  <si>
    <t>https://cdns.klimg.com/merdeka.com/i/w/news/2022/01/30/1402857/content_images/670x335/20220130223844-1-kerupuk-ikan-patin-001-fellyanda-suci-agiesta.jpg</t>
  </si>
  <si>
    <t>Kerupuk kemplang  (ikan) mentah</t>
  </si>
  <si>
    <t>https://images.tokopedia.net/img/cache/700/product-1/2020/6/7/805229013/805229013_ce2eef00-1652-44ff-a3b0-e8d021721b55_1560_1560.jpg</t>
  </si>
  <si>
    <t>Kerupuk kemplang goreng</t>
  </si>
  <si>
    <t>https://asset.kompas.com/crops/Qu-uGRiw6A4NINs_6VhIZBrvp1I=/0x386:667x831/750x500/data/photo/2021/05/12/609b4a1d9af08.jpg</t>
  </si>
  <si>
    <t>Kerupuk kemplang panggang</t>
  </si>
  <si>
    <t>https://cdns.klimg.com/merdeka.com/i/w/news/2020/11/20/1244821/content_images/670x335/20201120144433-1-ilustrasi-kemplang-001-tantri-setyorini.jpg</t>
  </si>
  <si>
    <t>Kerupuk Kulit kerbau</t>
  </si>
  <si>
    <t>https://halalmui.org/wp-content/uploads/2022/09/2022-09-01-Kerupuk-Kulit-Kenali-Bahaya-dan-Potensi-Haramnya.jpg</t>
  </si>
  <si>
    <t>Kerupuk Melinjo mentah</t>
  </si>
  <si>
    <t>https://s1.bukalapak.com/img/60256105411/large/data.png</t>
  </si>
  <si>
    <t>Kerupuk Melinjo tebal goreng asin</t>
  </si>
  <si>
    <t>https://assets.indozone.id/content/2021/10/31/qEsgvo3/gampang-ini-cara-membuat-emping-melinjo-yang-gurih-dan-renyah30_700.jpg</t>
  </si>
  <si>
    <t>Kerupuk Melinjo tebal goreng manis</t>
  </si>
  <si>
    <t>Kerupuk Melinjo tipis goreng</t>
  </si>
  <si>
    <t>Kerupuk mie kuning goreng</t>
  </si>
  <si>
    <t>https://id-test-11.slatic.net/p/b79efc608cc0f1f4b19fe026565838ae.jpg</t>
  </si>
  <si>
    <t xml:space="preserve">Kerupuk Sayong </t>
  </si>
  <si>
    <t>https://filebroker-cdn.lazada.co.id/kf/S92719a0bfec8443981796f166617e6eav.jpg</t>
  </si>
  <si>
    <t xml:space="preserve">Kerupuk Udang </t>
  </si>
  <si>
    <t>https://cdn0-production-images-kly.akamaized.net/ihQHCeKhKldhY8YlTDkiu0ObeqE=/261x0:928x667/1200x900/filters:quality(75):strip_icc():format(webp)/kly-media-production/medias/3265798/original/012419700_1602564070-shutterstock_1736290877.jpg</t>
  </si>
  <si>
    <t>Kerupuk Udang berpati</t>
  </si>
  <si>
    <t>https://img.my-best.id/content_section/choice_component/sub_contents/e0b644d7e1f923673ed9a295a0ad422f.jpg?ixlib=rails-4.3.1&amp;q=70&amp;lossless=0&amp;w=690&amp;fit=max&amp;s=685a7bbc6d1dd6e991aa9c8ec4d49919</t>
  </si>
  <si>
    <t>Kerupuk udang goreng</t>
  </si>
  <si>
    <t>https://asset.kompas.com/crops/Vol7WU4iu3WSWKNB3nhw8RFCJdE=/0x9:1000x675/750x500/data/photo/2021/07/27/60ff6fb81ffaf.jpg</t>
  </si>
  <si>
    <t>Kerupuk urat</t>
  </si>
  <si>
    <t>https://images.tokopedia.net/img/cache/700/VqbcmM/2021/6/3/15bac8fd-dff8-49eb-9561-81a087a02638.jpg</t>
  </si>
  <si>
    <t>Kesemek</t>
  </si>
  <si>
    <t>https://d1vbn70lmn1nqe.cloudfront.net/prod/wp-content/uploads/2023/02/08040440/catat-ini-manfaat-buah-kesemek-bagi-kesehatan-tubuh-halodoc.jpg</t>
  </si>
  <si>
    <t>Ketan hitam matang</t>
  </si>
  <si>
    <t>https://asset.kompas.com/crops/agGJ3o2lK5eMmT-VkGdijGLjgpQ=/0x0:1000x667/750x500/data/photo/2020/10/26/5f965ccbd7c1a.jpg</t>
  </si>
  <si>
    <t>Ketan putih matang</t>
  </si>
  <si>
    <t>https://asset-a.grid.id/crop/0x0:0x0/700x465/photo/2018/10/13/211488655.jpg</t>
  </si>
  <si>
    <t xml:space="preserve">Ketapang </t>
  </si>
  <si>
    <t>https://cdn0-production-images-kly.akamaized.net/bEFvWpDkZsFCndvlKQ2liamvXwM=/0x287:3046x2004/1200x675/filters:quality(75):strip_icc():format(webp)/kly-media-production/medias/3989958/original/069432700_1649474910-biji_ketapang.jpg</t>
  </si>
  <si>
    <t>Ketela Pohon Kuning</t>
  </si>
  <si>
    <t>https://statik.tempo.co/data/2016/06/07/id_513024/513024_620.jpg</t>
  </si>
  <si>
    <t>Ketela singkong segar</t>
  </si>
  <si>
    <t>https://www.infopublik.id/assets/upload/headline//Singkong.jpg</t>
  </si>
  <si>
    <t>Ketela pohon/singkong kukus</t>
  </si>
  <si>
    <t>https://blog.tokowahab.com/wp-content/uploads/2018/08/resep-agar-agar-singkong.jpg</t>
  </si>
  <si>
    <t>Ketimun</t>
  </si>
  <si>
    <t>https://www.garnesia.com/images/news/b542.jpg</t>
  </si>
  <si>
    <t>Ketimun madura segar</t>
  </si>
  <si>
    <t>https://kopijagung.com/wp-content/uploads/2021/05/0001-1776641472_20210524_095708_0000_compress85-scaled.jpg</t>
  </si>
  <si>
    <t>Ketoprak</t>
  </si>
  <si>
    <t>https://asset.kompas.com/crops/BiN_oCxCDgkO09b1B_FPfZuvGBw=/0x0:739x493/750x500/data/photo/2020/01/29/5e318845429db.jpg</t>
  </si>
  <si>
    <t>Ketumbar</t>
  </si>
  <si>
    <t>https://awsimages.detik.net.id/community/media/visual/2021/08/27/5-manfaat-sehat-minum-air-ketumbar-naikkan-imunitas-dan-detoks-tubuh-3_169.jpeg?w=1200</t>
  </si>
  <si>
    <t>Ketupat ketan</t>
  </si>
  <si>
    <t>https://awsimages.detik.net.id/community/media/visual/2022/05/01/ketupat-ketan-khas-sumatra-2.jpeg?w=1200</t>
  </si>
  <si>
    <t xml:space="preserve">Ketupat Tahu </t>
  </si>
  <si>
    <t>https://asset-a.grid.id/crop/0x0:0x0/x/photo/2021/06/09/resep-kupat-tahu-menu-sarapan-n-20210609032448.jpg</t>
  </si>
  <si>
    <t>Kluwek</t>
  </si>
  <si>
    <t>https://faktualnews.co/images/2022/01/kluwek.png</t>
  </si>
  <si>
    <t>Kodok segar</t>
  </si>
  <si>
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</si>
  <si>
    <t>Kokosan</t>
  </si>
  <si>
    <t>https://cms.sehatq.com/public/img/article_img/buah-kokosan-dan-duku-satu-keluarga-tapi-beda-rasa-1595398922.jpg</t>
  </si>
  <si>
    <t>Komak polong segar</t>
  </si>
  <si>
    <t>https://media.istockphoto.com/id/153755664/id/foto/kacang-polong-salju-segar-di-tumpukan-di-latar-belakang-putih.jpg?s=612x612&amp;w=0&amp;k=20&amp;c=MPZCUQdV2lekycXztBESkb2swqE0hgIzUwflaZlFoaw=</t>
  </si>
  <si>
    <t>Kool Kembang</t>
  </si>
  <si>
    <t>https://images.tokopedia.net/img/cache/500-square/VqbcmM/2020/11/17/8b6436f9-8344-48fd-9171-b066c4191f94.jpg</t>
  </si>
  <si>
    <t>Kool Merah kool putih</t>
  </si>
  <si>
    <t>https://res.cloudinary.com/dk0z4ums3/image/upload/v1627875002/attached_image/walau-bikin-perut-kembung-manfat-kol-ternyata-banyak-lho.jpg</t>
  </si>
  <si>
    <t>Kopi bagian yang larut</t>
  </si>
  <si>
    <t>https://cdn1-production-images-kly.akamaized.net/hapr3rDjLzJcczX2rWbC4f9DUgk=/1200x1200/smart/filters:quality(75):strip_icc():format(jpeg)/kly-media-production/medias/3412827/original/090341300_1616835451-pexels-photo-977876.jpeg</t>
  </si>
  <si>
    <t>Kopi bubuk instant</t>
  </si>
  <si>
    <t>https://cdn.pixabay.com/photo/2014/02/10/11/25/coffee-powder-263354_1280.jpg</t>
  </si>
  <si>
    <t>Koro andong kering</t>
  </si>
  <si>
    <t>AF079.jpg (360×360) (andrafarm.co.id)</t>
  </si>
  <si>
    <t>Koro Benguk biji</t>
  </si>
  <si>
    <t>https://laz-img-sg.alicdn.com/p/cac8dce3faa0e4781f2e5ea5968dba20.png</t>
  </si>
  <si>
    <t>Koro Benguk tempe</t>
  </si>
  <si>
    <t>https://imgx.parapuan.co/file/parapuan/mobile/crop/0x0:0x0/700x0/photo/2021/06/04/tempe-koro-pedangjpg-20210604124728.jpg</t>
  </si>
  <si>
    <t>Koro Kerupuk biji</t>
  </si>
  <si>
    <t>https://cf.shopee.co.id/file/id-11134103-22100-uucup9m29iiv8c</t>
  </si>
  <si>
    <t>Koro Loke biji</t>
  </si>
  <si>
    <t>https://filebroker-cdn.lazada.co.id/kf/S5058ebd94c9d4462a13ac9a3ac2a814aP.jpg</t>
  </si>
  <si>
    <t>Koro Roway biji</t>
  </si>
  <si>
    <t>https://down-id.img.susercontent.com/file/fdde3aac7d03f1b5dd4ab9f5df4545d4</t>
  </si>
  <si>
    <t>Koro Wedus biji</t>
  </si>
  <si>
    <t>Koro Wedus buah muda</t>
  </si>
  <si>
    <t>https://ahsanfile.files.wordpress.com/2013/08/20121226_084508.jpg</t>
  </si>
  <si>
    <t>Koro wedus polong</t>
  </si>
  <si>
    <t>https://www.andrafarm.com/_andra_farm/gambar_kelompok/a136-3.jpg</t>
  </si>
  <si>
    <t>Kotiu hinela tawang nggole</t>
  </si>
  <si>
    <t>Koya</t>
  </si>
  <si>
    <t>https://cf.shopee.co.id/file/25e9b3e3d818ae999bd0736ff56ca58b</t>
  </si>
  <si>
    <t>Koya mirasa</t>
  </si>
  <si>
    <t>https://nilaigizi.com/assets/images/produk/produk_1538365100.jpg</t>
  </si>
  <si>
    <t>Kranji segar</t>
  </si>
  <si>
    <t>https://lzd-img-global.slatic.net/g/p/e4cd1b24a0e937b48e2afb796900196a.jpg_720x720q80.jpg_.webp</t>
  </si>
  <si>
    <t xml:space="preserve">Kripik Tempe Goreng </t>
  </si>
  <si>
    <t>https://asset.kompas.com/crops/NvawKpjCGV6FrehArD0C-OBjYSI=/3x0:700x465/750x500/data/photo/2020/12/01/5fc629934653a.jpg</t>
  </si>
  <si>
    <t>Krokot</t>
  </si>
  <si>
    <t>https://www.greeners.co/wp-content/uploads/2020/09/Krokot-Tanaman-Gulma-dengan-Segudang-Khasiat-2.jpg</t>
  </si>
  <si>
    <t>Kucai</t>
  </si>
  <si>
    <t>https://img-cdn.medkomtek.com/0sG2Fssyrmn9bdgy08HRVYdJE6U=/0x0/smart/filters:quality(75):strip_icc():format(webp)/article/APtPHT6GJD825hl5oB-p_/original/070454600_1570675713-Sejuta-Manfaat-Daun-Kucai-yang-Jarang-Diketahui-Orang-By-K321-Shutterstock_1100191607.jpg</t>
  </si>
  <si>
    <t>Kucai Muda (Lokio)</t>
  </si>
  <si>
    <t>https://cdn.shopify.com/s/files/1/0369/8321/0116/products/5161687_e94df3b1-09a5-4656-b592-358959106303_762_762_700x.jpg?v=1587857197</t>
  </si>
  <si>
    <t>Kuda daging segar</t>
  </si>
  <si>
    <t>Kue ali</t>
  </si>
  <si>
    <t>https://awsimages.detik.net.id/community/media/visual/2022/06/21/resep-kue-cincin_43.jpeg?w=1200</t>
  </si>
  <si>
    <t xml:space="preserve">Kue Apem </t>
  </si>
  <si>
    <t>https://cdn0-production-images-kly.akamaized.net/1vXhapwViv08dtFYbhhKKEfqiJ0=/0x542:4608x3139/1200x675/filters:quality(75):strip_icc():format(webp)/kly-media-production/medias/3479555/original/004272600_1623394884-shutterstock_1952418853.jpg</t>
  </si>
  <si>
    <t>Kue bangket</t>
  </si>
  <si>
    <t>https://asset.kompas.com/crops/1zdz3_jE_GfEVcRZKtgL2GokVrA=/0x0:1000x667/750x500/data/photo/2023/02/24/63f805fb8890f.jpeg</t>
  </si>
  <si>
    <t xml:space="preserve">Kue Bugis </t>
  </si>
  <si>
    <t>https://asset.kompas.com/crops/hHVyMg5BiDHITqTbKdbpz1Un4_c=/0x0:1000x667/750x500/data/photo/2022/06/21/62b109f77f78c.jpeg</t>
  </si>
  <si>
    <t>Kue jahe</t>
  </si>
  <si>
    <t>https://kurio-img.kurioapps.com/21/07/21/7ff9c395-9dea-492e-b3a0-ec9c7287dc04.jpe</t>
  </si>
  <si>
    <t>Kue kelapa</t>
  </si>
  <si>
    <t>https://assets.suaramerdeka.com/crop/0x0:0x0/750x500/webp/photo/2023/01/03/3184254010.png</t>
  </si>
  <si>
    <t xml:space="preserve">Kue Koya </t>
  </si>
  <si>
    <t>https://media.karousell.com/media/photos/products/2018/08/23/koya_kacang_suuk_asli_bandung_1535029115_863b9a71_progressive.jpg</t>
  </si>
  <si>
    <t>Kue lumpur</t>
  </si>
  <si>
    <t>https://img.kurio.network/u_ismzhaT5An97OjUr0AzVYEjCE=/1200x900/filters:quality(80)/https://kurio-img.kurioapps.com/21/09/21/eec4bac2-8193-41bd-b249-22a4afc28519.jpe</t>
  </si>
  <si>
    <t xml:space="preserve">Kue mangkok </t>
  </si>
  <si>
    <t>https://asset.kompas.com/crops/EUNcgQqWtMLzjyycRK-jWqJPg5Q=/3x0:700x465/750x500/data/photo/2021/01/13/5ffe348f5e49a.jpg</t>
  </si>
  <si>
    <t xml:space="preserve">Kue Pacar Cina </t>
  </si>
  <si>
    <t>https://asset.kompas.com/crops/jkimxsmqIcyNJ_UjeHGJML9sT_4=/0x0:698x465/750x500/data/photo/2021/02/20/603069ab80f59.jpg</t>
  </si>
  <si>
    <t xml:space="preserve">Kue Pia </t>
  </si>
  <si>
    <t>https://www.resepkuerenyah.com/wp-content/uploads/2015/05/Resep-Kue-Pia-Kacang-Hijau.jpg</t>
  </si>
  <si>
    <t>Kue putu cangkir</t>
  </si>
  <si>
    <t>https://i.ytimg.com/vi/GH8hVDZ3AZA/maxresdefault.jpg</t>
  </si>
  <si>
    <t>Kue putu singkong</t>
  </si>
  <si>
    <t>https://asset.kompas.com/crops/4HYsevQAK_PJOcsTRt4Tl0vo4YI=/0x0:1000x667/750x500/data/photo/2021/06/10/60c19ee3dbc24.jpg</t>
  </si>
  <si>
    <t xml:space="preserve">Kue Satu </t>
  </si>
  <si>
    <t>https://upload.wikimedia.org/wikipedia/commons/thumb/1/1b/Kue_satu_2.JPG/640px-Kue_satu_2.JPG</t>
  </si>
  <si>
    <t xml:space="preserve">Kue Semprong </t>
  </si>
  <si>
    <t>https://asset.kompas.com/crops/jT3TeOZw6jjDRXgh1-P9Yrz0enI=/0x0:1000x667/750x500/data/photo/2022/01/21/61ea314112848.jpg</t>
  </si>
  <si>
    <t>Kue sus</t>
  </si>
  <si>
    <t>https://statics.indozone.news/local/63abe8c5a2d3e.jpg</t>
  </si>
  <si>
    <t xml:space="preserve">Kue Talam </t>
  </si>
  <si>
    <t>https://cdn.yummy.co.id/content-images/images/20220319/ZDxMHnPOfZAq6tXHCLa9WsgeVwHh5Wb2-31363437363439303336d41d8cd98f00b204e9800998ecf8427e.jpg?x-oss-process=image/format,webp</t>
  </si>
  <si>
    <t xml:space="preserve">Kue Tambang </t>
  </si>
  <si>
    <t>https://asset.kompas.com/crops/x2yGurVUxpP-COxvvOjVx2P7lL0=/100x67:900x600/750x500/data/photo/2022/04/14/62578f6fbc8b8.jpg</t>
  </si>
  <si>
    <t>Kue thipan</t>
  </si>
  <si>
    <t>https://asset.kompas.com/crops/fXb2bs6UVUJNODIGbh7aFfAzUE4=/41x33:950x639/750x500/data/photo/2021/03/05/6041b846aa175.jpg</t>
  </si>
  <si>
    <t>Kulit melinjo</t>
  </si>
  <si>
    <t>https://www.tagar.id/Asset/uploads2019/1650333684879-kulit-melinjo.jpg</t>
  </si>
  <si>
    <t>Kundur segar</t>
  </si>
  <si>
    <t>https://images.tokopedia.net/img/cache/700/VqbcmM/2021/7/19/0136f82a-7e5d-4239-a821-5d104134e2bf.jpg</t>
  </si>
  <si>
    <t>Kunyit</t>
  </si>
  <si>
    <t>https://asset.kompas.com/crops/6wd6YSreRZtdz-lCDTpHxoTIbZA=/0x165:1000x832/750x500/data/photo/2020/11/27/5fc0a1e0529ea.jpg</t>
  </si>
  <si>
    <t>Kura-kura</t>
  </si>
  <si>
    <t>https://image-cdn.medkomtek.com/KZBBktqticgNUpCCeJzeVrcDKGg=/673x379/smart/klikdokter-media-buckets/medias/2312546/original/004647900_1581575442-Daging-Penyu-Shutterstock_443050405.jpg</t>
  </si>
  <si>
    <t>Kwaci</t>
  </si>
  <si>
    <t>https://lzd-img-global.slatic.net/g/p/38df63d32f7205e9f443bd8cac8ef122.jpg_720x720q80.jpg_.webp</t>
  </si>
  <si>
    <t>Kwark (Quark)</t>
  </si>
  <si>
    <t>https://www.24kitchen.nl/files/styles/header_small/public/2018-03/shutterstock_1015365694.jpg?itok=ILdve5p_</t>
  </si>
  <si>
    <t>Labu Air</t>
  </si>
  <si>
    <t>https://img.okezone.com/content/2021/02/08/481/2358505/yuk-rajin-konsumsi-labu-air-ini-12-manfaatnya-untuk-kesehatan-tubuh-Co3o1Xm8pf.jpg</t>
  </si>
  <si>
    <t>Labu kuning segar</t>
  </si>
  <si>
    <t>https://images.tokopedia.net/img/cache/500-square/VqbcmM/2021/8/15/8459499c-3699-48fc-99e9-68c2b3dd27d6.jpg?ect=4g</t>
  </si>
  <si>
    <t>Labu Siam</t>
  </si>
  <si>
    <t>https://assets.pikiran-rakyat.com/crop/0x0:0x0/x/photo/2023/05/27/3705926699.jpg</t>
  </si>
  <si>
    <t>Labu waluh segar</t>
  </si>
  <si>
    <t>https://media.istockphoto.com/id/1276814339/id/foto/irisan-mentah-segar-butternut-squash-di-papan-kayu-tampilan-atas-ke-bawah.jpg?s=612x612&amp;w=0&amp;k=20&amp;c=zCYDW2KS0xuVGjq4k-_AwwkZnCQxapWuuWovVhJvqKA=</t>
  </si>
  <si>
    <t xml:space="preserve">Laksa </t>
  </si>
  <si>
    <t>https://asset.kompas.com/crops/cmvexYXhxB1oyebUTtLncpQTxNE=/256x116:1280x798/750x500/data/photo/2022/10/11/63455e3290f0e.jpg</t>
  </si>
  <si>
    <t>Lamtoro (pete cina) biji muda</t>
  </si>
  <si>
    <t>https://d1vbn70lmn1nqe.cloudfront.net/prod/wp-content/uploads/2022/11/02042448/X-Manfaat-Petai-Cina-untuk-Kesehatan-Tubuh.jpg</t>
  </si>
  <si>
    <t>Lamtoro biji tua</t>
  </si>
  <si>
    <t>https://images.tokopedia.net/img/cache/700/VqbcmM/2021/9/23/73d62514-e013-460c-9f52-d3c17e019a91.jpg</t>
  </si>
  <si>
    <t>Lamtoro tempe</t>
  </si>
  <si>
    <t>https://awsimages.detik.net.id/community/media/visual/2021/01/09/warga-blitar-bikin-alternatif-tempe-lamtoro-2_169.jpeg?w=700&amp;q=90</t>
  </si>
  <si>
    <t>Lamtoro var. gung tanpa kulit</t>
  </si>
  <si>
    <t>https://cdn-2.tstatic.net/jateng/foto/bank/images/lamtoro.jpg</t>
  </si>
  <si>
    <t>Lamtoro var. lokal dengan kulit</t>
  </si>
  <si>
    <t>https://m.andrafarm.com/_andra_farm/gambar_rinci/534.jpg</t>
  </si>
  <si>
    <t>Langsat</t>
  </si>
  <si>
    <t>https://st4.depositphotos.com/12727742/21449/i/450/depositphotos_214494426-stock-photo-lanzones-fruit-on-white-isolated.jpg</t>
  </si>
  <si>
    <t>Lantar segar</t>
  </si>
  <si>
    <t>https://lzd-img-global.slatic.net/g/ff/kf/Sd291e0ce271c49f9b247372fce67011dp.jpg_720x720q80.jpg</t>
  </si>
  <si>
    <t>Lanting getuk</t>
  </si>
  <si>
    <t>https://cf.shopee.co.id/file/261d5dd52028e4a8ebf57f5957bde6b4</t>
  </si>
  <si>
    <t>Lapis legit</t>
  </si>
  <si>
    <t>https://kurio-img.kurioapps.com/21/03/03/fba953f2-c456-49e3-bec5-7adc1cbfd5a6.jpe</t>
  </si>
  <si>
    <t>Lawar babi masakan</t>
  </si>
  <si>
    <t>https://cdn.idntimes.com/content-images/post/20211019/203152501-4176779059011518-795637125163020240-n-c5aa3d72f7ca0ec57070d7c1a60cf2b2_600x400.jpg</t>
  </si>
  <si>
    <t>Lawar penyu masakan</t>
  </si>
  <si>
    <t>https://fastly.4sqi.net/img/general/600x600/4312632_DHgsLEo3W0e7vYm-X-ndJwUEN1E419WBzhTKzIb411c.jpg</t>
  </si>
  <si>
    <t>Lawara jangang masakan</t>
  </si>
  <si>
    <t>https://img-global.cpcdn.com/recipes/2bad2876953a328b/680x482cq70/lawara-jangang-foto-resep-utama.jpg</t>
  </si>
  <si>
    <t>Lawara penjah masakan</t>
  </si>
  <si>
    <t>https://nilaigizi.com/assets/images/produk/produk_1535786169.jpg</t>
  </si>
  <si>
    <t>Ledre pisang</t>
  </si>
  <si>
    <t>https://cdn.idntimes.com/content-images/community/2022/03/127926829-138078701098384-3632478979177553762-n-1fd6c04577e614a24488a2b0565fd065-d95921c5a20494e557ab339600558193.jpg</t>
  </si>
  <si>
    <t>Lema/ Rebung asam</t>
  </si>
  <si>
    <t>https://img-global.cpcdn.com/recipes/e8525bb6dc19cd61/400x400cq70/photo.jpg</t>
  </si>
  <si>
    <t>Lemak Babi</t>
  </si>
  <si>
    <t>https://cms.sehatq.com/public/img/article_img/memasak-dengan-lemak-babi-sehat-atau-tidak-1626927917.jpg</t>
  </si>
  <si>
    <t>Lemak Babi (Bacon)</t>
  </si>
  <si>
    <t>https://nilaigizi.com/assets/images/produk/produk_1535869956.jpg</t>
  </si>
  <si>
    <t>Lemak ikan</t>
  </si>
  <si>
    <t>https://statik.tempo.co/data/2017/08/15/id_632737/632737_620.jpg</t>
  </si>
  <si>
    <t>Lemak Kerbau</t>
  </si>
  <si>
    <t>https://awsimages.detik.net.id/community/media/visual/2016/07/11/01bf592f-fb72-43f1-a0c5-df9c28e4fd17.jpg?w=851</t>
  </si>
  <si>
    <t>Lemon segar</t>
  </si>
  <si>
    <t>https://asset.kompas.com/crops/rhXo_XxmQeotI8VocNxI-r4P_z4=/192x230:1728x1254/1200x800/data/photo/2021/02/03/601a928049052.jpg</t>
  </si>
  <si>
    <t>Lemon Squasih</t>
  </si>
  <si>
    <t>https://i0.wp.com/blog.duniamasak.com/wp-content/uploads/Manfaat-dari-Citrus-Squash.jpg?fit=900%2C520&amp;ssl=1</t>
  </si>
  <si>
    <t>Lemonade</t>
  </si>
  <si>
    <t>https://awsimages.detik.net.id/community/media/visual/2020/12/11/lemonade.jpeg?w=700&amp;q=90</t>
  </si>
  <si>
    <t xml:space="preserve">Lemper </t>
  </si>
  <si>
    <t>https://awsimages.detik.net.id/community/media/visual/2022/03/30/resep-lemper-ayam_43.jpeg?w=1200</t>
  </si>
  <si>
    <t>Lempog durian</t>
  </si>
  <si>
    <t>https://www.wowkeren.com/display/images/photo/2019/11/01/00281112s7.jpg</t>
  </si>
  <si>
    <t>Lepok/Ubi rumput</t>
  </si>
  <si>
    <t>https://cdn.idntimes.com/content-images/community/2022/11/1668220355020-b9525602b7a0cdcf30573dba18d33241-b3058ccbd7818c38ec418081753661ba.jpg</t>
  </si>
  <si>
    <t>Leunca buah</t>
  </si>
  <si>
    <t>https://asset.kompas.com/crops/VIU7rFIvSmmh1ZsQ2xoBcH70ljU=/0x0:996x664/750x500/data/photo/2020/09/28/5f70e1ea615e3.jpg</t>
  </si>
  <si>
    <t xml:space="preserve">Leupeut Ketan </t>
  </si>
  <si>
    <t>https://sweetrip.id/wp-content/uploads/2021/05/171584083_119493940234318_4941248120678130162_n.jpg</t>
  </si>
  <si>
    <t>Leverwost (sosis hati)</t>
  </si>
  <si>
    <t>https://st3.depositphotos.com/1008077/13205/i/600/depositphotos_132052478-stock-photo-calf-liver-sausage.jpg</t>
  </si>
  <si>
    <t>Lilin bungkus gedi</t>
  </si>
  <si>
    <t>https://1.bp.blogspot.com/-OZ_8zgUY5C8/XeeHxEwJazI/AAAAAAAAAEk/15QFIWrudeYVyJ7AjUIw3rA2MPg3VK9vACLcBGAsYHQ/s1600/IMG_1753.JPG</t>
  </si>
  <si>
    <t>Lobak</t>
  </si>
  <si>
    <t>https://d1vbn70lmn1nqe.cloudfront.net/prod/wp-content/uploads/2022/09/29035721/Kandungan-Nutrisi-pada-Lobak-Putih-yang-Baik-bagi-Kesehatan.jpg</t>
  </si>
  <si>
    <t>Lokan segar</t>
  </si>
  <si>
    <t>https://cdn-2.tstatic.net/aceh/foto/bank/images/ilustrasi-lokan_20160410_120327.jpg</t>
  </si>
  <si>
    <t>Lontar segar</t>
  </si>
  <si>
    <t>https://assets.ayobandung.com/crop/0x0:0x0/750x500/webp/photo/2022/12/07/254567740.jpg</t>
  </si>
  <si>
    <t xml:space="preserve">Lopis </t>
  </si>
  <si>
    <t>https://img-global.cpcdn.com/recipes/08285e540251b661/680x482cq70/lupislopis-ketan-pandan-ala-chef-muhammad-foto-resep-utama.jpg</t>
  </si>
  <si>
    <t>Lumai/Leunca segar</t>
  </si>
  <si>
    <t>https://sibejajo.com/asset/foto_produk/FB_IMG_1646812082738.jpg</t>
  </si>
  <si>
    <t>Lupis ketan</t>
  </si>
  <si>
    <t>https://asset.kompas.com/crops/TRFlnZa303pT0iwa7gkId4MCWSA=/0x54:1000x720/750x500/data/photo/2020/06/24/5ef30e98cb1e8.jpg</t>
  </si>
  <si>
    <t>Madu</t>
  </si>
  <si>
    <t>https://asset.kompas.com/crops/xLLMihh3EZy1CwtkPn_4DGDwe9A=/0x8:1000x675/750x500/data/photo/2020/11/12/5facc84db5083.jpg</t>
  </si>
  <si>
    <t>Maizena tepung</t>
  </si>
  <si>
    <t>https://cf.shopee.co.id/file/f6160b3c0d2189ab6140e6a81c2168cb</t>
  </si>
  <si>
    <t>Makaroni</t>
  </si>
  <si>
    <t>https://img.freepik.com/free-photo/horizontal-view-butterfly-uncooked-pastas-brown-bowl-mixed-color-table-high-resolution-photo_140725-86866.jpg?w=1060&amp;t=st=1684233335~exp=1684233935~hmac=5e53a5f2f8d8db6b49b05831a1ffda6004b9b1fc696423217781874c3ef92e9c</t>
  </si>
  <si>
    <t>Mangga benggala segar</t>
  </si>
  <si>
    <t>https://ik.imagekit.io/dcjlghyytp1/2020/10/mangga-indramayu.jpg?tr=f-auto,w-380</t>
  </si>
  <si>
    <t>Mangga Gedong</t>
  </si>
  <si>
    <t>https://www.rumahtanaman.com/wp-content/uploads/2014/05/GG.jpg</t>
  </si>
  <si>
    <t>Mangga Golek</t>
  </si>
  <si>
    <t>https://images.tokopedia.net/img/cache/500-square/VqbcmM/2021/12/9/98f71686-5832-459e-9732-11f0cc62ac2c.jpg</t>
  </si>
  <si>
    <t>Mangga Harum Manis</t>
  </si>
  <si>
    <t>https://www.rumahtanaman.com/wp-content/uploads/2018/01/Slide8.jpg</t>
  </si>
  <si>
    <t>Mangga Indramayu</t>
  </si>
  <si>
    <t>https://asset.kompas.com/crops/oO0XncIXQSUeIA_Uc4k1_y9V5gM=/0x44:1000x711/750x500/data/photo/2022/06/18/62ad5b3acadca.jpg</t>
  </si>
  <si>
    <t>Mangga Kopek</t>
  </si>
  <si>
    <t>https://images.tokopedia.net/img/cache/500-square/VqbcmM/2021/8/25/8e436ae5-3754-4c1b-a211-f2c8b50b86f1.jpg</t>
  </si>
  <si>
    <t>Mangga kwini segar</t>
  </si>
  <si>
    <t>https://images.tokopedia.net/img/cache/500-square/VqbcmM/2020/11/22/5c712852-cd55-4c17-9515-f47bdfb1bf7f.jpg</t>
  </si>
  <si>
    <t>Mangga manalagi segar</t>
  </si>
  <si>
    <t>https://images.tokopedia.net/img/cache/700/VqbcmM/2021/11/12/71d9b8e5-1a32-465e-bcc6-0be9e8113e4a.jpg</t>
  </si>
  <si>
    <t>Mangga Muda</t>
  </si>
  <si>
    <t>https://img-cdn.medkomtek.com/5gj7IKgzhEym6vd4Wf0Bvzqak4I=/0x0/smart/filters:quality(75):strip_icc():format(webp)/article/BT9WysgDcGiXjX7j0PkI5/original/031876800_1606991796-shutterstock_306861815.jpg</t>
  </si>
  <si>
    <t>Mangga segar</t>
  </si>
  <si>
    <t>https://arahpantura.aboutsemarang.id/wp-content/uploads/2023/05/A6CCD5BB-60B4-46F0-87C4-A63241A9D6FC.png</t>
  </si>
  <si>
    <t>Manggis</t>
  </si>
  <si>
    <t>https://res.cloudinary.com/dk0z4ums3/image/upload/v1645702972/attached_image/manfaat-buah-manggis-untuk-kesehatan-yang-sayang-dilewatkan.jpg</t>
  </si>
  <si>
    <t>Margarin</t>
  </si>
  <si>
    <t>https://static.republika.co.id/uploads/images/inpicture_slide/mentega-_181004053127-973.jpg</t>
  </si>
  <si>
    <t>Markisa segar</t>
  </si>
  <si>
    <t>https://sc04.alicdn.com/kf/U9a58688525d24e25a10c656a5b19874cy.jpg</t>
  </si>
  <si>
    <t>Markisa squash</t>
  </si>
  <si>
    <t>https://asset-a.grid.id/crop/0x0:0x0/x/photo/2021/02/16/resep-squash-markisa-mint-minum-20210216051340.jpg</t>
  </si>
  <si>
    <t>Markisa squash BD</t>
  </si>
  <si>
    <t>Martabak  manis</t>
  </si>
  <si>
    <t>https://tasteofnusa.com/wp-content/uploads/2022/03/martabak-manis-12-720x720.jpg</t>
  </si>
  <si>
    <t>Martabak india</t>
  </si>
  <si>
    <t>https://i0.wp.com/resepkoki.id/wp-content/uploads/2022/08/Resep-Martabak-Kari.jpg?fit=996%2C1328&amp;ssl=1</t>
  </si>
  <si>
    <t>Martabak mesir</t>
  </si>
  <si>
    <t>https://www.resepkuerenyah.com/wp-content/uploads/2016/11/45.-resep-martabak-mesir.jpg</t>
  </si>
  <si>
    <t xml:space="preserve">Martabak Telur </t>
  </si>
  <si>
    <t>https://www.masakapahariini.com/wp-content/uploads/2020/10/Martabak-Telor-Bayam.jpg</t>
  </si>
  <si>
    <t>Masekat</t>
  </si>
  <si>
    <t>https://img-global.cpcdn.com/recipes/af253cf910c76d69/1200x630cq70/photo.jpg</t>
  </si>
  <si>
    <t>Matoa segar</t>
  </si>
  <si>
    <t>https://images.tokopedia.net/img/cache/500-square/VqbcmM/2023/3/9/ac2bbe27-dd14-46dc-947f-98a9b16b0be6.jpg</t>
  </si>
  <si>
    <t>Melase</t>
  </si>
  <si>
    <t>https://s0.bukalapak.com/img/57164672241/large/data.jpeg</t>
  </si>
  <si>
    <t>Melinjo</t>
  </si>
  <si>
    <t>https://blue.kumparan.com/image/upload/fl_progressive,fl_lossy,c_fill,q_auto:best,w_640/v1571737858/tgrthwihqglldjcu0ptw.jpg</t>
  </si>
  <si>
    <t>Melon segar</t>
  </si>
  <si>
    <t>https://asset.kompas.com/crops/6GJGDA9CwVlnWtfhcImRgwyoj3Y=/0x0:1811x1207/750x500/data/photo/2022/09/22/632c0d9940fcd.jpg</t>
  </si>
  <si>
    <t>Menjangan daging dendeng mentah</t>
  </si>
  <si>
    <t>https://images.tokopedia.net/img/cache/700/VqbcmM/2022/9/1/c86b6e83-7b8f-4d90-a900-faf92e7afcbb.jpg</t>
  </si>
  <si>
    <t>Mentega</t>
  </si>
  <si>
    <t>https://res.cloudinary.com/dk0z4ums3/image/upload/v1643714477/attached_image/waspadai-bahaya-mentega-karena-mengandung-lemak-jenuh.jpg</t>
  </si>
  <si>
    <t>Menteng</t>
  </si>
  <si>
    <t>https://cdn.idntimes.com/content-images/community/2019/06/img-20190616-231022-b1184a09c11ecdd83465d09708483513_600x400.jpg</t>
  </si>
  <si>
    <t>Merica</t>
  </si>
  <si>
    <t>https://akcdn.detik.net.id/community/media/visual/2019/12/10/c78ea524-99d4-42ec-b2d7-5d8b498aa18a_43.jpeg?w=250&amp;q=</t>
  </si>
  <si>
    <t>Mi basah</t>
  </si>
  <si>
    <t>https://lzd-img-global.slatic.net/g/ff/kf/S32cbc99669db47d09a0603d5b5340a676.jpg_720x720q80.jpg_.webp</t>
  </si>
  <si>
    <t>Mi golosor</t>
  </si>
  <si>
    <t>https://img.okezone.com/content/2021/04/18/301/2396626/mie-glosor-takjil-khas-bogor-yang-cuma-bisa-dicicipi-saat-ramadan-nC8fwT950l.jpg</t>
  </si>
  <si>
    <t>Mi kering</t>
  </si>
  <si>
    <t>https://www.basoyen.com/wp-content/uploads/2020/07/markus-winkler-57EDibTULBw-unsplash-600x600.jpg</t>
  </si>
  <si>
    <t>Mie aceh rebus</t>
  </si>
  <si>
    <t>https://resepkoki.id/wp-content/uploads/2021/03/Resep-Mie-Aceh.jpg</t>
  </si>
  <si>
    <t>Mie ayam</t>
  </si>
  <si>
    <t>https://awsimages.detik.net.id/community/media/visual/2022/10/12/resep-mie-ayam-kecap_43.jpeg?w=1200</t>
  </si>
  <si>
    <t>Mie bakso</t>
  </si>
  <si>
    <t>https://upload.wikimedia.org/wikipedia/commons/a/a9/Indonesian_bakso%2C_with_noodle_and_bean_sprouts%2C_April_2018_%2803%29.jpg</t>
  </si>
  <si>
    <t>Mie basah</t>
  </si>
  <si>
    <t>https://www.suarasurabaya.net/wp-content/uploads/2015/12/kk163583_clip10.jpg</t>
  </si>
  <si>
    <t>Mie Bendo</t>
  </si>
  <si>
    <t>https://img-global.cpcdn.com/recipes/bdd43198a013a918/680x482cq70/mie-lethekmie-bendo-goreng-foto-resep-utama.jpg</t>
  </si>
  <si>
    <t>Mie celon</t>
  </si>
  <si>
    <t>https://nilaigizi.com/assets/images/produk/produk_1538367850.jpg</t>
  </si>
  <si>
    <t xml:space="preserve">Mie Goreng </t>
  </si>
  <si>
    <t>https://kbu-cdn.com/dk/wp-content/uploads/mie-goreng-korea.jpg</t>
  </si>
  <si>
    <t>Mie kering</t>
  </si>
  <si>
    <t>https://assets.ayobandung.com/crop/0x0:0x0/750x500/webp/photo/2022/10/13/1236905540.jpg</t>
  </si>
  <si>
    <t>Mie pangsit basah</t>
  </si>
  <si>
    <t>https://sweetrip.id/wp-content/uploads/2020/08/bakmisibos_116436440_1141684466204653_5039711773118966116_n.jpg</t>
  </si>
  <si>
    <t>Mie Sagu</t>
  </si>
  <si>
    <t>https://o-cdn-cas.sirclocdn.com/parenting/images/mie_sagu_goreng.width-800.format-webp.webp</t>
  </si>
  <si>
    <t>Minyak Hati Hiu (Eulamia)</t>
  </si>
  <si>
    <t>https://i0.wp.com/bogor-today.com/wp-content/uploads/2022/01/minyak-ikan-hiu.jpeg</t>
  </si>
  <si>
    <t>Minyak Ikan</t>
  </si>
  <si>
    <t>https://cdn0-production-images-kly.akamaized.net/KulMk8pE4MUFW9NwVOhQU_zDI_U=/1200x900/smart/filters:quality(75):strip_icc():format(jpeg)/kly-media-production/medias/2753245/original/059475000_1552803824-capsule-1079838_960_720.jpg</t>
  </si>
  <si>
    <t>Minyak Kacang Tanah</t>
  </si>
  <si>
    <t>https://nilaigizi.com/assets/images/produk/produk_1535871426.jpg</t>
  </si>
  <si>
    <t>Minyak kedelai</t>
  </si>
  <si>
    <t>https://res.cloudinary.com/dk0z4ums3/image/upload/v1678151337/attached_image/minyak-kedelai-ketahui-6-manfaatnya-untuk-kesehatan.jpg</t>
  </si>
  <si>
    <t>Minyak Kelapa</t>
  </si>
  <si>
    <t>https://res.cloudinary.com/dk0z4ums3/image/upload/v1619511406/attached_image/Manfaat-Minyak-Kelapa-Bagi-Kesehatan-dan-Kecantikan.jpg</t>
  </si>
  <si>
    <t>Minyak Kelapa Sawit</t>
  </si>
  <si>
    <t>https://res.cloudinary.com/dk0z4ums3/image/upload/v1619512031/attached_image/mengenal-manfaat-kelapa-sawit-dan-bahayanya.jpg</t>
  </si>
  <si>
    <t>Minyak Wijen</t>
  </si>
  <si>
    <t>https://imgx.parapuan.co/crop/0x0:0x0/x/photo/2022/03/10/minyak-wijenjpg-20220310033229.jpg</t>
  </si>
  <si>
    <t>Minyak Zaitun</t>
  </si>
  <si>
    <t>https://faktualnews.co/images/2020/07/ilustrasi-minyak-zaitun-2.jpg</t>
  </si>
  <si>
    <t>Misoa</t>
  </si>
  <si>
    <t>https://i0.wp.com/resepkoki.id/wp-content/uploads/2017/01/Resep-Misoa-goreng.jpg?fit=1896%2C1920&amp;ssl=1</t>
  </si>
  <si>
    <t xml:space="preserve">Misro </t>
  </si>
  <si>
    <t>https://resepkoki.id/wp-content/uploads/2016/03/Resep-Misro.jpg</t>
  </si>
  <si>
    <t>Moon tahu</t>
  </si>
  <si>
    <t>https://asset.kompas.com/crops/6euVEo-wAGx89LIBbuVHsBls00g=/3x0:700x465/750x500/data/photo/2021/02/26/60389a2ca08d2.jpg</t>
  </si>
  <si>
    <t>Mostarda metan -sawi</t>
  </si>
  <si>
    <t>https://1.bp.blogspot.com/-Z49IVx92C3Q/YPTZ76m0s4I/AAAAAAAAE7A/YqyhcefD4AsQ1AuLNA-G-fEMDUUKjKJ1gCLcBGAsYHQ/s1200/mostarda-planta-1200x900.jpg</t>
  </si>
  <si>
    <t>Mujahir acar kuning masakan</t>
  </si>
  <si>
    <t>https://img-global.cpcdn.com/recipes/8bebe8ed6c7b4f07/680x482cq70/ikan-mujair-acar-kuning-foto-resep-utama.jpg</t>
  </si>
  <si>
    <t>Naan maran sapi masakan</t>
  </si>
  <si>
    <t>Nanas</t>
  </si>
  <si>
    <t>https://awsimages.detik.net.id/community/media/visual/2022/07/04/diet-nanas-bikin-bb-turun-1-kg-seminggu-apa-aman-untuk-kesehatan-3.jpeg?w=682</t>
  </si>
  <si>
    <t>Nanas palembang segar</t>
  </si>
  <si>
    <t>https://images.tokopedia.net/img/cache/500-square/VqbcmM/2021/8/7/9df0b092-1dcd-422f-9551-cd3f8edd56c5.jpg</t>
  </si>
  <si>
    <t>Nangka biji</t>
  </si>
  <si>
    <t>https://awsimages.detik.net.id/community/media/visual/2020/11/13/olahan-biji-nangka-yang-enak-dan-murah-meriah-1.jpeg?w=700&amp;q=90</t>
  </si>
  <si>
    <t>Nangka masak di pohon</t>
  </si>
  <si>
    <t>https://asset.kompas.com/crops/vAJZIAE0JnVJOvig_kTUk1moh84=/0x53:1000x720/750x500/data/photo/2020/12/26/5fe6f33006f3c.jpg</t>
  </si>
  <si>
    <t>Nangka Muda</t>
  </si>
  <si>
    <t>https://sahabatdapur.com/wp-content/uploads/2015/08/nangka-muda-foto-istimewa.jpg</t>
  </si>
  <si>
    <t>Nasi</t>
  </si>
  <si>
    <t>https://asset.kompas.com/crops/V8z5REsWvqpu4CxKPWl_Ukg7CNI=/151x100:1349x898/780x390/data/photo/2022/01/08/61d9973b79cbd.jpg</t>
  </si>
  <si>
    <t>Nasi beras merah</t>
  </si>
  <si>
    <t>https://www.masakapahariini.com/wp-content/uploads/2019/11/nasi-tim-beras-merah.jpg</t>
  </si>
  <si>
    <t>Nasi gemuk</t>
  </si>
  <si>
    <t>https://upload.wikimedia.org/wikipedia/commons/thumb/b/bd/Nasi_Gmk.jpg/1200px-Nasi_Gmk.jpg</t>
  </si>
  <si>
    <t xml:space="preserve">Nasi Goreng </t>
  </si>
  <si>
    <t>https://asset.kompas.com/crops/2RnTJZK6E9ABjS_1qmItNjI1hls=/0x0:5760x3840/750x500/data/photo/2023/02/14/63eb12fb840da.jpg</t>
  </si>
  <si>
    <t>Nasi gurih</t>
  </si>
  <si>
    <t>https://www.frisianflag.com/storage/app/media/uploaded-files/nasi-uduk-betawi.jpg</t>
  </si>
  <si>
    <t>Nasi jagung</t>
  </si>
  <si>
    <t>https://tokohinspiratif.id/wp-content/uploads/2019/03/WhatsApp-Image-2019-03-25-at-16.10.19-1280x640.jpeg</t>
  </si>
  <si>
    <t>Nasi minyak</t>
  </si>
  <si>
    <t>https://upload.wikimedia.org/wikipedia/commons/c/c0/Nasi_Minyak_Palembang_1.jpg</t>
  </si>
  <si>
    <t>Nasi rames</t>
  </si>
  <si>
    <t>https://o-cdn-cas.sirclocdn.com/parenting/images/nasi-rames.width-800.format-webp.webp</t>
  </si>
  <si>
    <t>Nasi tim</t>
  </si>
  <si>
    <t>https://www.masakapahariini.com/wp-content/uploads/2022/08/cara-membuat-nasi-tim-ayam-sayuran-mpasi.jpg</t>
  </si>
  <si>
    <t xml:space="preserve">Nasi Uduk </t>
  </si>
  <si>
    <t>https://img.kurio.network/P1Obhh7cenTadrAZ6Hc_XPjaVws=/1200x1200/filters:quality(80)/https://kurio-img.kurioapps.com/21/09/01/53606332-ec0c-478c-add9-78815b5cc658.jpe</t>
  </si>
  <si>
    <t>Nasu likku masakan</t>
  </si>
  <si>
    <t>https://cdn-2.tstatic.net/makassar/foto/bank/images/nasu-likku-wajo.jpg</t>
  </si>
  <si>
    <t xml:space="preserve">Noga Kacang Tanah </t>
  </si>
  <si>
    <t>https://t-2.tstatic.net/priangan/foto/bank/images/Noga-Suuk.jpg</t>
  </si>
  <si>
    <t>Nopia spesial</t>
  </si>
  <si>
    <t>https://images.tokopedia.net/img/cache/700/VqbcmM/2022/11/16/4db2f8bc-bb3d-4e95-a679-b13c5b5c0faf.jpg</t>
  </si>
  <si>
    <t>Olah-olah</t>
  </si>
  <si>
    <t>https://img-global.cpcdn.com/recipes/45ba2643fc906c09/680x482cq70/olah-olah-foto-resep-utama.jpg</t>
  </si>
  <si>
    <t>Oncom</t>
  </si>
  <si>
    <t>https://asset.kompas.com/crops/TJ76EsKIghwcoD2Dkv7GrHGa_x4=/0x9:1000x675/750x500/data/photo/2020/08/04/5f2959f90ed39.jpg</t>
  </si>
  <si>
    <t>Oncom ampas kacang hijau</t>
  </si>
  <si>
    <t>79282965_4a911ce8-9d69-4db9-98c3-9efe78d49d24_724_724 (700×700) (tokopedia.net)</t>
  </si>
  <si>
    <t xml:space="preserve">Oncom Goreng </t>
  </si>
  <si>
    <t>https://t-2.tstatic.net/medan/foto/bank/images/Resep-Oncom-Goreng-Tepung.jpg</t>
  </si>
  <si>
    <t xml:space="preserve">Oncom Hitam Goreng </t>
  </si>
  <si>
    <t>https://images.tokopedia.net/img/cache/700/product-1/2019/10/10/79282965/79282965_4a911ce8-9d69-4db9-98c3-9efe78d49d24_724_724</t>
  </si>
  <si>
    <t xml:space="preserve">Oncom Hitam Goreng bertepung </t>
  </si>
  <si>
    <t>https://assets.ayobandung.com/crop/0x0:0x0/750x500/webp/photo/2022/07/19/2363852219.png</t>
  </si>
  <si>
    <t>Oncom kacang hijau + singkong</t>
  </si>
  <si>
    <t>https://golali.id/wp-content/uploads/2023/02/Oncom-760x473.jpg</t>
  </si>
  <si>
    <t>Oncom Kacang Tanah pepes</t>
  </si>
  <si>
    <t>https://t-2.tstatic.net/palembang/foto/bank/images/oncom_20170407_152823.jpg</t>
  </si>
  <si>
    <t>Oncom Kedele</t>
  </si>
  <si>
    <t>https://asset.kompas.com/crops/h4_WZ8GncmYCpLRv-hrfwyr0_AQ=/0x0:1000x667/750x500/data/photo/2020/08/04/5f295a4cc469c.jpg</t>
  </si>
  <si>
    <t xml:space="preserve">Oncom Merah Goreng </t>
  </si>
  <si>
    <t xml:space="preserve">Oncom Merah Goreng bertepung </t>
  </si>
  <si>
    <t>https://kbu-cdn.com/dk/wp-content/uploads/oncom-goreng.jpg</t>
  </si>
  <si>
    <t xml:space="preserve">Oncom Merah Sayur (tumis) </t>
  </si>
  <si>
    <t>https://cdn.idntimes.com/content-images/community/2022/02/img-20220215-221041-46e2f5aecb68d33317c733fcbbadfb19-3b67f78530f06dc0bb76ba7e4c795a5a_600x400.jpg</t>
  </si>
  <si>
    <t>Oncom pepes</t>
  </si>
  <si>
    <t>https://asset-a.grid.id/crop/0x0:0x0/700x465/photo/sasefoto/original/33239_pepes-oncom-teri.jpg</t>
  </si>
  <si>
    <t xml:space="preserve">Onde-onde </t>
  </si>
  <si>
    <t>https://www.masakapahariini.com/wp-content/uploads/2020/10/resep-onde-onde.jpg</t>
  </si>
  <si>
    <t xml:space="preserve">Ongol-ongol </t>
  </si>
  <si>
    <t>https://blog.tokowahab.com/wp-content/uploads/2020/01/Resep-Ongol-Ongol.jpg</t>
  </si>
  <si>
    <t>Ongol-ongol sagu</t>
  </si>
  <si>
    <t>https://img-global.cpcdn.com/recipes/c2a7ee1d87669ccd/680x482cq70/ongol-ongol-sagu-foto-resep-utama.jpg</t>
  </si>
  <si>
    <t xml:space="preserve">Opak Singkong </t>
  </si>
  <si>
    <t>https://cf.shopee.co.id/file/f10cd2d5ad4812daf630547293706737</t>
  </si>
  <si>
    <t>Oramu ninahu ndawa olaho masakan</t>
  </si>
  <si>
    <t>Otak</t>
  </si>
  <si>
    <t>https://asset.kompas.com/crops/Zb2CWR9vmVrUUr6v372o4SJ8gs0=/0x0:1000x667/750x500/data/photo/2021/07/18/60f3913f44be3.jpg</t>
  </si>
  <si>
    <t>Oyek</t>
  </si>
  <si>
    <t>https://asset-a.grid.id/crop/0x0:0x0/780x800/photo/bobofoto/original/20348_nasi-oyek.JPG</t>
  </si>
  <si>
    <t>Oyek (dari singkong)</t>
  </si>
  <si>
    <t>Paku hinela wulelenggapaya</t>
  </si>
  <si>
    <t>Pala biji</t>
  </si>
  <si>
    <t>https://res.cloudinary.com/dk0z4ums3/image/upload/v1670897868/attached_image/biji-pala-ketahui-kandungan-nutrisi-dan-manfaatnya-bagi-kesehatan.jpg</t>
  </si>
  <si>
    <t>Pala daging</t>
  </si>
  <si>
    <t>https://res.cloudinary.com/dk0z4ums3/image/upload/v1672648028/attached_image/buah-pala-dan-manfaatnya-bagi-kesehatan.jpg</t>
  </si>
  <si>
    <t>Paniki masak santan masakan</t>
  </si>
  <si>
    <t>https://img-global.cpcdn.com/recipes/0435c98a0facbd6b/680x482cq70/ayam-paniki-kuah-santan-daun-kemangi-foto-resep-utama.jpg</t>
  </si>
  <si>
    <t xml:space="preserve">Papais </t>
  </si>
  <si>
    <t>https://cdn-brilio-net.akamaized.net/news/2022/02/15/222989/1667876-1000xauto-resep-papais-pisang.jpg</t>
  </si>
  <si>
    <t>Papeda</t>
  </si>
  <si>
    <t>https://upload.wikimedia.org/wikipedia/commons/thumb/0/01/Papeda%2C_Kuah_Kuning%2C_Ikan_Tude_Bakar_2.jpg/1200px-Papeda%2C_Kuah_Kuning%2C_Ikan_Tude_Bakar_2.jpg</t>
  </si>
  <si>
    <t>Parede baleh masakan</t>
  </si>
  <si>
    <t>https://cdn.yummy.co.id/content-images/images/20200815/2YZZLlB1Zbu1u15lVU5vD8BzPnocXd9x-31353937343730313934d41d8cd98f00b204e9800998ecf8427e.jpg?x-oss-process=image/format,webp</t>
  </si>
  <si>
    <t>Paria (Pare)</t>
  </si>
  <si>
    <t>https://img-cdn.medkomtek.com/X4BJRDfL_8HS_c5aJtsuyssrYzc=/730x411/smart/filters:quality(75):strip_icc():format(webp)/article/QvEjQFs7tywQmPo2gqqRk/original/046665800_1514452569-5-Manfaat-Tak-Terduga-dari-Pare-By-jiangdi-shutterstock_280759094.jpg</t>
  </si>
  <si>
    <t>Paria Putih kukus</t>
  </si>
  <si>
    <t>https://img-global.cpcdn.com/recipes/a97ee086d880b66f/680x482cq70/chao-gu-kua-pare-putih-isi-telur-tofu-kukus-foto-resep-utama.jpg</t>
  </si>
  <si>
    <t>Paria putih segar</t>
  </si>
  <si>
    <t>https://images.tokopedia.net/img/cache/700/product-1/2019/12/3/3052608/3052608_77a86b88-9b60-4b1c-a386-e34233b36223_393_393.jpg</t>
  </si>
  <si>
    <t>Pastel</t>
  </si>
  <si>
    <t>https://img-global.cpcdn.com/recipes/66d15fa15c092e35/1200x630cq70/photo.jpg</t>
  </si>
  <si>
    <t>Pati Singkong (tapioka)</t>
  </si>
  <si>
    <t>https://img.my-best.id/content_section/beforehand_tips/4e0654064c1f4f6c6f82ca43010f122e.jpg?ixlib=rails-4.3.1&amp;q=70&amp;lossless=0&amp;w=690&amp;fit=max&amp;s=a3da0b23fcedeb9e0f0e9f86034c1225</t>
  </si>
  <si>
    <t>Pe-Cay</t>
  </si>
  <si>
    <t>https://img-global.cpcdn.com/recipes/b41cd819ef249758/680x482cq70/sayur-pecay-sawi-putih-cah-tahu-foto-resep-utama.jpg</t>
  </si>
  <si>
    <t>Peda Ikan Banjar</t>
  </si>
  <si>
    <t>https://laz-img-sg.alicdn.com/p/f2d44f9c00473cc712dd7572f10001ba.jpg</t>
  </si>
  <si>
    <t>Pelecing kangkung</t>
  </si>
  <si>
    <t>https://awsimages.detik.net.id/community/media/visual/2021/11/30/resep-plecing-kangkung-khas-lombok_43.jpeg?w=1200</t>
  </si>
  <si>
    <t>Pelepah manuk masakan</t>
  </si>
  <si>
    <t>https://cdn2.tstatic.net/tribunnewswiki/foto/bank/images/Ilustrasi-pelepah-manuk-khas-NTT2.jpg</t>
  </si>
  <si>
    <t>Pempek adaan</t>
  </si>
  <si>
    <t>https://asset.kompas.com/crops/ZCo2_DcJAXGslXbYIM3Zv4nCzsA=/0x41:1000x708/750x500/data/photo/2021/03/01/603c1e79dd9d3.jpg</t>
  </si>
  <si>
    <t>Pempek belida</t>
  </si>
  <si>
    <t>https://storage.hpaindonesia.net:8215/assets/71fe72e0c41bc168b875616e063f59fe/a5ef8b002a65c712f64b2d7df37c80c5.jpg</t>
  </si>
  <si>
    <t>Pempek kapal selam</t>
  </si>
  <si>
    <t>https://blog.duniamasak.com/wp-content/uploads/image2-1024x1024.jpeg</t>
  </si>
  <si>
    <t>Pempek kelesan</t>
  </si>
  <si>
    <t>https://assets.ayobandung.com/crop/0x0:0x0/750x500/webp/photo/halloseleb/2020/11/Pempek-1.png</t>
  </si>
  <si>
    <t>Pempek kulit</t>
  </si>
  <si>
    <t>https://img.kurio.network/qccsgXHXu9eyYhL6WTN-KoaY8xE=/1200x1200/filters:quality(80)/https://kurio-img.kurioapps.com/20/06/05/40ff5973-31a7-407f-be12-b3d3af335023.jpg</t>
  </si>
  <si>
    <t>Pempek tenggiri</t>
  </si>
  <si>
    <t>https://s0.bukalapak.com/uploads/content_attachment/fd3107d582c4f80e5448ada5/original/foto_utama_pempek_2.jpg</t>
  </si>
  <si>
    <t>Pencok lele masakan</t>
  </si>
  <si>
    <t>https://img-global.cpcdn.com/recipes/385569312441e99f/680x482cq70/pencok-lele-foto-resep-utama.jpg</t>
  </si>
  <si>
    <t>Penyu serapah masakan</t>
  </si>
  <si>
    <t>https://fastly.4sqi.net/img/general/600x600/OCEUQQy60QPea6xF6nBfPDNzanEyT-n5j4BPRiR6IoM.jpg</t>
  </si>
  <si>
    <t>Pepare ular segar</t>
  </si>
  <si>
    <t>https://m.andrafarm.com/_andra_farm/gambar_kelompok/a078.jpg</t>
  </si>
  <si>
    <t>Pepaya lodeh</t>
  </si>
  <si>
    <t>https://img-global.cpcdn.com/recipes/5355bb65be878c54/680x482cq70/lodeh-pepaya-muda-foto-resep-utama.jpg</t>
  </si>
  <si>
    <t>Pepaya Muda</t>
  </si>
  <si>
    <t>https://static.readers.id/files/images/20230203-60b84fc2b2b72.jpg</t>
  </si>
  <si>
    <t>Pepaya segar</t>
  </si>
  <si>
    <t>https://melayupedia.com/foto_berita/2021/10/2021-10-29-suka-buah-pepaya-yuk-olah-jadi-minuman-yang-segar.jpeg</t>
  </si>
  <si>
    <t>Pepea oncom ampas tahu</t>
  </si>
  <si>
    <t>https://cdn2.tstatic.net/travel/foto/bank/images/pepes-oncom.jpg</t>
  </si>
  <si>
    <t xml:space="preserve">Permen </t>
  </si>
  <si>
    <t>https://cdn1-production-images-kly.akamaized.net/7v14RDPh4Yi0jn8yPsIj4cl2YyQ=/1200x900/smart/filters:quality(75):strip_icc():format(jpeg)/kly-media-production/medias/2054451/original/070398300_1522833158-iStock-153502589.jpg</t>
  </si>
  <si>
    <t>Pete Segar</t>
  </si>
  <si>
    <t>https://images.tokopedia.net/img/cache/500-square/VqbcmM/2021/7/28/7234b1e2-2f75-4f28-a167-2b163cfb0484.jpg</t>
  </si>
  <si>
    <t>Peterseli</t>
  </si>
  <si>
    <t>https://asset.kompas.com/crops/DMl4MXqzMzZAkHUZZAkeDiehoaw=/0x83:1000x750/750x500/data/photo/2021/08/19/611ddc3ed176e.jpeg</t>
  </si>
  <si>
    <t>Petis Ikan</t>
  </si>
  <si>
    <t>https://images.tokopedia.net/img/cache/500-square/VqbcmM/2021/8/24/d361f072-450d-4d28-9195-2f6ffd192b85.jpg</t>
  </si>
  <si>
    <t>Petis Udang</t>
  </si>
  <si>
    <t>https://img-global.cpcdn.com/recipes/9495ed8f8ea95711/680x482cq70/petis-udang-foto-resep-utama.jpg</t>
  </si>
  <si>
    <t>Petis udang kering</t>
  </si>
  <si>
    <t>https://i0.wp.com/harga.web.id/wp-content/uploads/Petis-Udang-1.jpg?fit=680%2C300&amp;ssl=1</t>
  </si>
  <si>
    <t>Petis udang pasta</t>
  </si>
  <si>
    <t>https://cf.shopee.co.id/file/88086a73cd823de9d5e502b27e8ce7f5</t>
  </si>
  <si>
    <t xml:space="preserve">Pilus </t>
  </si>
  <si>
    <t>https://asset.kompas.com/crops/S7g9b7Wq4I4Ut3RoExzI7yd2mL4=/0x0:1000x667/750x500/data/photo/2021/12/10/61b2aa4cbd1f3.jpg</t>
  </si>
  <si>
    <t>Pinda masakan</t>
  </si>
  <si>
    <t>https://cdn.idntimes.com/content-images/post/20200530/2-a6cb06028f22e293879ec7f5cc4a19fd.jpg</t>
  </si>
  <si>
    <t>Pindang Ikan Banjar</t>
  </si>
  <si>
    <t>https://img-global.cpcdn.com/recipes/14d53b21dadc8a0a/680x482cq70/pindang-patin-urang-banjar-ala-ulun-foto-resep-utama.jpg</t>
  </si>
  <si>
    <t>Pindang Ikan Benggol</t>
  </si>
  <si>
    <t>https://img-global.cpcdn.com/recipes/c8d60c4a0a1eeb05/680x482cq70/pindang-benggol-bumbu-kecap-mantuuul-foto-resep-utama.jpg</t>
  </si>
  <si>
    <t>Pindang Ikan Layang</t>
  </si>
  <si>
    <t>https://img-global.cpcdn.com/recipes/d32672cdc5392959/400x400cq70/photo.jpg</t>
  </si>
  <si>
    <t>Pindang Ikan Selar Kecil</t>
  </si>
  <si>
    <t>https://img-global.cpcdn.com/recipes/e291e5bf58d67808/680x482cq70/pindang-ikan-selar-foto-resep-utama.jpg</t>
  </si>
  <si>
    <t>Pindang kenari masakan</t>
  </si>
  <si>
    <t>https://lestariweb.com/ResepImages/PindangIkanKenari.jpg</t>
  </si>
  <si>
    <t>Pisang Ambon</t>
  </si>
  <si>
    <t>https://sibejajo.com/asset/foto_produk/pisang_ambon.jpg</t>
  </si>
  <si>
    <t>Pisang angleng (pisang ampyang) segar</t>
  </si>
  <si>
    <t>https://images.tokopedia.net/img/cache/700/VqbcmM/2022/3/13/917dcae7-a629-441a-80e0-ef57db2d5d86.jpg.webp</t>
  </si>
  <si>
    <t>Pisang ayam segar</t>
  </si>
  <si>
    <t>https://assets.tokko.io/0feaf09b-2761-465e-98df-a8ae8e3d0837/products/images/9239a74b-b3ba-43b0-8368-88ae7940ff5e</t>
  </si>
  <si>
    <t xml:space="preserve">Pisang gapi segar </t>
  </si>
  <si>
    <t>https://img.mbizmarket.co.id/products/thumbs/800x800/2023/01/20/befd74e59c6a52a52770d9f79cfd83e5.jpg</t>
  </si>
  <si>
    <t xml:space="preserve">Pisang Goreng </t>
  </si>
  <si>
    <t>https://awsimages.detik.net.id/community/media/visual/2022/06/28/resep-pisang-goreng-keriting_43.jpeg?w=1200</t>
  </si>
  <si>
    <t>Pisang goroho segar</t>
  </si>
  <si>
    <t>https://cf.shopee.co.id/file/c7e52955f5ce99a5e9b08f9415d26813</t>
  </si>
  <si>
    <t>Pisang hijau segar</t>
  </si>
  <si>
    <t>https://riaureview.com/assets/berita/original/84297374449-pisang_hiaju.jpg</t>
  </si>
  <si>
    <t>Pisang kayu segar</t>
  </si>
  <si>
    <t>https://images.tokopedia.net/img/cache/500-square/VqbcmM/2021/8/10/869aef02-92ce-44ce-acc0-01ab37f8af93.jpg</t>
  </si>
  <si>
    <t>Pisang kepok segar</t>
  </si>
  <si>
    <t>https://img.okezone.com/content/2013/09/10/299/863930/lWNmq1egxS.jpg</t>
  </si>
  <si>
    <t>Pisang ketip segar</t>
  </si>
  <si>
    <t>https://siplah-oss.tokoladang.co.id/merchant/14629/product/Se7OPSmd9MOoEDAanTZ1AHI66EJfLxZxCi39Jzh9.jpg</t>
  </si>
  <si>
    <t>Pisang kidang segar</t>
  </si>
  <si>
    <t>https://s3.theasianparent.com/cdn-cgi/image/width=450,quality=90/tap-assets-prod/wp-content/uploads/sites/24/2023/01/Pisang-Genderuwo.jpg</t>
  </si>
  <si>
    <t>Pisang Lampung</t>
  </si>
  <si>
    <t>https://amantasegar.com/wp-content/uploads/2022/03/pisang-lampung-web.jpg</t>
  </si>
  <si>
    <t>Pisang Mas</t>
  </si>
  <si>
    <t>https://rumahbuah.com/wp-content/uploads/2015/03/Rumbu_-Pisang02.jpg</t>
  </si>
  <si>
    <t>Pisang mas bali</t>
  </si>
  <si>
    <t>https://siplahtelkom.com/public/products/124427/3079678/images-48-.1637576152.jpeg</t>
  </si>
  <si>
    <t>Pisang Oli</t>
  </si>
  <si>
    <t>https://i0.wp.com/udfauzi.com/wp-content/uploads/2020/06/Pisang-Uli-Adalah.jpg?resize=700%2C525&amp;ssl=1</t>
  </si>
  <si>
    <t>Pisang Raja</t>
  </si>
  <si>
    <t>https://asset.kompas.com/crops/cmVXFlilJIrGxAFHn0-5Fu3b43M=/0x141:1000x807/750x500/data/photo/2022/07/21/62d9015c28bcd.jpg</t>
  </si>
  <si>
    <t>Pisang Raja Sere (Susu)</t>
  </si>
  <si>
    <t>https://images.tokopedia.net/img/cache/500-square/VqbcmM/2021/7/29/954a86e6-5179-4814-8d3e-de1c75f9b198.jpg</t>
  </si>
  <si>
    <t>Pisang rotan segar</t>
  </si>
  <si>
    <t>https://suriahelanglui.com/wp-content/uploads/2012/09/PisangLidi1-1.jpg</t>
  </si>
  <si>
    <t>Pisang Siam goreng</t>
  </si>
  <si>
    <t>https://asset-a.grid.id/crop/0x0:0x0/700x465/photo/2022/12/05/pisang-gorengjpg-20221205080417.jpg</t>
  </si>
  <si>
    <t>Pisang talas segar</t>
  </si>
  <si>
    <t>https://s3.bukalapak.com/img/874746887/large/Pisang_Talas.jpeg</t>
  </si>
  <si>
    <t>Prey (bawang daun)</t>
  </si>
  <si>
    <t>Pucuk lumai/daun leunca segar</t>
  </si>
  <si>
    <t>https://images.tokopedia.net/img/cache/700/VqbcmM/2021/12/30/c6442594-cf5f-4230-9c69-3736724953da.jpg</t>
  </si>
  <si>
    <t>Pulut</t>
  </si>
  <si>
    <t>https://assets.tmecosys.com/image/upload/t_web767x639/img/recipe/ras/Assets/B407551B-198D-472D-B9D8-4F11D6C1AE25/Derivates/91E2E036-AF80-4A24-91FF-EE9631211E26.jpg</t>
  </si>
  <si>
    <t>Punai daging goreng</t>
  </si>
  <si>
    <t>https://img.okezone.com/content/2012/12/06/488/728478/4GJoElzYrO.jpg</t>
  </si>
  <si>
    <t>Pundut nasi</t>
  </si>
  <si>
    <t>https://img-global.cpcdn.com/recipes/bd0db074266f1019/1200x630cq70/photo.jpg</t>
  </si>
  <si>
    <t>Purundawa</t>
  </si>
  <si>
    <t>Purut segar</t>
  </si>
  <si>
    <t>https://upload.wikimedia.org/wikipedia/commons/thumb/5/50/Citrus_hystrix_dsc07772.jpg/250px-Citrus_hystrix_dsc07772.jpg</t>
  </si>
  <si>
    <t>Putri malu segar</t>
  </si>
  <si>
    <t>https://cdns.klimg.com/merdeka.com/i/w/news/2021/03/02/1280218/content_images/670x335/20210302115027-1-putri-malu-001-andre-kurniawan.jpg</t>
  </si>
  <si>
    <t>Putri selat</t>
  </si>
  <si>
    <t>https://asset-a.grid.id/crop/0x0:0x0/700x465/photo/2020/09/16/2138675327.jpg</t>
  </si>
  <si>
    <t xml:space="preserve">Putu Mayang </t>
  </si>
  <si>
    <t>https://awsimages.detik.net.id/community/media/visual/2022/05/12/resep-putu-mayang-betawi_43.jpeg?w=1200</t>
  </si>
  <si>
    <t>Ragi</t>
  </si>
  <si>
    <t>https://image-cdn.medkomtek.com/UTbN3ow8_SyXb7gEP0usBxi_2bU=/640x640/smart/klikdokter-media-buckets/medias/2327323/original/051193900_1637037632-Manfaat_Konsumsi_Millet_Finger_atau_Ragi_untuk_Ibu_Hamil.jpg</t>
  </si>
  <si>
    <t>Rajungan segar</t>
  </si>
  <si>
    <t>https://upload.wikimedia.org/wikipedia/commons/thumb/9/97/Portunus_sanguinolentus.jpg/1200px-Portunus_sanguinolentus.jpg</t>
  </si>
  <si>
    <t>Rambutan</t>
  </si>
  <si>
    <t>https://www.homegrown.in/upload/product/big1193470275.jpg</t>
  </si>
  <si>
    <t>Rambutan Aceh</t>
  </si>
  <si>
    <t>https://lzd-img-global.slatic.net/3rd/q/aHR0cHM6Ly9lY3M3LnRva29wZWRpYS5uZXQvaW1nL2NhY2hlLzcwMC9wcm9kdWN0LTEvMjAxOS84LzE0LzQ2NjQ4NDAvNDY2NDg0MF9lZDU0NThmOS02ODU2LTRkMjAtYWQzMC00ZWJjMjBkODMzZWIuanBn_720x720q80.png_.webp</t>
  </si>
  <si>
    <t>Rambutan binjai segar</t>
  </si>
  <si>
    <t>https://images.tokopedia.net/img/cache/700/product-1/2019/11/17/80554416/80554416_20e30e21-1b24-4335-bca5-4a1383855b2c_624_465.jpg</t>
  </si>
  <si>
    <t>Rambutan sinyonya</t>
  </si>
  <si>
    <t>https://cf.shopee.co.id/file/9dc60c5410cf225b15e15b260ebb9fdc</t>
  </si>
  <si>
    <t xml:space="preserve">Rarawuan </t>
  </si>
  <si>
    <t>https://1.bp.blogspot.com/-0ER95zwTjoo/YOHlYJOtQCI/AAAAAAAAgJ0/d2OeMsWXfuAm2YimGXpKX5OVJqYEqoXpwCLcBGAsYHQ/s1352/209813966_330785408583521_6848659010339177574_n.jpg</t>
  </si>
  <si>
    <t>Rasbi (Beras Ubi)</t>
  </si>
  <si>
    <t>https://warisanbudaya.kemdikbud.go.id/dashboard/media/photos/1613027332-tetap-5.jpg</t>
  </si>
  <si>
    <t>Rasi (Beras Singkong)</t>
  </si>
  <si>
    <t>Rawon masakan</t>
  </si>
  <si>
    <t>https://www.masakapahariini.com/wp-content/uploads/2018/04/resep-rawon-daging-500x300.jpg</t>
  </si>
  <si>
    <t>Rebon (udang kecil segar)</t>
  </si>
  <si>
    <t>https://images.tokopedia.net/img/cache/500-square/VqbcmM/2021/3/15/971bdefe-2f12-4fe0-bac8-46821b86f6c0.jpg</t>
  </si>
  <si>
    <t>Rebon kering</t>
  </si>
  <si>
    <t>https://images.tokopedia.net/img/cache/500-square/VqbcmM/2021/8/13/d25ccc26-81c6-414e-9210-b7b5a5903789.jpg</t>
  </si>
  <si>
    <t>Rebon udang kecil segar</t>
  </si>
  <si>
    <t>https://agrozine.id/wp-content/uploads/2022/07/Udang-Rebon.jpg</t>
  </si>
  <si>
    <t>Rebung</t>
  </si>
  <si>
    <t>https://cdn1-production-images-kly.akamaized.net/VdkaPQZ7BOhsrzOWdXKVwhjeaYY=/1200x900/smart/filters:quality(75):strip_icc():format(jpeg)/kly-media-production/medias/1740001/original/057180700_1508071681-Sederet-Manfaat-Rebung-untuk-Kesehatan.jpg</t>
  </si>
  <si>
    <t>Rebung laut mentah</t>
  </si>
  <si>
    <t>Rempeyek kacang tolo</t>
  </si>
  <si>
    <t>https://img-global.cpcdn.com/recipes/48ce62ec9bac2146/1200x630cq70/photo.jpg</t>
  </si>
  <si>
    <t>Rempeyek kacang uci</t>
  </si>
  <si>
    <t>https://img-global.cpcdn.com/recipes/a6f9e4ebc75b128d/680x482cq70/rempeyek-kacang-tanah-foto-resep-utama.jpg</t>
  </si>
  <si>
    <t>Rendang sapi masakan</t>
  </si>
  <si>
    <t>https://asset.kompas.com/crops/HDe5rLDP0dEOLb6MC_UPvRTwFg8=/0x141:500x474/750x500/data/photo/2021/05/11/609a08809259f.jpg</t>
  </si>
  <si>
    <t>Renggi goreng</t>
  </si>
  <si>
    <t>https://cdn.idntimes.com/content-images/community/2019/05/rengginang-manis-768x509-a83023517a0077a930f4f7d1c113f41d.jpg</t>
  </si>
  <si>
    <t>Rimbang segar</t>
  </si>
  <si>
    <t>https://m.andrafarm.com/_andra_farm/gambar_kelompok/a158-4.jpg</t>
  </si>
  <si>
    <t xml:space="preserve">Risoles </t>
  </si>
  <si>
    <t>https://rasabunda.com/wp-content/uploads/2021/08/Risoles-Ragout.jpg</t>
  </si>
  <si>
    <t>Roti boong</t>
  </si>
  <si>
    <t>https://img-global.cpcdn.com/recipes/cee92d5a548ee3d5/680x482cq70/kue-bohongroti-goreng-empuk-dan-menul-foto-resep-utama.jpg</t>
  </si>
  <si>
    <t xml:space="preserve">Roti Gambang </t>
  </si>
  <si>
    <t>https://cdn0-production-images-kly.akamaized.net/TR6XRCpau_4ik-E3GDzTng6DDnU=/0x300:4496x2834/1200x675/filters:quality(75):strip_icc():format(webp)/kly-media-production/medias/3573373/original/099205200_1631765412-shutterstock_1786072643.jpg</t>
  </si>
  <si>
    <t>Roti Putih</t>
  </si>
  <si>
    <t>https://www.yesdok.com/visual/slideshow/slices-bread-white-background-article-1625550183.jpg?w=1200</t>
  </si>
  <si>
    <t>Roti warna sawo matang</t>
  </si>
  <si>
    <t>https://asset.kompas.com/crops/LQ98lafgoMzcrz1TSTfIdGjBw2A=/0x0:1000x667/1200x800/data/photo/2020/08/24/5f4349a0dd479.jpg</t>
  </si>
  <si>
    <t>Rujak cingur</t>
  </si>
  <si>
    <t>https://lingkar.news/wp-content/uploads/2023/03/Resep-Rujak-Cingur-Makanan-Tradisional-Khas-Surabaya.jpg</t>
  </si>
  <si>
    <t>Rumput laut</t>
  </si>
  <si>
    <t>https://cdn.infobrand.id/images/img/posts/2019/07/11/pemerintah-sebut-rumput-laut-potensial-jadi-lumbung-rupiah.jpg</t>
  </si>
  <si>
    <t>Rusa daging dendeng mentah</t>
  </si>
  <si>
    <t>https://images.tokopedia.net/img/cache/250-square/VqbcmM/2022/5/21/4b8937f9-6431-46ec-9d95-d633aa52371f.jpg</t>
  </si>
  <si>
    <t>Rusip</t>
  </si>
  <si>
    <t>https://indonesiakaya.com/wp-content/uploads/2020/10/1__Sambal_rusip_merupakan_sambal_khas_masyarakat_Bangka_yang_terbuat_dari_ikan_teri_edit.jpg</t>
  </si>
  <si>
    <t>RW anjing masakan</t>
  </si>
  <si>
    <t>https://akcdn.detik.net.id/customthumb/2014/08/13/297/daginganjingtorajadalam.jpg?w=700&amp;q=90</t>
  </si>
  <si>
    <t>Saga biji tanpa kulit</t>
  </si>
  <si>
    <t>https://id-live-01.slatic.net/p/cce66ff1a785cd7308e286e0e821fbdc.jpg</t>
  </si>
  <si>
    <t xml:space="preserve">Sagu Ambon </t>
  </si>
  <si>
    <t>https://akcdn.detik.net.id/community/media/visual/2019/05/23/5d8019b4-a99b-4aea-a6e1-96be21f8e194_43.jpeg?w=250&amp;q=</t>
  </si>
  <si>
    <t>Sagu aren kering</t>
  </si>
  <si>
    <t>https://img-global.cpcdn.com/recipes/66e50eace9b95af6/1200x630cq70/photo.jpg</t>
  </si>
  <si>
    <t>Sagu aren segar</t>
  </si>
  <si>
    <t>https://images.tokopedia.net/img/cache/700/VqbcmM/2020/10/22/d501ae3a-e756-4b85-b5bc-a3c84b245ba3.jpg</t>
  </si>
  <si>
    <t>Sagu forno</t>
  </si>
  <si>
    <t>https://awsimages.detik.net.id/community/media/visual/2021/06/25/sagu-porno_43.jpeg?w=650&amp;q=80</t>
  </si>
  <si>
    <t>Sagu kasbi segar</t>
  </si>
  <si>
    <t>https://encrypted-tbn0.gstatic.com/images?q=tbn:ANd9GcQbsLHiihaXfZjagnPqP8L6DS6A5W_nZ9HKXiY1vuybeGq-i8-9VVYLUs-3VivtsQE7ZQc&amp;usqp=CAU</t>
  </si>
  <si>
    <t>Sagu Lemak (Kue Sagon)</t>
  </si>
  <si>
    <t>https://images.tokopedia.net/img/cache/700/VqbcmM/2021/3/5/d8ba35a9-c0a0-4194-9bf0-ec93071792cc.jpg</t>
  </si>
  <si>
    <t>Sagu lempeng</t>
  </si>
  <si>
    <t>https://cdn2.tstatic.net/tribunnewswiki/foto/bank/images/sagu-lempengan.jpg</t>
  </si>
  <si>
    <t>Sagu Rendang</t>
  </si>
  <si>
    <t>https://img-global.cpcdn.com/recipes/52dbe680ea623036/1200x630cq70/photo.jpg</t>
  </si>
  <si>
    <t>Sagu singkong kering</t>
  </si>
  <si>
    <t>https://cf.shopee.co.id/file/7fac4b96fb9f443f661cba672244588d</t>
  </si>
  <si>
    <t>Sagu sinole</t>
  </si>
  <si>
    <t>https://img-global.cpcdn.com/recipes/9051c1a3e2650c22/680x482cq70/kue-kering-sagu-keju-simple-dan-enak-foto-resep-utama.jpg</t>
  </si>
  <si>
    <t>Salak bali segar</t>
  </si>
  <si>
    <t>https://www.static-src.com/wcsstore/Indraprastha/images/catalog/full//103/MTA-57912637/no-brand_salak-bali-gula-pasir-asli-manis-segar-1-kg_full01.jpg</t>
  </si>
  <si>
    <t>Salak medan segar</t>
  </si>
  <si>
    <t>https://s4.bukalapak.com/img/9684256368/large/data.png</t>
  </si>
  <si>
    <t>Salak pondoh segar</t>
  </si>
  <si>
    <t>https://images.tokopedia.net/img/cache/500-square/product-1/2019/12/15/4224508/4224508_f3dc890d-8d6d-4f5d-a6fe-cc43fe6e8567_1064_1064.jpg</t>
  </si>
  <si>
    <t>Sale pisang siam</t>
  </si>
  <si>
    <t>https://t-2.tstatic.net/priangan/foto/bank/images/Ilustrasi-sale-pisang-dari-Trenggalek.jpg</t>
  </si>
  <si>
    <t>Santan (dengan air)</t>
  </si>
  <si>
    <t>https://res.cloudinary.com/dk0z4ums3/image/upload/v1604041366/attached_image/tak-berbahaya-kenali-manfaat-santan-lebih-dekat.jpg</t>
  </si>
  <si>
    <t>Santan (kelapa saja)</t>
  </si>
  <si>
    <t>https://www.rumahmesin.com/wp-content/uploads/2016/11/ngalor-ngidul-menyoal-santan-kelapa-1024x538.jpg</t>
  </si>
  <si>
    <t>Santan murni</t>
  </si>
  <si>
    <t>https://asset.kompas.com/crops/eNIewogp_GV7CahqIvslrYZh4XY=/0x39:1000x706/750x500/data/photo/2020/04/29/5ea93a05011e9.jpg</t>
  </si>
  <si>
    <t>Saos Tomat</t>
  </si>
  <si>
    <t>https://static.sehatq.com/content/review/image/1644897313.png</t>
  </si>
  <si>
    <t>Sapi abon</t>
  </si>
  <si>
    <t>https://cdn0-production-images-kly.akamaized.net/fqIGhZT1Z1Zu36S_0_xZCoJSI5A=/1200x900/smart/filters:quality(75):strip_icc():format(jpeg)/kly-media-production/medias/3980335/original/086906600_1648695608-Abon_Sapi_Premium.jpg</t>
  </si>
  <si>
    <t>Sapi babat segar</t>
  </si>
  <si>
    <t>https://images.tokopedia.net/img/cache/500-square/VqbcmM/2021/3/10/5802bb88-dd3a-42b8-9d4e-f03f46fcf8a3.jpg</t>
  </si>
  <si>
    <t>Sapi daging asap</t>
  </si>
  <si>
    <t>https://asset.kompas.com/crops/FMBgpWLQutfbdsgz0ZytI8a9JKo=/0x542:1080x1262/750x500/data/photo/2022/03/22/6239b98488b17.jpg</t>
  </si>
  <si>
    <t>Sapi daging dendeng mentah</t>
  </si>
  <si>
    <t>https://cdns.diadona.id/diadona.id/resized/640x320/news/2020/04/27/9731/664xauto-cara-membuat-dendeng-sapi-yang-dijemur-kering-basah-kelapa-balado-dan-manis-200427a.jpg</t>
  </si>
  <si>
    <t>Sapi daging gemuk segar</t>
  </si>
  <si>
    <t>https://cdn1-production-images-kly.akamaized.net/lA6qLu1irMjT2OPAYtqnW-nvIfQ=/640x360/smart/filters:quality(75):strip_icc():format(jpeg)/kly-media-production/medias/3133148/original/027517900_1589942784-Raw_Fresh_Meat_With_Rosemary.jpg</t>
  </si>
  <si>
    <t>Sapi daging kornet</t>
  </si>
  <si>
    <t>https://s4.bukalapak.com/attachment/418432/pengertian_kornet_main_image.jpg</t>
  </si>
  <si>
    <t>Sapi daging kurus segar</t>
  </si>
  <si>
    <t>Sapi daging lemak sedang segar</t>
  </si>
  <si>
    <t>https://images.tokopedia.net/img/cache/700/VqbcmM/2020/10/10/3e7ebf5d-cc63-4354-ac94-e96ce7057653.png</t>
  </si>
  <si>
    <t>Sapi daging sosis (Worst)</t>
  </si>
  <si>
    <t>https://images.tokopedia.net/img/cache/700/product-1/2020/7/3/1982472/1982472_d7e37ee9-0836-4eb7-9d26-fe0b1f602bd3_300_300</t>
  </si>
  <si>
    <t>Sapi daleman segar</t>
  </si>
  <si>
    <t>https://asset-a.grid.id/crop/0x0:0x0/x/photo/2022/05/12/manfaat-jeroan-sapijpg-20220512025232.jpg</t>
  </si>
  <si>
    <t>Sapi dideh/darah</t>
  </si>
  <si>
    <t>Sapi ginjal segar</t>
  </si>
  <si>
    <t>Sapi hati sosis (liverworst)</t>
  </si>
  <si>
    <t>https://img.herstory.co.id/articles/archive_20220708/sosis-daging-sapi-20220708-145317.jpg</t>
  </si>
  <si>
    <t>Sapi keleponan segar</t>
  </si>
  <si>
    <t>https://asset.kompas.com/crops/T3UEAUZcyLPz2Kf7uAajNqm1DV0=/0x0:999x666/780x390/data/photo/2020/07/27/5f1e7ad5324dc.jpg</t>
  </si>
  <si>
    <t>Sapi liver segar</t>
  </si>
  <si>
    <t>https://images.tokopedia.net/img/cache/700/VqbcmM/2021/3/10/964e4fd5-7470-4799-a02f-1e8af6a83177.jpg</t>
  </si>
  <si>
    <t>Sapi otak segar</t>
  </si>
  <si>
    <t>Sapi paru dendeng mentah</t>
  </si>
  <si>
    <t>https://img-global.cpcdn.com/recipes/e709be83be77515c/680x482cq70/dendeng-paru-kering-foto-resep-utama.jpg</t>
  </si>
  <si>
    <t>Sapi paru goreng</t>
  </si>
  <si>
    <t>https://awsimages.detik.net.id/community/media/visual/2022/07/14/resep-paru-goreng-ketumbar_43.jpeg?w=1200</t>
  </si>
  <si>
    <t>Sapi usus segar</t>
  </si>
  <si>
    <t>https://images.tokopedia.net/img/cache/700/product-1/2020/6/14/8589094/8589094_bca7552d-86d6-4c95-899c-4915c124c74f_480_480.jpg</t>
  </si>
  <si>
    <t>Sarang Burung</t>
  </si>
  <si>
    <t>https://awsimages.detik.net.id/community/media/visual/2021/03/19/ini-alasan-mengapa-air-liur-burung-walet-bisa-seharga-mobil-baru-1_169.jpeg?w=700&amp;q=90</t>
  </si>
  <si>
    <t>Sardines dalam kaleng</t>
  </si>
  <si>
    <t>https://linisehat.com/wp-content/uploads/2020/11/sarden-kaleng2.jpg</t>
  </si>
  <si>
    <t>Sari Kedelai bubuk</t>
  </si>
  <si>
    <t>https://media.istockphoto.com/id/1164293425/id/foto/bubuk-susu-kedelai-dalam-piring-kayu-yang-ditempatkan-di-tumpukan-biji-kedelai.jpg?s=1024x1024&amp;w=is&amp;k=20&amp;c=n1B9DzPrJKQql3O3YBHY7LseqinI8NCWyqaY9h-AKwc=</t>
  </si>
  <si>
    <t>Sarimuka</t>
  </si>
  <si>
    <t>https://cdn.yummy.co.id/content-images/images/20200413/KrnfHZ9pmu6mOFKig8QN5LoC7ev3vhPG-31353836373531353434d41d8cd98f00b204e9800998ecf8427e.jpg?x-oss-process=image/format,webp</t>
  </si>
  <si>
    <t>Sate Bandeng</t>
  </si>
  <si>
    <t>https://asset.kompas.com/crops/4UfXhXtR7hK2atnUpqKRHGbhFuk=/3x0:700x465/750x500/data/photo/2021/02/16/602b2a91ca7f1.jpg</t>
  </si>
  <si>
    <t xml:space="preserve">Sate Kulit </t>
  </si>
  <si>
    <t>https://img.qraved.co/v2/image/data/over-1530587392136-x.png</t>
  </si>
  <si>
    <t>Sate penyu masakan</t>
  </si>
  <si>
    <t>https://booking-bali-villas.com/bali/wp-content/uploads/2014/10/Sate-Penyu-e1412911561808.jpg</t>
  </si>
  <si>
    <t>Sate pusut masakan</t>
  </si>
  <si>
    <t>https://cdn0-production-images-kly.akamaized.net/-ZH0E7VH_7Y_VdtKDmgokQ4DAAs=/0x0:5184x2922/1200x675/filters:quality(75):strip_icc():format(webp)/kly-media-production/medias/3652549/original/060993000_1638588819-shutterstock_1729690198.jpg</t>
  </si>
  <si>
    <t xml:space="preserve">Sate Usus </t>
  </si>
  <si>
    <t>https://assets.pikiran-rakyat.com/crop/0x0:0x0/x/photo/2022/03/17/92418359.jpeg</t>
  </si>
  <si>
    <t>Sawi</t>
  </si>
  <si>
    <t>https://i0.wp.com/resepkoki.id/wp-content/uploads/2018/02/sawi-hijau.jpg?fit=700%2C465&amp;ssl=1</t>
  </si>
  <si>
    <t>Sawi putih / pecai segar</t>
  </si>
  <si>
    <t>https://res.cloudinary.com/dk0z4ums3/image/upload/v1562321062/attached_image/simak-manfaat-sawi-putih-dan-cara-mengolahnya.jpg</t>
  </si>
  <si>
    <t>Sawi taiwan segar</t>
  </si>
  <si>
    <t>https://bosmayur.com/wp-content/uploads/2020/10/SAWI-HIJAU-TAIWAN.jpg</t>
  </si>
  <si>
    <t>Sawi tanah segar</t>
  </si>
  <si>
    <t>https://distan.sukabumikota.go.id/wp-content/uploads/2016/01/IMG_20130731_171016-e1452758317382.jpg</t>
  </si>
  <si>
    <t>Sawo</t>
  </si>
  <si>
    <t>https://asset-a.grid.id/crop/0x0:0x0/700x465/photo/2022/02/18/manfaat-makan-buah-sawojpg-20220218054230.jpg</t>
  </si>
  <si>
    <t>Sawo duren segar</t>
  </si>
  <si>
    <t>https://cdn-2.tstatic.net/kaltim/foto/bank/images/buah-sawo-duren.jpg</t>
  </si>
  <si>
    <t>Sawo kecik segar</t>
  </si>
  <si>
    <t>https://cdn-2.tstatic.net/kaltim/foto/bank/images/sawo-kecik.jpg</t>
  </si>
  <si>
    <t>Sawo Manila segar</t>
  </si>
  <si>
    <t>https://www.kampustani.com/wp-content/uploads/2021/07/budidaya-sawo-manila.jpg</t>
  </si>
  <si>
    <t>Sayur asem</t>
  </si>
  <si>
    <t>https://kbu-cdn.com/dk/wp-content/uploads/sayur-asem-betawi.jpg</t>
  </si>
  <si>
    <t>Sayur bunga pepaya</t>
  </si>
  <si>
    <t>https://img.okezone.com/content/2016/08/11/298/1461224/resep-tumis-bunga-pepaya-anti-pahit-FVC55ioetB.jpg</t>
  </si>
  <si>
    <t>Sayur garu</t>
  </si>
  <si>
    <t>https://image.akurat.co/images/uploads/images/akurat_20181220020604_MYQ3rr.jpg</t>
  </si>
  <si>
    <t>Sayur kohu-kohu</t>
  </si>
  <si>
    <t>https://cdn2.tstatic.net/tribunnewswiki/foto/bank/images/Kohu-Kohu-1.jpg</t>
  </si>
  <si>
    <t>Sayur lebui</t>
  </si>
  <si>
    <t>https://asset-a.grid.id/crop/0x0:0x0/x/photo/2021/02/25/sayur-lebuijpg-20210225095814.jpg</t>
  </si>
  <si>
    <t>Sayur lilin-terubuk</t>
  </si>
  <si>
    <t>https://img-global.cpcdn.com/recipes/a038616fb592cfd1/680x482cq70/sayur-lilinterubuk-santan-foto-resep-utama.jpg</t>
  </si>
  <si>
    <t>Sayur ndusuk</t>
  </si>
  <si>
    <t>https://assets.ayobandung.com/crop/0x0:0x0/750x500/webp/photo/2023/03/28/ndusuk-975786137.jpg</t>
  </si>
  <si>
    <t>Sayur sop</t>
  </si>
  <si>
    <t>https://www.astronauts.id/blog/wp-content/uploads/2022/07/Resep-Sayur-Sop-Bening-Enak-dan-Gurih-Cocok-Saat-Tubuh-Kurang-Fit-1024x683.jpg</t>
  </si>
  <si>
    <t>Sayur umbut kelapa</t>
  </si>
  <si>
    <t>https://cdn0-production-images-kly.akamaized.net/H6v-Vuj_s2NuBQ1JVdAtUOraaOI=/0x0:998x562/469x260/filters:quality(75):strip_icc():format(webp)/kly-media-production/medias/3603077/original/021559400_1634270571-shutterstock_2045298773.jpg</t>
  </si>
  <si>
    <t>Sayur umbut rotan</t>
  </si>
  <si>
    <t>https://img-global.cpcdn.com/recipes/02702f896cf4ff96/680x482cq70/umbut-rotan-foto-resep-utama.jpg</t>
  </si>
  <si>
    <t>Selada</t>
  </si>
  <si>
    <t>https://www.batamfresh.com/wp-content/uploads/2015/12/Selada-Keriting.jpg</t>
  </si>
  <si>
    <t>Selada Air</t>
  </si>
  <si>
    <t>https://cdn0-production-images-kly.akamaized.net/B_tax3ztCLedJZHexDnJ4iL3jjE=/1x66:1000x629/1200x675/filters:quality(75):strip_icc():format(webp)/kly-media-production/medias/3467088/original/065324800_1622175744-shutterstock_1891465237.jpg</t>
  </si>
  <si>
    <t>Selada Air rebus</t>
  </si>
  <si>
    <t>https://cdn.yummy.co.id/content-images/images/20210709/49DvTl27doQU4KTcGvMeptYfrUCVyrTW-31363235383338343334d41d8cd98f00b204e9800998ecf8427e.jpg?x-oss-process=image/format,webp</t>
  </si>
  <si>
    <t>Seledri</t>
  </si>
  <si>
    <t>https://images.bisnis.com/posts/2021/11/08/1463244/seledri.jpg</t>
  </si>
  <si>
    <t>Semangka</t>
  </si>
  <si>
    <t>https://cdn.timesmedia.co.id/images/2018/10/03/Semangka-Merah.jpg</t>
  </si>
  <si>
    <t xml:space="preserve">Semur Jengkol </t>
  </si>
  <si>
    <t>https://assets.pikiran-rakyat.com/crop/0x135:1080x1215/x/photo/2020/11/25/1187166638.jpg</t>
  </si>
  <si>
    <t>Sente</t>
  </si>
  <si>
    <t>https://1.bp.blogspot.com/-IS-d4Bkv3xk/XVlKMrBMdgI/AAAAAAAAHJg/KjUu1TZsi_cV66oChd1oVYlKEvm-K-vvQCLcBGAs/s1600/20190802_164326.jpg</t>
  </si>
  <si>
    <t>Sente talas segar</t>
  </si>
  <si>
    <t>https://assets.pikiran-rakyat.com/crop/0x0:0x0/750x500/photo/2022/03/26/2627914496.png</t>
  </si>
  <si>
    <t>Sepi masakan</t>
  </si>
  <si>
    <t>https://img-global.cpcdn.com/recipes/5816c55413474302/1200x630cq70/photo.jpg</t>
  </si>
  <si>
    <t>Serbuk Coklat</t>
  </si>
  <si>
    <t>Serimping talas kebumen</t>
  </si>
  <si>
    <t>https://cf.shopee.co.id/file/1a5298e33a33b350a144b846d16c2be3</t>
  </si>
  <si>
    <t>Setrup sirup</t>
  </si>
  <si>
    <t>https://awsimages.detik.net.id/community/media/visual/2021/05/10/resep-sirup-cocopandan-1.jpeg?w=720</t>
  </si>
  <si>
    <t>Shabu-shabu</t>
  </si>
  <si>
    <t>Sie reuboh masakan</t>
  </si>
  <si>
    <t>https://cdn0-production-images-kly.akamaized.net/9A6K5z9xgb8RkvkFIp5RFFE5b_o=/0x185:4800x2890/469x260/filters:quality(75):strip_icc():format(webp)/kly-media-production/medias/3911399/original/008984200_1642826892-shutterstock_2081704363.jpg</t>
  </si>
  <si>
    <t>Singkah (rotan muda)</t>
  </si>
  <si>
    <t>https://cdn.yummy.co.id/content-images/images/20210218/Nx9961dOuX853cCpRzqB4Vx1QrnG3P8A-31363133363139383438d41d8cd98f00b204e9800998ecf8427e.jpg?x-oss-process=image/resize,w_600,h_600,m_fixed,image/format,webp</t>
  </si>
  <si>
    <t xml:space="preserve">Singkong Goreng </t>
  </si>
  <si>
    <t>https://sweetrip.id/wp-content/uploads/2022/04/singkong.jpeg</t>
  </si>
  <si>
    <t>Singkong kukus</t>
  </si>
  <si>
    <t>https://asset.kompas.com/crops/5kSIoZRz5urTHMM1PdoIQ64E0zU=/0x0:996x664/750x500/data/photo/2021/08/21/61208628cd52c.jpg</t>
  </si>
  <si>
    <t>Singkong tape</t>
  </si>
  <si>
    <t>https://image-cdn.medkomtek.com/KWOw6uO2QBAVuCumxbrxIkbIIek=/1200x675/smart/klikdokter-media-buckets/medias/2321509/original/051458700_1606124573-Awas-Kebanyakan-Makan-Tape-Singkong-Bikin-Keputihan-shutterstock_1790685980.jpg</t>
  </si>
  <si>
    <t xml:space="preserve">Siomay </t>
  </si>
  <si>
    <t>https://awsimages.detik.net.id/community/media/visual/2021/11/17/resep-siomay-ayan-jamur_43.jpeg?w=1200</t>
  </si>
  <si>
    <t>Sirsak</t>
  </si>
  <si>
    <t>https://assets.pikiran-rakyat.com/crop/0x0:0x0/x/photo/2021/09/20/3327403627.jpeg</t>
  </si>
  <si>
    <t>Sirup</t>
  </si>
  <si>
    <t>https://ik.trn.asia/uploads/2023/03/1679317359376.jpeg</t>
  </si>
  <si>
    <t>Sop buntut masakan</t>
  </si>
  <si>
    <t>https://img-global.cpcdn.com/recipes/91727f982ad54daa/1200x630cq70/photo.jpg</t>
  </si>
  <si>
    <t>Sop daging sapi masakan</t>
  </si>
  <si>
    <t>https://img.okezone.com/content/2020/02/27/298/2175054/resep-sayur-sop-daging-masakan-rumahan-paling-populer-24WHr0ACJo.jpg</t>
  </si>
  <si>
    <t>Sop kaki sapi masakan</t>
  </si>
  <si>
    <t>https://www.ruparupa.com/blog/wp-content/uploads/2021/06/Screen-Shot-2021-06-21-at-14.11.27.png</t>
  </si>
  <si>
    <t>Sop kambing masakan</t>
  </si>
  <si>
    <t>https://asset.kompas.com/crops/4BopB2so0iCh5Dj_6QkB41md3B0=/3x0:700x465/750x500/data/photo/2021/01/15/6000de7b45e69.jpg</t>
  </si>
  <si>
    <t>Sop konro masakan</t>
  </si>
  <si>
    <t>https://asset.kompas.com/crops/t9vL2Z6ZAjt7cnpl05cuYOfd2k4=/129x72:651x420/750x500/data/photo/2020/07/30/5f22636a0e7e0.jpg</t>
  </si>
  <si>
    <t>Sop Kool</t>
  </si>
  <si>
    <t>https://gallery-jateng.poskota.co.id/storage/Foto/2020/1608103380_1-org.png</t>
  </si>
  <si>
    <t>Sop Kool dan Wortel</t>
  </si>
  <si>
    <t>https://img-global.cpcdn.com/recipes/8adcb73d8f012620/680x482cq70/sop-kol-simple-foto-resep-utama.jpg</t>
  </si>
  <si>
    <t>Sop saudara masakan</t>
  </si>
  <si>
    <t>https://resepkoki.id/wp-content/uploads/2018/03/Resep-Sop-Sodara.jpg</t>
  </si>
  <si>
    <t>Soto bandung masakan</t>
  </si>
  <si>
    <t>https://asset.kompas.com/crops/aq7SWhGNCO6UTombdviZuAchnCM=/3x0:700x465/750x500/data/photo/2021/04/21/607ff824cb839.jpg</t>
  </si>
  <si>
    <t>Soto banjar masakan</t>
  </si>
  <si>
    <t>https://www.masakapahariini.com/wp-content/uploads/2019/06/5.jpg</t>
  </si>
  <si>
    <t>Soto betawi masakan</t>
  </si>
  <si>
    <t>https://www.unileverfoodsolutions.co.id/dam/global-ufs/mcos/SEA/calcmenu/recipes/ID-recipes/soups/soto-betawi/main-header.jpg</t>
  </si>
  <si>
    <t>Soto dengan Daging</t>
  </si>
  <si>
    <t>https://img.kurio.network/mjtADdO0Q-nnAohGaTqVBvp8rMc=/1200x1200/filters:quality(80)/https://kurio-img.kurioapps.com/21/03/01/0bfa7a3d-28f6-440f-907b-def23ccb96d9.jpe</t>
  </si>
  <si>
    <t>Soto jeroan masakan</t>
  </si>
  <si>
    <t>https://awsimages.detik.net.id/community/media/visual/2022/03/15/resep-soto-jeroan-sapi_43.jpeg?w=1200</t>
  </si>
  <si>
    <t>Soto kudus masakan</t>
  </si>
  <si>
    <t>https://www.masakapahariini.com/wp-content/uploads/2020/02/soto-kudus-7.jpg</t>
  </si>
  <si>
    <t>Soto madura masakan</t>
  </si>
  <si>
    <t>https://cdn.yummy.co.id/content-images/images/20210311/FyZCyT9dfZQGp9zNZhL2iuoQn9pA7hpK-31363135343538363836d41d8cd98f00b204e9800998ecf8427e.jpg?x-oss-process=image/format,webp</t>
  </si>
  <si>
    <t>Soto padang masakan</t>
  </si>
  <si>
    <t>https://topwisata.info/wp-content/uploads/2020/11/resep2Bsoto2Bpadang2B252812529.jpg</t>
  </si>
  <si>
    <t>Soto pekalongan masakan</t>
  </si>
  <si>
    <t>https://www.topwisata.info/wp-content/uploads/2021/12/Soto-Tauto-Pekalongan-1.jpg</t>
  </si>
  <si>
    <t>Soto pemalang masakan</t>
  </si>
  <si>
    <t>https://i0.wp.com/bogor-today.com/wp-content/uploads/2022/09/87456.jpg</t>
  </si>
  <si>
    <t>Soto sukaraja masakan</t>
  </si>
  <si>
    <t>https://www.piknikdong.com/wp-content/uploads/2021/04/Resep-Soto-Sokaraja.jpg</t>
  </si>
  <si>
    <t>Soto sulung masakan</t>
  </si>
  <si>
    <t>https://www.primarasa.co.id/images/images/Soto%20sulung%20artikel%281%29.jpg</t>
  </si>
  <si>
    <t xml:space="preserve">Soto tanpa Daging </t>
  </si>
  <si>
    <t>https://resepkoki.id/wp-content/uploads/2019/11/Soto-Ayam-Bening.jpg</t>
  </si>
  <si>
    <t>Spaghetti</t>
  </si>
  <si>
    <t>https://images.immediate.co.uk/production/volatile/sites/30/2022/09/Spicy-tomato-spaghetti-caf3053.jpg</t>
  </si>
  <si>
    <t>Srikaya</t>
  </si>
  <si>
    <t>https://images.tokopedia.net/blog-tokopedia-com/uploads/2021/02/Manfaat-Buah-Srikaya-untuk-Kesehatan.jpg</t>
  </si>
  <si>
    <t>Sukiyaki masakan</t>
  </si>
  <si>
    <t>https://www.masakapahariini.com/wp-content/uploads/2022/05/sukiyaki-praktis.jpg</t>
  </si>
  <si>
    <t>Sukun muda segar</t>
  </si>
  <si>
    <t>https://blog.titipku.com/wp-content/uploads/2019/08/27891195_273863213147902_7929265216242581504_n-300x300.jpg</t>
  </si>
  <si>
    <t>Sukun tua segar</t>
  </si>
  <si>
    <t>https://cf.shopee.co.id/file/f43b5d5a9dd930d9954b304579ed3865</t>
  </si>
  <si>
    <t>Susu asam untuk bayi bubuk</t>
  </si>
  <si>
    <t>https://blue.kumparan.com/image/upload/fl_progressive,fl_lossy,c_fill,q_auto:best,w_640/v1535275935/ctbvshsk4dqp293ivbec.jpg</t>
  </si>
  <si>
    <t>Susu bubuk</t>
  </si>
  <si>
    <t>https://asset.kompas.com/crops/JH48SvD1Mh2-p1G2lmViLdqVQ3c=/0x0:997x665/750x500/data/photo/2022/07/13/62ce704885550.jpg</t>
  </si>
  <si>
    <t>Susu Kambing</t>
  </si>
  <si>
    <t>https://cdn.hellosehat.com/2019/04/0301a50d-shutterstock_1082562986-e1616553170498.jpg?w=828&amp;q=75</t>
  </si>
  <si>
    <t>Susu Kedelai</t>
  </si>
  <si>
    <t>https://www.astronauts.id/blog/wp-content/uploads/2022/11/Ini-Keunggulan-Susu-Kedelai-Dibanding-Susu-Sapi-yang-Tidak-Banyak-Orang-Tahu-1200x900.jpg</t>
  </si>
  <si>
    <t>Susu Kental Manis</t>
  </si>
  <si>
    <t>https://asset.kompas.com/crops/C220cRbRPu0EoI8SMHWr0HeFGuU=/0x0:750x500/750x500/data/photo/2022/06/03/6299dc0edf868.jpg</t>
  </si>
  <si>
    <t>Susu Kental Tak Manis</t>
  </si>
  <si>
    <t>https://res.cloudinary.com/dk0z4ums3/image/upload/v1627294463/attached_image/menakar-jumlah-kalori-kental-manis.jpg</t>
  </si>
  <si>
    <t>Susu Kerbau</t>
  </si>
  <si>
    <t>https://img.okezone.com/content/2018/06/01/481/1905351/tak-kalah-dari-sapi-minum-susu-kerbau-bisa-turunkan-kolesterol-jahat-xdwHF7iYmc.jpeg</t>
  </si>
  <si>
    <t>Susu Sapi</t>
  </si>
  <si>
    <t>https://awsimages.detik.net.id/community/media/visual/2022/01/16/ciri-ciri-susu-sapi-segar-sudah-basi-1.jpeg?w=1200</t>
  </si>
  <si>
    <t>Susu Skim (tak berlemak)</t>
  </si>
  <si>
    <t>https://www.frieslandcampinainstitute.com/uploads/sites/23/2023/01/Bottle-and-glass-of-milk-1540x1540-1.jpg</t>
  </si>
  <si>
    <t>Susu skim bubuk</t>
  </si>
  <si>
    <t>https://nilaigizi.com/assets/images/produk/produk_1535867844.jpg</t>
  </si>
  <si>
    <t>Susu skim segar</t>
  </si>
  <si>
    <t>https://ceklist.id/wp-content/uploads/2023/02/Merk-Susu-Skim.jpg</t>
  </si>
  <si>
    <t>Susupan</t>
  </si>
  <si>
    <t>https://asset-a.grid.id/crop/0x0:0x0/700x465/photo/2021/08/09/plant-leaf-flower-green-botany-f-20210809091749.jpg</t>
  </si>
  <si>
    <t>Suweg kukus</t>
  </si>
  <si>
    <t>https://assets.kompasiana.com/items/album/2020/06/07/img-20200607-072648-5edcc27dd541df08575a4ac2.jpg</t>
  </si>
  <si>
    <t>Suweg mentah</t>
  </si>
  <si>
    <t>https://cdn.idntimes.com/content-images/post/20210303/jimikanda1-75d34d7a3b793cc5fa6a26da69daca26_600x400.png</t>
  </si>
  <si>
    <t>Suweg talas segar</t>
  </si>
  <si>
    <t>https://www.greeners.co/wp-content/uploads/2015/11/Flora_Suweg_Berbau_Namun_Tinggi_Serat.jpg</t>
  </si>
  <si>
    <t>Suwir-suwir</t>
  </si>
  <si>
    <t>https://inagi.co.id/wp-content/uploads/2023/03/Ayam-Suwir-Pedas-Awet.jpg</t>
  </si>
  <si>
    <t>Tahu</t>
  </si>
  <si>
    <t>https://asset.kompas.com/crops/uYkv1kqUtpcan5FRV1iCLgCWf40=/0x0:1000x667/750x500/data/photo/2021/07/19/60f51d62438f6.jpg</t>
  </si>
  <si>
    <t>Tahu goreng</t>
  </si>
  <si>
    <t>https://img-global.cpcdn.com/recipes/33285f91f3b22e50/1200x630cq70/photo.jpg</t>
  </si>
  <si>
    <t>Tahu telur</t>
  </si>
  <si>
    <t>https://resepkoki.id/wp-content/uploads/2021/09/Resep-Tahu-Telur.jpg</t>
  </si>
  <si>
    <t>Takwa</t>
  </si>
  <si>
    <t>https://cdn.idntimes.com/content-images/community/2020/10/118291206-1002092246870647-2962160802061132133-n-1-5c6484eccc2b0af148d9d1c7e92d2417.jpg</t>
  </si>
  <si>
    <t>Talas bogor kukus</t>
  </si>
  <si>
    <t>https://img-global.cpcdn.com/recipes/efaf364743906d68/680x482cq70/urab-talas-bogor-kukus-foto-resep-utama.jpg</t>
  </si>
  <si>
    <t>Talas pontianak segar</t>
  </si>
  <si>
    <t>https://idnmedis.com/wp-content/uploads/2020/05/talas-pontianak.jpg</t>
  </si>
  <si>
    <t>Talas viqueque segar</t>
  </si>
  <si>
    <t>https://filebroker-cdn.lazada.co.id/kf/S36df2a3bd2044060b1b78bd604a0d0343.jpg</t>
  </si>
  <si>
    <t>Tales kukus</t>
  </si>
  <si>
    <t>https://img-global.cpcdn.com/recipes/4d7f0cb55d14e0f7/1200x630cq70/photo.jpg</t>
  </si>
  <si>
    <t>Tales mentah</t>
  </si>
  <si>
    <t>https://asset.kompas.com/crops/vYFaxgHARhcHnYdEFwCFjqrKG-I=/0x7:640x434/780x390/data/photo/2020/12/21/5fe0650372553.jpeg</t>
  </si>
  <si>
    <t>Taoco</t>
  </si>
  <si>
    <t>https://asset-a.grid.id/crop/0x0:0x0/780x800/photo/bobofoto/original/4090_bumbu-taoco-hasil-fermentasi-kedelai-foto-resepkokiid.jpg</t>
  </si>
  <si>
    <t>Taoge goreng</t>
  </si>
  <si>
    <t>https://img.kurio.network/bmizo0RfhrurmaxfSXqouGMMD2s=/1200x900/filters:quality(80)/https://kurio-img.kurioapps.com/21/03/26/55ee220c-cf46-492e-8d45-58bc5fd972b2.jpe</t>
  </si>
  <si>
    <t>Taoge kacang kedelai segar</t>
  </si>
  <si>
    <t>https://images.tokopedia.net/img/cache/500-square/VqbcmM/2021/10/9/b10822c1-c409-49e0-af47-21f97ea066ce.jpg</t>
  </si>
  <si>
    <t>Taoge seduh</t>
  </si>
  <si>
    <t>https://cdn0-production-images-kly.akamaized.net/-77hgKOWZanv0lvl_cqqeAG1VZo=/303x0:1636x1333/1200x1200/filters:quality(75):strip_icc():format(webp)/kly-media-production/medias/3330261/original/062050000_1608607406-tumisan.jpg</t>
  </si>
  <si>
    <t>Taoge segar</t>
  </si>
  <si>
    <t>https://res.cloudinary.com/dk0z4ums3/image/upload/v1630045137/attached_image/di-balik-manfaat-toge-kenali-bahaya-dan-cara-mengonsumsinya.jpg</t>
  </si>
  <si>
    <t>Taokoa</t>
  </si>
  <si>
    <t>https://d1sag4ddilekf6.cloudfront.net/compressed_webp/items/IDITE2021111912351603278/detail/menueditor_item_e1237876ae9e45b29d3acb67ec0e20c1_1637325144124368426.webp</t>
  </si>
  <si>
    <t>Tapai beras</t>
  </si>
  <si>
    <t>https://assets-a1.kompasiana.com/items/album/2018/12/14/gambut-2-5c13825843322f55871e7493.jpg?t=o&amp;v=780</t>
  </si>
  <si>
    <t>Tapai ketan hitam</t>
  </si>
  <si>
    <t>https://d1vbn70lmn1nqe.cloudfront.net/prod/wp-content/uploads/2022/11/14105431/Adakah-Manfaat-Tape-Ketan-Hitam-bagi-Kesehatan-Ini-Faktanya.jpg</t>
  </si>
  <si>
    <t>Tapai ketan putih</t>
  </si>
  <si>
    <t>https://assets.pikiran-rakyat.com/crop/0x0:0x0/x/photo/2022/05/16/275251457.jpg</t>
  </si>
  <si>
    <t>Tapai singkong</t>
  </si>
  <si>
    <t>https://res.cloudinary.com/dk0z4ums3/image/upload/v1674095060/attached_image/7-manfaat-tape-singkong-untuk-kesehatan-yang-perlu-diketahui.jpg</t>
  </si>
  <si>
    <t>Tauco cap DAS cake</t>
  </si>
  <si>
    <t>https://images.tokopedia.net/img/cache/700/VqbcmM/2021/8/9/d62d5182-bae6-4679-a274-61c273ed1d2e.jpg</t>
  </si>
  <si>
    <t>Tauji cap singa</t>
  </si>
  <si>
    <t>https://encrypted-tbn0.gstatic.com/images?q=tbn:ANd9GcTz6GB9p8gcMwSb6D2DeobvcftuMyU0dTpJvSF_3e-Cem05oOv-h9InQB9WZUHEz50fWSo&amp;usqp=CAU</t>
  </si>
  <si>
    <t>Tebu Terubuk</t>
  </si>
  <si>
    <t>https://www.mongabay.co.id/wp-content/uploads/2022/03/Sayur-lilin1-768x512.jpg</t>
  </si>
  <si>
    <t>Tedong pallu basa masakan</t>
  </si>
  <si>
    <t>https://asset.kompas.com/crops/umv3qaizqafuWSMx2OBnveCqTE4=/0x0:1000x667/750x500/data/photo/2021/03/06/6043b395197ed.jpg</t>
  </si>
  <si>
    <t>Teh</t>
  </si>
  <si>
    <t>https://cdn1-production-images-kly.akamaized.net/0mr7Bl0tJoy6whDPHW46kSVfb_k=/973x0:4142x3169/1200x1200/filters:quality(75):strip_icc():format(jpeg)/kly-media-production/medias/2981642/original/004479000_1575020680-peppermint-tea-on-teacup-1417945.jpg</t>
  </si>
  <si>
    <t>Teh hijau daun kering</t>
  </si>
  <si>
    <t>https://nilaigizi.com/assets/images/produk/produk_1535874581.jpg</t>
  </si>
  <si>
    <t>Teh melati daun kering</t>
  </si>
  <si>
    <t>https://asset-a.grid.id/crop/0x0:0x0/700x465/photo/grid/original/63018_teh-melati.jpg</t>
  </si>
  <si>
    <t>Tekokak</t>
  </si>
  <si>
    <t>https://redaksi.inibaru.id/nuploads/4/takokak2.jpg</t>
  </si>
  <si>
    <t>Tekokak kering</t>
  </si>
  <si>
    <t>https://m.andrafarm.com/_andra_farm/gambar_kelompok/a158.jpg</t>
  </si>
  <si>
    <t>Tekwan</t>
  </si>
  <si>
    <t>https://cdn0-production-images-kly.akamaized.net/j6uieBQwJPfQO1YqUyADA34MfBA=/0x355:667x731/1200x675/filters:quality(75):strip_icc():format(webp)/kly-media-production/medias/3402174/original/073058800_1615863502-shutterstock_1597851637.jpg</t>
  </si>
  <si>
    <t>Telur Ayam</t>
  </si>
  <si>
    <t>https://asset.kompas.com/crops/WYVtX9H9wYlXZDwLmMqHiw2ZJc4=/0x7:740x500/750x500/data/photo/2020/11/13/5fae4aae98da3.jpg</t>
  </si>
  <si>
    <t>Telur Ayam bagian kuning</t>
  </si>
  <si>
    <t>https://assets.hops.id/crop/0x0:0x0/750x500/webp/photo/hops/2020/08/different-egg-yolk-colors.jpg</t>
  </si>
  <si>
    <t>Telur Ayam bagian putih</t>
  </si>
  <si>
    <t>https://res.cloudinary.com/dk0z4ums3/image/upload/v1539314113/attached_image/beragam-khasiat-putih-telur-yang-bisa-didapatkan-tubuh.jpg</t>
  </si>
  <si>
    <t>Telur Ayam ceplok</t>
  </si>
  <si>
    <t>https://asset.kompas.com/crops/iCoT-Kr0xhu1V1MGOEhihIfgbYk=/0x0:498x332/750x500/data/photo/2020/02/07/5e3d3ae57251e.jpg</t>
  </si>
  <si>
    <t>Telur Ayam dadar</t>
  </si>
  <si>
    <t>https://awsimages.detik.net.id/community/media/visual/2022/05/07/resep-telur-dadar-ayam_43.jpeg?w=700&amp;q=90</t>
  </si>
  <si>
    <t xml:space="preserve">Telur ayam kampung </t>
  </si>
  <si>
    <t>https://asset.kompas.com/crops/2pq3Gh9tB33koJG0i3C9Bd65utQ=/0x0:1000x667/750x500/data/photo/2020/07/11/5f0970bc01fd5.jpg</t>
  </si>
  <si>
    <t>Telur bebek bagian kuning segar</t>
  </si>
  <si>
    <t>https://asset-a.grid.id/crop/0x0:0x0/700x465/photo/2020/09/24/2217151674.jpg</t>
  </si>
  <si>
    <t>Telur Bebek bagian putih</t>
  </si>
  <si>
    <t>https://m.ftscrt.com/food/d6ddfb94-7dad-4739-a886-7aa119947f16_lg_sq.jpg</t>
  </si>
  <si>
    <t>Telur bebek bagian putih segar</t>
  </si>
  <si>
    <t>https://images.genpi.co/uploads/data/images/2021/landy%20cantik/telur%20bebek%20freepik.jpg</t>
  </si>
  <si>
    <t>Telur Bebek ceplok</t>
  </si>
  <si>
    <t>https://statik.tempo.co/data/2020/06/02/id_942491/942491_720.jpg</t>
  </si>
  <si>
    <t>Telur Bebek dadar</t>
  </si>
  <si>
    <t>https://cdn0-production-images-kly.akamaized.net/1WivGEoDIspEllYaxZHrpqkjEYQ=/1200x675/smart/filters:quality(75):strip_icc():format(webp)/kly-media-production/medias/2468104/original/014966900_1543254943-resep-dadar-telur-bebek-sayur-enak-dan-tidak-amis.jpg</t>
  </si>
  <si>
    <t>Telur bebek tambak segar</t>
  </si>
  <si>
    <t>https://www.jagel.id/api/listimage/v/Telur-Bebek-Tambak-0-9195c7316763f2dc.jpg</t>
  </si>
  <si>
    <t>Telur Bebek telur asin</t>
  </si>
  <si>
    <t>Telur burung puyuh segar</t>
  </si>
  <si>
    <t>https://img.celebrities.id/okz/700/5Mzp26/master_j6A38lc90K_1541_telur_burung_puyuh.jpg</t>
  </si>
  <si>
    <t>Telur Penyu</t>
  </si>
  <si>
    <t>https://awsimages.detik.net.id/community/media/visual/2020/07/02/telur-penyu-4.jpeg?w=700&amp;q=90</t>
  </si>
  <si>
    <t>Telur Terubuk</t>
  </si>
  <si>
    <t>https://lovepeaceveggiefood.files.wordpress.com/2020/09/screenshot_2020-09-18-19-57-07-39.jpg</t>
  </si>
  <si>
    <t>Tempe bongkrek</t>
  </si>
  <si>
    <t>https://cdns.klimg.com/merdeka.com/i/w/news/2021/07/17/1330783/540x270/mengenal-bongkrek-tempe-khas-banyumas-yang-picu-keracunan-massal-di-zaman-belanda.jpg</t>
  </si>
  <si>
    <t>Tempe Gembus</t>
  </si>
  <si>
    <t>https://upload.wikimedia.org/wikipedia/commons/1/1e/Tempe_gembus_160130-0345B_rwk.JPG</t>
  </si>
  <si>
    <t>Tempe gembus yogya</t>
  </si>
  <si>
    <t>https://4.bp.blogspot.com/-tqStQqYUK1Q/Vh9Foo8mRLI/AAAAAAAABx8/FUfvHGudfcM/s1600/Resep%2BTempe%2BGembus%2BBacem%2BKhas%2BJogja.JPG</t>
  </si>
  <si>
    <t xml:space="preserve">Tempe Goreng </t>
  </si>
  <si>
    <t>https://asset.kompas.com/crops/tnGS6LHPv4vxzDYTS-JJdLXBrjo=/0x41:1000x708/1200x800/data/photo/2020/04/01/5e841eccea33c.jpg</t>
  </si>
  <si>
    <t>Tempe kacang babi</t>
  </si>
  <si>
    <t>https://img-global.cpcdn.com/recipes/62342621c06b498b/680x482cq70/kering-tempe-kacang-foto-resep-utama.jpg</t>
  </si>
  <si>
    <t>Tempe kacang belimbing</t>
  </si>
  <si>
    <t>https://img.mbizmarket.co.id/products/thumbs/800x800/2020/12/03/c8d8e10380091aadfd2bbb85c05ad2a3.jpg</t>
  </si>
  <si>
    <t>Tempe kedelai + jagung</t>
  </si>
  <si>
    <t>https://assets-a1.kompasiana.com/items/album/2020/11/18/u2-jpg-5fb531c43a700371b34a9672.jpg</t>
  </si>
  <si>
    <t>Tempe kedelai murni goreng</t>
  </si>
  <si>
    <t>https://media.hitekno.com/thumbs/2020/02/24/21141-ilustrasi-tempe-goreng-shutterstock/730x480-img-21141-ilustrasi-tempe-goreng-shutterstock.jpg</t>
  </si>
  <si>
    <t>Tempe kedelai murni mentah</t>
  </si>
  <si>
    <t>https://asset-a.grid.id/crop/0x0:0x0/x/photo/2021/05/21/1308867495jpg-20210521022319.jpg</t>
  </si>
  <si>
    <t>Tempe koro benguk</t>
  </si>
  <si>
    <t>https://cdn-2.tstatic.net/makassar/foto/bank/images/hasil-olahan-tempe-koro-benguk-1-142022.jpg</t>
  </si>
  <si>
    <t>Tempe lamtoro var. gung dengan kulit</t>
  </si>
  <si>
    <t>https://marymemasak.files.wordpress.com/2017/10/wp-image-1458463552.jpg</t>
  </si>
  <si>
    <t>Tempe lamtoro var. gung tanpa kulit</t>
  </si>
  <si>
    <t>Tempe pasar segar</t>
  </si>
  <si>
    <t>https://asset-a.grid.id/crop/0x0:0x0/360x240/photo/2020/02/06/4267088481.jpg</t>
  </si>
  <si>
    <t>Tempe pasar goreng</t>
  </si>
  <si>
    <t>https://cdn.antaranews.com/cache/800x533/2021/01/23/tempe.jpg</t>
  </si>
  <si>
    <t xml:space="preserve">Tempe Sayur </t>
  </si>
  <si>
    <t>https://fibercreme.com/wp-content/uploads/2021/05/tempe-lombok-ijo-santan_.jpg</t>
  </si>
  <si>
    <t>Tempoya</t>
  </si>
  <si>
    <t>https://upload.wikimedia.org/wikipedia/commons/d/da/Tempoyak_Ikan_Patin_2.JPG</t>
  </si>
  <si>
    <t>Tempuyak</t>
  </si>
  <si>
    <t>https://down-id.img.susercontent.com/file/ae41014cc406b3192238f3c70b27ab96</t>
  </si>
  <si>
    <t>Tepung Arrowroot</t>
  </si>
  <si>
    <t>https://images.tokopedia.net/img/cache/700/product-1/2019/7/17/3324938/3324938_50c9762e-de6d-479f-8571-f624d64f47d4_1080_1080</t>
  </si>
  <si>
    <t>Tepung Beras</t>
  </si>
  <si>
    <t>https://assets-a1.kompasiana.com/items/album/2020/02/28/manfaat-tepung-beras-5e58bf75097f361834666d32.jpg</t>
  </si>
  <si>
    <t>Tepung beras mentah</t>
  </si>
  <si>
    <t>https://media.istockphoto.com/id/1304420353/id/foto/tepung-beras-dengan-pot-beras-mentah-di-samping-bahan-kuliner.jpg?s=612x612&amp;w=0&amp;k=20&amp;c=ervEzTPBVtgBqURvnvYGn8OXhVaAlNqCSYMZSPY1uVo=</t>
  </si>
  <si>
    <t>Tepung Ganyong</t>
  </si>
  <si>
    <t>https://images.tokopedia.net/img/cache/500-square/VqbcmM/2021/2/20/11ed2c3a-4cbf-46c9-a1f6-cfc419aae9b4.jpg</t>
  </si>
  <si>
    <t>Tepung Gaplek</t>
  </si>
  <si>
    <t>https://img.freepik.com/free-photo/top-view-white-flour-inside-plate-white-background-flour-dust-dough-bake-raw_140725-74825.jpg?w=1060&amp;t=st=1684235485~exp=1684236085~hmac=1d60bc879ed765bb275e9c93fe0d3b1490efdda75be5144d6517751fab70be00</t>
  </si>
  <si>
    <t>Tepung Garut (arrowroot)</t>
  </si>
  <si>
    <t>https://static.wixstatic.com/media/2e13b8_a03fa1e8610843ddb6a1532dade81046~mv2.jpg/v1/fill/w_980,h_551,al_c,q_85,usm_0.66_1.00_0.01/2e13b8_a03fa1e8610843ddb6a1532dade81046~mv2.jpg</t>
  </si>
  <si>
    <t>Tepung Hunkwee</t>
  </si>
  <si>
    <t>https://asset.kompas.com/crops/-PhMtDs3f739r-goggD3ULYWRqc=/0x0:1000x667/750x500/data/photo/2021/03/05/604233c7c6d87.jpg</t>
  </si>
  <si>
    <t>Tepung Ikan</t>
  </si>
  <si>
    <t>https://unair.ac.id/wp-content/uploads/2021/05/Ilustrasi-oleh-Solusiternak-ID.jpg</t>
  </si>
  <si>
    <t>Tepung Jagung Kuning</t>
  </si>
  <si>
    <t>Tepung jagung putih</t>
  </si>
  <si>
    <t>https://images.tokopedia.net/img/cache/500-square/product-1/2020/4/30/100792539/100792539_dc308d17-cad0-4f85-af2e-44b564a788e4_512_372.jpg</t>
  </si>
  <si>
    <t>Tepung Jalejo</t>
  </si>
  <si>
    <t>https://tabloidsinartani.com/uploads/news/images/inline/211206131405-209.jpg</t>
  </si>
  <si>
    <t>Tepung Kacang Kedelai</t>
  </si>
  <si>
    <t>https://www.melatiputrajaya.com/wp-content/uploads/2021/01/Tepung-Kedelai-sumber-SehatQ.jpg</t>
  </si>
  <si>
    <t>Tepung Kentang</t>
  </si>
  <si>
    <t>https://s1.bukalapak.com/bukalapak-kontenz-production/content_attachments/57746/original/kentang.jpg</t>
  </si>
  <si>
    <t>Tepung Mocaf</t>
  </si>
  <si>
    <t>https://akcdn.detik.net.id/visual/2021/09/13/ilustrasi-ini-ya-tepung-mocaf_169.jpeg?w=650</t>
  </si>
  <si>
    <t>Tepung Pisang</t>
  </si>
  <si>
    <t>https://ik.imagekit.io/10tn5i0v1n/article/ab3eb1d96440ad0ca0329136ecf5a4aa.jpeg</t>
  </si>
  <si>
    <t>Tepung Sagu</t>
  </si>
  <si>
    <t>https://asset.kompas.com/crops/FkVwSp5C8ixb-J9dHKbvSD9RjUw=/32x0:1000x645/750x500/data/photo/2022/03/14/622ee03456a21.jpg</t>
  </si>
  <si>
    <t>Tepung Sente</t>
  </si>
  <si>
    <t>https://foto.kontan.co.id/biGUfj1ASo_mL-YullfGPl08lxM=/smart/2021/05/21/2111715002p.jpg</t>
  </si>
  <si>
    <t>Tepung singkong/ Tapioka</t>
  </si>
  <si>
    <t>https://jakarta.akurat.co/storage/2023/05/tentang-tepung-tapioka.jpg</t>
  </si>
  <si>
    <t>Tepung Sukun</t>
  </si>
  <si>
    <t>https://www.static-src.com/wcsstore/Indraprastha/images/catalog/full//103/MTA-9417298/lingkar-organik_lingkar-organik_full01.jpg</t>
  </si>
  <si>
    <t>Tepung Susu</t>
  </si>
  <si>
    <t>https://sc04.alicdn.com/kf/HTB15ytoKXXXXXawXXXXq6xXFXXXq.jpg</t>
  </si>
  <si>
    <t>Tepung Susu Asam untuk bayi</t>
  </si>
  <si>
    <t>https://welovesupermom.com/id/blog/wp-content/uploads/2022/09/Rekomendasi-Merk-Susu-Formula-yang-Baik-untuk-Pencernaan-Bayi.png</t>
  </si>
  <si>
    <t>Tepung Susu Skim</t>
  </si>
  <si>
    <t>https://asset-a.grid.id/crop/0x0:0x0/x/photo/2020/03/31/1491871723.jpg</t>
  </si>
  <si>
    <t>Tepung Tales Beneng</t>
  </si>
  <si>
    <t>https://i0.wp.com/technology-indonesia.com/wp-content/uploads/2021/07/INFO-TEPUNG-TALAS.jpg?resize=700%2C544</t>
  </si>
  <si>
    <t>Tepung Terigu</t>
  </si>
  <si>
    <t>https://s3.bukalapak.com/attachment/344332/kandungan_tepung_terigu_image_1.jpg</t>
  </si>
  <si>
    <t>Tepung Ubi Ungu</t>
  </si>
  <si>
    <t>https://www.static-src.com/wcsstore/Indraprastha/images/catalog/full//88/MTA-24103752/no_brand_tepung_organik_tepung_ubi_ungu_100gr_bubur_bayi_sehat_organic_rice_flour_murah_full01_r3k7h2n1.jpg</t>
  </si>
  <si>
    <t>Terasi</t>
  </si>
  <si>
    <t>https://asset.kompas.com/crops/jBGO_GPXiL6zxMtzfNerNGedvMY=/24x0:714x460/750x500/data/photo/2020/03/20/5e74a8155e288.jpg</t>
  </si>
  <si>
    <t>Terasi dobo</t>
  </si>
  <si>
    <t>https://nilaigizi.com/assets/images/produk/produk_1537342126.jpg</t>
  </si>
  <si>
    <t>Terasi Merah</t>
  </si>
  <si>
    <t>https://asset.kompas.com/crops/kNzoeQXIRa-V9FFtm9ZWeL0o4js=/48x79:928x666/750x500/data/photo/2022/06/07/629ef2189a7d5.jpg</t>
  </si>
  <si>
    <t>Terasi merah</t>
  </si>
  <si>
    <t>https://nilaigizi.com/assets/images/produk/produk_1537342154.jpg</t>
  </si>
  <si>
    <t>Teri balado masakan</t>
  </si>
  <si>
    <t>https://t-2.tstatic.net/medan/foto/bank/images/Resep-Balado-Teri-Kacang.jpg</t>
  </si>
  <si>
    <t>Teripang dendeng mentah</t>
  </si>
  <si>
    <t>https://nilaigizi.com/assets/images/produk/produk_1535784851.jpg</t>
  </si>
  <si>
    <t>Terong</t>
  </si>
  <si>
    <t>https://d1vbn70lmn1nqe.cloudfront.net/prod/wp-content/uploads/2022/11/10051516/5-manfaat-terong-ungu-yang-baik-bagi-kesehatan-halodoc.jpg</t>
  </si>
  <si>
    <t>Terong + Oncom makanan</t>
  </si>
  <si>
    <t>https://asset-a.grid.id/crop/0x0:0x0/700x465/photo/2018/11/01/3283397597.jpg</t>
  </si>
  <si>
    <t>Terong Asam</t>
  </si>
  <si>
    <t>https://specialtyproduce.com/sppics/15816.png</t>
  </si>
  <si>
    <t>Terong Belanda</t>
  </si>
  <si>
    <t>https://assets.pikiran-rakyat.com/crop/0x0:0x0/x/photo/2020/01/24/2611363109.jpg</t>
  </si>
  <si>
    <t>Terong hintalo segar</t>
  </si>
  <si>
    <t>https://images.tokopedia.net/img/cache/700/VqbcmM/2021/8/24/99a5903e-cbea-4dca-83d1-a03f846b8a68.jpg</t>
  </si>
  <si>
    <t>Terong kukus</t>
  </si>
  <si>
    <t>https://1.bp.blogspot.com/-Geazm3gHNOw/WrJfbbzv9XI/AAAAAAAACe0/ivjlGyMEIuQKPKORmHkPF9SIluhx0Ad5ACLcBGAs/s1600/photo.jpg</t>
  </si>
  <si>
    <t>Terong segar</t>
  </si>
  <si>
    <t>https://img.lovepik.com/photo/20211119/medium/lovepik-fresh-purple-eggplant-picture_500177124.jpg</t>
  </si>
  <si>
    <t>Terung belanda segar</t>
  </si>
  <si>
    <t>https://asset.kompas.com/crops/Bn1N1xzzNN8WVxDd712bq0XHjOA=/0x0:1000x667/1200x800/data/photo/2020/02/29/5e5a8b75a2a83.jpg</t>
  </si>
  <si>
    <t>Terung bengkulu segar</t>
  </si>
  <si>
    <t>https://cdn.antaranews.com/cache/800x533/2013/05/20130523Panen-Terong-220513.jpg</t>
  </si>
  <si>
    <t>Terung panjang</t>
  </si>
  <si>
    <t>https://www.tanamlah.com/wp-content/uploads/cara-tanam-terung-109.jpg</t>
  </si>
  <si>
    <t>Terung panjang kukus</t>
  </si>
  <si>
    <t>https://i1.wp.com/dailymakan.com/wp-content/uploads/2022/02/TERUNG-KUKUS-ALA-KOREA-6.jpg?ssl=1</t>
  </si>
  <si>
    <t>Tespong daun</t>
  </si>
  <si>
    <t>https://www.satuharapan.com/uploads/cache/news_75102_1493715767.jpg</t>
  </si>
  <si>
    <t>Tim (nasi tim)</t>
  </si>
  <si>
    <t>https://www.mooimom.id/media/ck-uploads/2022/06/28/nasi-tim-bayi-bubur-ayam_lnEjENK.jpg</t>
  </si>
  <si>
    <t>Tinira ninahu nggaluku</t>
  </si>
  <si>
    <t>https://img-global.cpcdn.com/recipes/08a46e4e4555927f/680x482cq70/lodeh-tinira-kelapa-foto-resep-utama.jpg</t>
  </si>
  <si>
    <t>Tinoransak masakan</t>
  </si>
  <si>
    <t>https://img-global.cpcdn.com/recipes/fe8971ba42b8aded/1200x630cq70/photo.jpg</t>
  </si>
  <si>
    <t>Tipa-tipa</t>
  </si>
  <si>
    <t>https://gudangilmuku.com/wp-content/uploads/2023/03/Cara-Membuat-Tipa-Tipa-Khas-Sumatera-Utara.webp</t>
  </si>
  <si>
    <t xml:space="preserve">Tiwul  </t>
  </si>
  <si>
    <t>https://asset.kompas.com/crops/_Lav4KVP5NTBM2GTsDVtTxgCx08=/70x0:914x563/750x500/data/photo/2021/12/03/61a9f9d558fc0.jpg</t>
  </si>
  <si>
    <t>Tiwul Instan</t>
  </si>
  <si>
    <t>https://grebeg.com/images/media/2020/11/large1606391454Nk2Sa26711.jpg</t>
  </si>
  <si>
    <t>Toge -Tahu makanan</t>
  </si>
  <si>
    <t>https://awsimages.detik.net.id/community/media/visual/2021/09/21/resep-tumis-tahu-kuning-dan-tauge.jpeg?w=1200</t>
  </si>
  <si>
    <t xml:space="preserve">Toge Goreng </t>
  </si>
  <si>
    <t>https://akcdn.detik.net.id/community/media/visual/2019/04/22/de16ca5c-a9d9-4197-a567-b818b1d59d94.jpeg?w=1208</t>
  </si>
  <si>
    <t>Toge kacang ijo</t>
  </si>
  <si>
    <t>https://www.faunadanflora.com/wp-content/uploads/2016/11/Cara-Budidaya-Toge-Dengan-Mudah-Dan-Cepat-Panen.jpg</t>
  </si>
  <si>
    <t>Toge kacang tunggak</t>
  </si>
  <si>
    <t>https://tanahkaya.com/wp-content/uploads/2019/03/Kecambah-Gandum.jpg</t>
  </si>
  <si>
    <t>Toge kedelai</t>
  </si>
  <si>
    <t>https://arafuru.com/wp-content/uploads/2014/07/cara-membuat-tauge.jpg</t>
  </si>
  <si>
    <t>Toge seduh</t>
  </si>
  <si>
    <t>https://img-global.cpcdn.com/recipes/86c113f61825b36e/680x482cq70/toge-goreng-dari-bogor-foto-resep-utama.jpg</t>
  </si>
  <si>
    <t>Tomat air (juice) segar</t>
  </si>
  <si>
    <t>https://assets.ayobandung.com/crop/0x0:0x0/750x500/webp/photo/2022/04/05/2356668642.jpeg</t>
  </si>
  <si>
    <t>Tomat Masak</t>
  </si>
  <si>
    <t>https://ik.imagekit.io/dcjlghyytp1/2020/01/tomatoes-5356_1920-1.jpg?tr=f-auto</t>
  </si>
  <si>
    <t>Tomat merah segar</t>
  </si>
  <si>
    <t>https://pasarsegar.co.id/wp-content/uploads/2021/02/tomat-merah.jpg</t>
  </si>
  <si>
    <t>Tomat muda segar</t>
  </si>
  <si>
    <t>https://blog.sayurbox.com/wp-content/uploads/2020/01/tomato-4441117_1920-595x334.jpg</t>
  </si>
  <si>
    <t>Tumis bandeng</t>
  </si>
  <si>
    <t>https://img.okezone.com/content/2018/04/26/298/1891625/kacang-panjang-tumis-tauge-dan-bandeng-bumbu-acar-menu-makan-siang-yang-sempurna-fPgLm3B8Js.jpg</t>
  </si>
  <si>
    <t>Tumis bayam bersantan</t>
  </si>
  <si>
    <t>https://cdn1-production-images-kly.akamaized.net/4a0ttXDkFeMMNthY5iFfBhug3Ys=/1200x675/smart/filters:quality(75):strip_icc():format(webp)/kly-media-production/medias/3437424/original/069907400_1619146736-Bobor_Bayam_Jagung.jpg</t>
  </si>
  <si>
    <t>Ubi Cilembu</t>
  </si>
  <si>
    <t>https://assets-a1.kompasiana.com/items/album/2021/11/11/img-20211111-wa0043-618cbcd606310e41062eaf72.jpg</t>
  </si>
  <si>
    <t xml:space="preserve">Ubi Jalar Goreng </t>
  </si>
  <si>
    <t>https://resepkoki.id/wp-content/uploads/2022/03/Resep-Ubi-Goreng.jpg</t>
  </si>
  <si>
    <t>Ubi jalar kuning kukus</t>
  </si>
  <si>
    <t>https://img-global.cpcdn.com/recipes/96d4a66b6b3523c4/1200x630cq70/photo.jpg</t>
  </si>
  <si>
    <t>Ubi jalar kuning segar</t>
  </si>
  <si>
    <t>https://cf.shopee.co.id/file/d76a579e3447ec85dbf02a105df60529</t>
  </si>
  <si>
    <t>Ubi jalar manis segar</t>
  </si>
  <si>
    <t>https://asset-a.grid.id/crop/0x0:0x0/700x465/photo/2018/09/27/3387667169.jpg</t>
  </si>
  <si>
    <t>Ubi Jalar Merah</t>
  </si>
  <si>
    <t>https://akcdn.detik.net.id/visual/2020/11/23/ilustrasi-ubi-ungu-1_169.jpeg?w=650</t>
  </si>
  <si>
    <t>Ubi jalar merah segar</t>
  </si>
  <si>
    <t>Ubi Jalar Putih</t>
  </si>
  <si>
    <t>https://cdn.idntimes.com/content-images/community/2019/06/white-sweet-potatoes-1296x728-7ec7f00d7808a28366c0e5cf1c95d104.jpg</t>
  </si>
  <si>
    <t>Ubi Jalar Rebus</t>
  </si>
  <si>
    <t>https://d1bpj0tv6vfxyp.cloudfront.net/articles/807337_27-11-2020_8-6-29.jpeg</t>
  </si>
  <si>
    <t>Ubi Jalar Sayur</t>
  </si>
  <si>
    <t>Ubi jalar tinta/ kemayung</t>
  </si>
  <si>
    <t>https://o-cdn-cas.sirclocdn.com/parenting/images/ubi-jalar_lllsrRt.width-800.format-webp.webp</t>
  </si>
  <si>
    <t>Ubi jalar tinta/ kemayung kukus</t>
  </si>
  <si>
    <t>https://cdn.idntimes.com/content-images/community/2019/06/purple-yam-ftr-f836c41ea4cc37b95697e80a21b109e1.jpg</t>
  </si>
  <si>
    <t>Uceng/ bunga melinjo segar</t>
  </si>
  <si>
    <t>https://assets.pikiran-rakyat.com/crop/0x0:0x0/750x500/photo/2022/07/04/2328640728.jpg</t>
  </si>
  <si>
    <t>Udang besar segar</t>
  </si>
  <si>
    <t>https://pasarkan.kaltaraprov.go.id/images/900/800/210829115219655ef78596-338e-4fe7-8f87-331786b072b3.jpg</t>
  </si>
  <si>
    <t>Udang galah segar</t>
  </si>
  <si>
    <t>https://static.wixstatic.com/media/bcf5ea_c77ded4f24e741db9aa545a1b425dbc7~mv2.jpg/v1/fill/w_640,h_352,al_c,lg_1,q_80,enc_auto/bcf5ea_c77ded4f24e741db9aa545a1b425dbc7~mv2.jpg</t>
  </si>
  <si>
    <t>Udang kering</t>
  </si>
  <si>
    <t>https://img.lovepik.com/photo/20211207/medium/lovepik-dried-shrimp-picture_501573420.jpg</t>
  </si>
  <si>
    <t>Udang kering mentah</t>
  </si>
  <si>
    <t>https://cf.shopee.co.id/file/49eaffdb18468e87339980ffab3d60c9</t>
  </si>
  <si>
    <t>Udang papay mentah</t>
  </si>
  <si>
    <t>https://img-global.cpcdn.com/recipes/c9f87393e4cf6300/680x482cq70/sambel-goreng-udang-rebon-udang-papay-foto-resep-utama.jpg</t>
  </si>
  <si>
    <t>Udang segar</t>
  </si>
  <si>
    <t>https://asset.kompas.com/crops/z1Urz8LH3HtS9_TFNYDe-y7O2BQ=/0x0:1280x853/750x500/data/photo/2022/04/09/6250f722f0f82.jpg</t>
  </si>
  <si>
    <t>Ulat sagu panggang</t>
  </si>
  <si>
    <t>https://blue.kumparan.com/image/upload/fl_progressive,fl_lossy,c_fill,q_auto:best,w_640/v1577185515/rd2me1ecjkzvtscug50l.jpg</t>
  </si>
  <si>
    <t>Ulat sagu segar</t>
  </si>
  <si>
    <t>https://res.cloudinary.com/dk0z4ums3/image/upload/v1643715515/attached_image/6-manfaat-ulat-sagu-bagi-kesehatan-yang-sayang-untuk-dilewatkan.jpg</t>
  </si>
  <si>
    <t>Umbi Uwi segar</t>
  </si>
  <si>
    <t>https://media.istockphoto.com/id/1150739645/id/foto/tumpukan-ubi-ungu-manis-segar-atau-kentang-pemandangan-atas.jpg?s=612x612&amp;w=0&amp;k=20&amp;c=zKPj_hQiEjrW6EP_Ed8VhhlTaNvy-US_U-ToUlMm6HY=</t>
  </si>
  <si>
    <t>Umbut rotan</t>
  </si>
  <si>
    <t>https://kooliner.com/blog/wp-content/uploads/2016/05/juhuumbutrotan4.jpg</t>
  </si>
  <si>
    <t>Usus Sapi</t>
  </si>
  <si>
    <t>https://awsimages.detik.net.id/community/media/visual/2020/07/24/usus-sapi.jpeg?w=724</t>
  </si>
  <si>
    <t>Uwi</t>
  </si>
  <si>
    <t>https://cdn0-production-images-kly.akamaized.net/KEyNMJ-0dqqYU3PMi9QGTwE6Rrs=/640x360/smart/filters:quality(75):strip_icc():format(jpeg)/kly-media-production/medias/1761632/original/066821400_1509967136-IMG_20171106_110821.jpg</t>
  </si>
  <si>
    <t>Vermicelli</t>
  </si>
  <si>
    <t>https://bakeitwithlove.com/wp-content/uploads/2022/10/what-is-vermicelli-sq.jpg</t>
  </si>
  <si>
    <t>Wajit camilan</t>
  </si>
  <si>
    <t>https://lzd-img-global.slatic.net/g/p/551b03866406564f47fa42223ed0491a.jpg_720x720q80.jpg</t>
  </si>
  <si>
    <t>Waluh balamak</t>
  </si>
  <si>
    <t>https://img-global.cpcdn.com/recipes/26fd4d972b1f3aa2/1200x630cq70/photo.jpg</t>
  </si>
  <si>
    <t>Widaran</t>
  </si>
  <si>
    <t>https://img-global.cpcdn.com/recipes/Recipe_2014_06_07_16_44_11_482_070e2d/680x482cq70/widaran-keju-foto-resep-utama.jpg</t>
  </si>
  <si>
    <t>Wijen</t>
  </si>
  <si>
    <t>https://res.cloudinary.com/dk0z4ums3/image/upload/v1631251653/attached_image/mengulik-manfaat-biji-wijen-untuk-kesehatan.jpg</t>
  </si>
  <si>
    <t>Wingko babat</t>
  </si>
  <si>
    <t>https://awsimages.detik.net.id/community/media/visual/2023/03/30/resep-wingko-babat.jpeg?w=1200</t>
  </si>
  <si>
    <t>Woku ubi</t>
  </si>
  <si>
    <t>https://img-global.cpcdn.com/recipes/6ee7c77a5d0b37cb/680x482cq70/daun-singkong-masak-woku-foto-resep-utama.jpg</t>
  </si>
  <si>
    <t>Worst (sosis daging)</t>
  </si>
  <si>
    <t>https://www.wikihow.com/images/9/9f/Cook-Sausages-Step-20-Version-6.jpg</t>
  </si>
  <si>
    <t>Wortel Segar</t>
  </si>
  <si>
    <t>https://www.astronauts.id/blog/wp-content/uploads/2023/01/Yuk-Ketahui-Manfaat-Wortel-Untuk-Kesehatan-Tubuh-.jpg</t>
  </si>
  <si>
    <t>Wortel kukus</t>
  </si>
  <si>
    <t>https://www.wikihow.com/images_en/thumb/b/bf/Steam-Carrots-Step-3-Version-3.jpg/550px-nowatermark-Steam-Carrots-Step-3-Version-3.jpg</t>
  </si>
  <si>
    <t>Wortel rebus</t>
  </si>
  <si>
    <t>https://asset-a.grid.id/crop/0x222:594x690/700x0/photo/2022/03/05/manfaat-makan-worteljpg-20220305070713.jpg</t>
  </si>
  <si>
    <t>Yangko</t>
  </si>
  <si>
    <t>https://serikatnews.com/wp-content/uploads/2022/12/yangko-giant.jpg</t>
  </si>
  <si>
    <t>Yoghurt</t>
  </si>
  <si>
    <t>https://d1vbn70lmn1nqe.cloudfront.net/prod/wp-content/uploads/2022/08/04071319/Inilah-Alasan-Greek-Yogurt-Menjadi-Cemilan-Sehat.jpg</t>
  </si>
  <si>
    <t>texture</t>
  </si>
  <si>
    <t>kategori</t>
  </si>
  <si>
    <t>texture_bubuk</t>
  </si>
  <si>
    <t>texture_cair</t>
  </si>
  <si>
    <t>texture_kental</t>
  </si>
  <si>
    <t>texture_lembut</t>
  </si>
  <si>
    <t>texture_netral</t>
  </si>
  <si>
    <t>texture_padat</t>
  </si>
  <si>
    <t>texture_renyah</t>
  </si>
  <si>
    <t>kategori_buah</t>
  </si>
  <si>
    <t>kategori_bumbu_dan_rempah</t>
  </si>
  <si>
    <t>kategori_kacang_kacangan</t>
  </si>
  <si>
    <t>kategori_konfeksioneri</t>
  </si>
  <si>
    <t>kategori_lainnya</t>
  </si>
  <si>
    <t>kategori_lauk</t>
  </si>
  <si>
    <t>kategori_minyak/lemak</t>
  </si>
  <si>
    <t>kategori_sayuran</t>
  </si>
  <si>
    <t>kategori_serelia</t>
  </si>
  <si>
    <t>kategori_susu</t>
  </si>
  <si>
    <t>kategori_telur</t>
  </si>
  <si>
    <t>kategori_umbi_berpati</t>
  </si>
  <si>
    <t>netral</t>
  </si>
  <si>
    <t>lainnya</t>
  </si>
  <si>
    <t>lembut</t>
  </si>
  <si>
    <t>renyah</t>
  </si>
  <si>
    <t>sayuran</t>
  </si>
  <si>
    <t>buah</t>
  </si>
  <si>
    <t>kacang_kacangan</t>
  </si>
  <si>
    <t>padat</t>
  </si>
  <si>
    <t>lauk</t>
  </si>
  <si>
    <t>umbi_berpati</t>
  </si>
  <si>
    <t>serelia</t>
  </si>
  <si>
    <t>bumbu_dan_rempah</t>
  </si>
  <si>
    <t>susu</t>
  </si>
  <si>
    <t>bubuk</t>
  </si>
  <si>
    <t>konfeksioneri</t>
  </si>
  <si>
    <t>cair</t>
  </si>
  <si>
    <t>kental</t>
  </si>
  <si>
    <t>telur</t>
  </si>
  <si>
    <t>minyak/lemak</t>
  </si>
  <si>
    <t xml:space="preserve">Nama Bahan </t>
  </si>
  <si>
    <t>Kalori</t>
  </si>
  <si>
    <t xml:space="preserve">Protein </t>
  </si>
  <si>
    <t>Lemak</t>
  </si>
  <si>
    <t>Karbohidrat</t>
  </si>
  <si>
    <t>Kambing</t>
  </si>
  <si>
    <t>Perhitungan Similiarity</t>
  </si>
  <si>
    <t>(Jarak Sapi dengan Ayam)</t>
  </si>
  <si>
    <t xml:space="preserve">EUCLIDEAN DISTANCE </t>
  </si>
  <si>
    <t>MANHATTAN DISTANCE</t>
  </si>
  <si>
    <t>COSINE SIMILIARITY</t>
  </si>
  <si>
    <t>(Jarak Sapi Ke Ikan)</t>
  </si>
  <si>
    <t>(Jarak Sapi Ke Kambing)</t>
  </si>
  <si>
    <t>Ikan</t>
  </si>
  <si>
    <t>Udang</t>
  </si>
  <si>
    <t>(Jarak Sapi Ke Kerbau)</t>
  </si>
  <si>
    <t>(Jarak Sapi Ke Udang)</t>
  </si>
  <si>
    <t>MAE</t>
  </si>
  <si>
    <t>RMSE</t>
  </si>
  <si>
    <t xml:space="preserve">Perhitungan Daging Sapi </t>
  </si>
  <si>
    <t>Kool</t>
  </si>
  <si>
    <t>Caisin</t>
  </si>
  <si>
    <t>(Jarak Sawi dengan Kool)</t>
  </si>
  <si>
    <t>(Jarak Sawi Ke Kangkung)</t>
  </si>
  <si>
    <t>(Jarak Sawi ke Selada Air)</t>
  </si>
  <si>
    <t>(Jarak Sawi Ke Andewi)</t>
  </si>
  <si>
    <t>(Jarak Sawi Ke Caisin)</t>
  </si>
  <si>
    <t xml:space="preserve">Perhitungan Sawi 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</si>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</sst>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FF6B35"/>
        <bgColor rgb="FFFF6B35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7"/>
  <sheetViews>
    <sheetView topLeftCell="A30" workbookViewId="0">
      <selection activeCell="G81" sqref="G81"/>
    </sheetView>
  </sheetViews>
  <sheetFormatPr defaultRowHeight="15" x14ac:dyDescent="0.25"/>
  <cols>
    <col min="1" max="1" width="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9.5" x14ac:dyDescent="0.25">
      <c r="A2" s="2">
        <v>1</v>
      </c>
      <c r="B2" s="2">
        <v>280</v>
      </c>
      <c r="C2" s="2">
        <v>9.1999999999999993</v>
      </c>
      <c r="D2" s="2">
        <v>28.4</v>
      </c>
      <c r="E2" s="2">
        <v>0</v>
      </c>
      <c r="F2" s="2" t="s">
        <v>7</v>
      </c>
      <c r="G2" s="2" t="s">
        <v>8</v>
      </c>
    </row>
    <row r="3" spans="1:7" ht="150" x14ac:dyDescent="0.25">
      <c r="A3" s="2">
        <v>2</v>
      </c>
      <c r="B3" s="2">
        <v>513</v>
      </c>
      <c r="C3" s="2">
        <v>23.7</v>
      </c>
      <c r="D3" s="2">
        <v>37</v>
      </c>
      <c r="E3" s="2">
        <v>21.3</v>
      </c>
      <c r="F3" s="2" t="s">
        <v>9</v>
      </c>
      <c r="G3" s="2" t="s">
        <v>10</v>
      </c>
    </row>
    <row r="4" spans="1:7" ht="225" x14ac:dyDescent="0.25">
      <c r="A4" s="2">
        <v>3</v>
      </c>
      <c r="B4" s="2">
        <v>0</v>
      </c>
      <c r="C4" s="2">
        <v>0</v>
      </c>
      <c r="D4" s="2">
        <v>0.2</v>
      </c>
      <c r="E4" s="2">
        <v>0</v>
      </c>
      <c r="F4" s="2" t="s">
        <v>11</v>
      </c>
      <c r="G4" s="2" t="s">
        <v>12</v>
      </c>
    </row>
    <row r="5" spans="1:7" ht="285" x14ac:dyDescent="0.25">
      <c r="A5" s="2">
        <v>4</v>
      </c>
      <c r="B5" s="2">
        <v>45</v>
      </c>
      <c r="C5" s="2">
        <v>1.1000000000000001</v>
      </c>
      <c r="D5" s="2">
        <v>0.4</v>
      </c>
      <c r="E5" s="2">
        <v>10.8</v>
      </c>
      <c r="F5" s="2" t="s">
        <v>13</v>
      </c>
      <c r="G5" s="2" t="s">
        <v>14</v>
      </c>
    </row>
    <row r="6" spans="1:7" ht="120" x14ac:dyDescent="0.25">
      <c r="A6" s="2">
        <v>5</v>
      </c>
      <c r="B6" s="2">
        <v>37</v>
      </c>
      <c r="C6" s="2">
        <v>4.4000000000000004</v>
      </c>
      <c r="D6" s="2">
        <v>0.5</v>
      </c>
      <c r="E6" s="2">
        <v>3.8</v>
      </c>
      <c r="F6" s="2" t="s">
        <v>15</v>
      </c>
      <c r="G6" s="2" t="s">
        <v>16</v>
      </c>
    </row>
    <row r="7" spans="1:7" ht="150" x14ac:dyDescent="0.25">
      <c r="A7" s="2">
        <v>6</v>
      </c>
      <c r="B7" s="2">
        <v>85</v>
      </c>
      <c r="C7" s="2">
        <v>0.9</v>
      </c>
      <c r="D7" s="2">
        <v>6.5</v>
      </c>
      <c r="E7" s="2">
        <v>7.7</v>
      </c>
      <c r="F7" s="2" t="s">
        <v>17</v>
      </c>
      <c r="G7" s="2" t="s">
        <v>18</v>
      </c>
    </row>
    <row r="8" spans="1:7" ht="270" x14ac:dyDescent="0.25">
      <c r="A8" s="2">
        <v>7</v>
      </c>
      <c r="B8" s="2">
        <v>96</v>
      </c>
      <c r="C8" s="2">
        <v>3.7</v>
      </c>
      <c r="D8" s="2">
        <v>0.6</v>
      </c>
      <c r="E8" s="2">
        <v>19.100000000000001</v>
      </c>
      <c r="F8" s="2" t="s">
        <v>19</v>
      </c>
      <c r="G8" s="2" t="s">
        <v>20</v>
      </c>
    </row>
    <row r="9" spans="1:7" ht="135" x14ac:dyDescent="0.25">
      <c r="A9" s="2">
        <v>8</v>
      </c>
      <c r="B9" s="2">
        <v>414</v>
      </c>
      <c r="C9" s="2">
        <v>26.6</v>
      </c>
      <c r="D9" s="2">
        <v>18.3</v>
      </c>
      <c r="E9" s="2">
        <v>41.3</v>
      </c>
      <c r="F9" s="2" t="s">
        <v>21</v>
      </c>
      <c r="G9" s="2" t="s">
        <v>22</v>
      </c>
    </row>
    <row r="10" spans="1:7" ht="405" x14ac:dyDescent="0.25">
      <c r="A10" s="2">
        <v>9</v>
      </c>
      <c r="B10" s="2">
        <v>75</v>
      </c>
      <c r="C10" s="2">
        <v>4.0999999999999996</v>
      </c>
      <c r="D10" s="2">
        <v>2.1</v>
      </c>
      <c r="E10" s="2">
        <v>10.7</v>
      </c>
      <c r="F10" s="2" t="s">
        <v>23</v>
      </c>
      <c r="G10" s="2" t="s">
        <v>24</v>
      </c>
    </row>
    <row r="11" spans="1:7" ht="195" x14ac:dyDescent="0.25">
      <c r="A11" s="2">
        <v>10</v>
      </c>
      <c r="B11" s="2">
        <v>67</v>
      </c>
      <c r="C11" s="2">
        <v>5</v>
      </c>
      <c r="D11" s="2">
        <v>2.1</v>
      </c>
      <c r="E11" s="2">
        <v>8.1</v>
      </c>
      <c r="F11" s="2" t="s">
        <v>25</v>
      </c>
      <c r="G11" s="2" t="s">
        <v>26</v>
      </c>
    </row>
    <row r="12" spans="1:7" ht="270" x14ac:dyDescent="0.25">
      <c r="A12" s="2">
        <v>11</v>
      </c>
      <c r="B12" s="2">
        <v>184</v>
      </c>
      <c r="C12" s="2">
        <v>18.8</v>
      </c>
      <c r="D12" s="2">
        <v>14</v>
      </c>
      <c r="E12" s="2">
        <v>0</v>
      </c>
      <c r="F12" s="2" t="s">
        <v>27</v>
      </c>
      <c r="G12" s="2" t="s">
        <v>28</v>
      </c>
    </row>
    <row r="13" spans="1:7" ht="240" x14ac:dyDescent="0.25">
      <c r="A13" s="2">
        <v>12</v>
      </c>
      <c r="B13" s="2">
        <v>174</v>
      </c>
      <c r="C13" s="2">
        <v>19.600000000000001</v>
      </c>
      <c r="D13" s="2">
        <v>10</v>
      </c>
      <c r="E13" s="2">
        <v>0</v>
      </c>
      <c r="F13" s="2" t="s">
        <v>29</v>
      </c>
      <c r="G13" s="2" t="s">
        <v>30</v>
      </c>
    </row>
    <row r="14" spans="1:7" ht="270" x14ac:dyDescent="0.25">
      <c r="A14" s="2">
        <v>13</v>
      </c>
      <c r="B14" s="2">
        <v>190</v>
      </c>
      <c r="C14" s="2">
        <v>19.100000000000001</v>
      </c>
      <c r="D14" s="2">
        <v>12</v>
      </c>
      <c r="E14" s="2">
        <v>0</v>
      </c>
      <c r="F14" s="2" t="s">
        <v>31</v>
      </c>
      <c r="G14" s="2" t="s">
        <v>32</v>
      </c>
    </row>
    <row r="15" spans="1:7" ht="120" x14ac:dyDescent="0.25">
      <c r="A15" s="2">
        <v>14</v>
      </c>
      <c r="B15" s="2">
        <v>99</v>
      </c>
      <c r="C15" s="2">
        <v>4.5999999999999996</v>
      </c>
      <c r="D15" s="2">
        <v>1</v>
      </c>
      <c r="E15" s="2">
        <v>18</v>
      </c>
      <c r="F15" s="2" t="s">
        <v>33</v>
      </c>
      <c r="G15" s="2" t="s">
        <v>34</v>
      </c>
    </row>
    <row r="16" spans="1:7" ht="135" x14ac:dyDescent="0.25">
      <c r="A16" s="2">
        <v>15</v>
      </c>
      <c r="B16" s="2">
        <v>25</v>
      </c>
      <c r="C16" s="2">
        <v>1.6</v>
      </c>
      <c r="D16" s="2">
        <v>0.2</v>
      </c>
      <c r="E16" s="2">
        <v>5.3</v>
      </c>
      <c r="F16" s="2" t="s">
        <v>35</v>
      </c>
      <c r="G16" s="2" t="s">
        <v>36</v>
      </c>
    </row>
    <row r="17" spans="1:7" ht="120" x14ac:dyDescent="0.25">
      <c r="A17" s="2">
        <v>16</v>
      </c>
      <c r="B17" s="2">
        <v>30</v>
      </c>
      <c r="C17" s="2">
        <v>0.5</v>
      </c>
      <c r="D17" s="2">
        <v>0.2</v>
      </c>
      <c r="E17" s="2">
        <v>6.8</v>
      </c>
      <c r="F17" s="2" t="s">
        <v>37</v>
      </c>
      <c r="G17" s="2" t="s">
        <v>38</v>
      </c>
    </row>
    <row r="18" spans="1:7" ht="210" x14ac:dyDescent="0.25">
      <c r="A18" s="2">
        <v>17</v>
      </c>
      <c r="B18" s="2">
        <v>354</v>
      </c>
      <c r="C18" s="2">
        <v>16.399999999999999</v>
      </c>
      <c r="D18" s="2">
        <v>31.5</v>
      </c>
      <c r="E18" s="2">
        <v>0</v>
      </c>
      <c r="F18" s="2" t="s">
        <v>39</v>
      </c>
      <c r="G18" s="2" t="s">
        <v>40</v>
      </c>
    </row>
    <row r="19" spans="1:7" ht="180" x14ac:dyDescent="0.25">
      <c r="A19" s="2">
        <v>18</v>
      </c>
      <c r="B19" s="2">
        <v>126</v>
      </c>
      <c r="C19" s="2">
        <v>3.4</v>
      </c>
      <c r="D19" s="2">
        <v>7.9</v>
      </c>
      <c r="E19" s="2">
        <v>10.3</v>
      </c>
      <c r="F19" s="2" t="s">
        <v>41</v>
      </c>
      <c r="G19" s="2" t="s">
        <v>42</v>
      </c>
    </row>
    <row r="20" spans="1:7" ht="240" x14ac:dyDescent="0.25">
      <c r="A20" s="2">
        <v>19</v>
      </c>
      <c r="B20" s="2">
        <v>58</v>
      </c>
      <c r="C20" s="2">
        <v>0.3</v>
      </c>
      <c r="D20" s="2">
        <v>0.4</v>
      </c>
      <c r="E20" s="2">
        <v>14.9</v>
      </c>
      <c r="F20" s="2" t="s">
        <v>43</v>
      </c>
      <c r="G20" s="2" t="s">
        <v>44</v>
      </c>
    </row>
    <row r="21" spans="1:7" ht="135" x14ac:dyDescent="0.25">
      <c r="A21" s="2">
        <v>20</v>
      </c>
      <c r="B21" s="2">
        <v>57</v>
      </c>
      <c r="C21" s="2">
        <v>0.5</v>
      </c>
      <c r="D21" s="2">
        <v>0.4</v>
      </c>
      <c r="E21" s="2">
        <v>12.8</v>
      </c>
      <c r="F21" s="2" t="s">
        <v>45</v>
      </c>
      <c r="G21" s="2" t="s">
        <v>46</v>
      </c>
    </row>
    <row r="22" spans="1:7" ht="240" x14ac:dyDescent="0.25">
      <c r="A22" s="2">
        <v>21</v>
      </c>
      <c r="B22" s="2">
        <v>37</v>
      </c>
      <c r="C22" s="2">
        <v>0.8</v>
      </c>
      <c r="D22" s="2">
        <v>0.5</v>
      </c>
      <c r="E22" s="2">
        <v>8.3000000000000007</v>
      </c>
      <c r="F22" s="2" t="s">
        <v>47</v>
      </c>
      <c r="G22" s="2" t="s">
        <v>48</v>
      </c>
    </row>
    <row r="23" spans="1:7" ht="135" x14ac:dyDescent="0.25">
      <c r="A23" s="2">
        <v>22</v>
      </c>
      <c r="B23" s="2">
        <v>113</v>
      </c>
      <c r="C23" s="2">
        <v>0.9</v>
      </c>
      <c r="D23" s="2">
        <v>7.2</v>
      </c>
      <c r="E23" s="2">
        <v>11.2</v>
      </c>
      <c r="F23" s="2" t="s">
        <v>49</v>
      </c>
      <c r="G23" s="2" t="s">
        <v>50</v>
      </c>
    </row>
    <row r="24" spans="1:7" ht="270" x14ac:dyDescent="0.25">
      <c r="A24" s="2">
        <v>23</v>
      </c>
      <c r="B24" s="2">
        <v>102</v>
      </c>
      <c r="C24" s="2">
        <v>1</v>
      </c>
      <c r="D24" s="2">
        <v>0.2</v>
      </c>
      <c r="E24" s="2">
        <v>24.1</v>
      </c>
      <c r="F24" s="2" t="s">
        <v>51</v>
      </c>
      <c r="G24" s="2" t="s">
        <v>52</v>
      </c>
    </row>
    <row r="25" spans="1:7" ht="409.5" x14ac:dyDescent="0.25">
      <c r="A25" s="2">
        <v>24</v>
      </c>
      <c r="B25" s="2">
        <v>277</v>
      </c>
      <c r="C25" s="2">
        <v>2.4</v>
      </c>
      <c r="D25" s="2">
        <v>25</v>
      </c>
      <c r="E25" s="2">
        <v>10.7</v>
      </c>
      <c r="F25" s="2" t="s">
        <v>53</v>
      </c>
      <c r="G25" s="2" t="s">
        <v>54</v>
      </c>
    </row>
    <row r="26" spans="1:7" ht="150" x14ac:dyDescent="0.25">
      <c r="A26" s="2">
        <v>25</v>
      </c>
      <c r="B26" s="2">
        <v>75</v>
      </c>
      <c r="C26" s="2">
        <v>0.2</v>
      </c>
      <c r="D26" s="2">
        <v>1.1000000000000001</v>
      </c>
      <c r="E26" s="2">
        <v>16.100000000000001</v>
      </c>
      <c r="F26" s="2" t="s">
        <v>55</v>
      </c>
      <c r="G26" s="2" t="s">
        <v>56</v>
      </c>
    </row>
    <row r="27" spans="1:7" ht="210" x14ac:dyDescent="0.25">
      <c r="A27" s="2">
        <v>26</v>
      </c>
      <c r="B27" s="2">
        <v>239</v>
      </c>
      <c r="C27" s="2">
        <v>2.8</v>
      </c>
      <c r="D27" s="2">
        <v>0.6</v>
      </c>
      <c r="E27" s="2">
        <v>62.5</v>
      </c>
      <c r="F27" s="2" t="s">
        <v>57</v>
      </c>
      <c r="G27" s="2" t="s">
        <v>58</v>
      </c>
    </row>
    <row r="28" spans="1:7" ht="120" x14ac:dyDescent="0.25">
      <c r="A28" s="2">
        <v>27</v>
      </c>
      <c r="B28" s="2">
        <v>135</v>
      </c>
      <c r="C28" s="2">
        <v>0.8</v>
      </c>
      <c r="D28" s="2">
        <v>0.4</v>
      </c>
      <c r="E28" s="2">
        <v>32.1</v>
      </c>
      <c r="F28" s="2" t="s">
        <v>59</v>
      </c>
      <c r="G28" s="2" t="s">
        <v>60</v>
      </c>
    </row>
    <row r="29" spans="1:7" ht="120" x14ac:dyDescent="0.25">
      <c r="A29" s="2">
        <v>28</v>
      </c>
      <c r="B29" s="2">
        <v>261</v>
      </c>
      <c r="C29" s="2">
        <v>0.9</v>
      </c>
      <c r="D29" s="2">
        <v>1.6</v>
      </c>
      <c r="E29" s="2">
        <v>63.3</v>
      </c>
      <c r="F29" s="2" t="s">
        <v>61</v>
      </c>
      <c r="G29" s="2" t="s">
        <v>62</v>
      </c>
    </row>
    <row r="30" spans="1:7" ht="195" x14ac:dyDescent="0.25">
      <c r="A30" s="2">
        <v>29</v>
      </c>
      <c r="B30" s="2">
        <v>98</v>
      </c>
      <c r="C30" s="2">
        <v>3.9</v>
      </c>
      <c r="D30" s="2">
        <v>2.6</v>
      </c>
      <c r="E30" s="2">
        <v>14.8</v>
      </c>
      <c r="F30" s="2" t="s">
        <v>63</v>
      </c>
      <c r="G30" s="2" t="s">
        <v>64</v>
      </c>
    </row>
    <row r="31" spans="1:7" ht="210" x14ac:dyDescent="0.25">
      <c r="A31" s="2">
        <v>30</v>
      </c>
      <c r="B31" s="2">
        <v>302</v>
      </c>
      <c r="C31" s="2">
        <v>18.2</v>
      </c>
      <c r="D31" s="2">
        <v>25</v>
      </c>
      <c r="E31" s="2">
        <v>0</v>
      </c>
      <c r="F31" s="2" t="s">
        <v>65</v>
      </c>
      <c r="G31" s="2" t="s">
        <v>66</v>
      </c>
    </row>
    <row r="32" spans="1:7" ht="240" x14ac:dyDescent="0.25">
      <c r="A32" s="2">
        <v>31</v>
      </c>
      <c r="B32" s="2">
        <v>297</v>
      </c>
      <c r="C32" s="2">
        <v>35.9</v>
      </c>
      <c r="D32" s="2">
        <v>15.2</v>
      </c>
      <c r="E32" s="2">
        <v>1.6</v>
      </c>
      <c r="F32" s="2" t="s">
        <v>67</v>
      </c>
      <c r="G32" s="2" t="s">
        <v>68</v>
      </c>
    </row>
    <row r="33" spans="1:7" ht="409.5" x14ac:dyDescent="0.25">
      <c r="A33" s="2">
        <v>32</v>
      </c>
      <c r="B33" s="2">
        <v>270</v>
      </c>
      <c r="C33" s="2">
        <v>32.299999999999997</v>
      </c>
      <c r="D33" s="2">
        <v>11.2</v>
      </c>
      <c r="E33" s="2">
        <v>9.9</v>
      </c>
      <c r="F33" s="2" t="s">
        <v>69</v>
      </c>
      <c r="G33" s="2" t="s">
        <v>70</v>
      </c>
    </row>
    <row r="34" spans="1:7" ht="180" x14ac:dyDescent="0.25">
      <c r="A34" s="2">
        <v>33</v>
      </c>
      <c r="B34" s="2">
        <v>75</v>
      </c>
      <c r="C34" s="2">
        <v>13.8</v>
      </c>
      <c r="D34" s="2">
        <v>1.9</v>
      </c>
      <c r="E34" s="2">
        <v>0.7</v>
      </c>
      <c r="F34" s="2" t="s">
        <v>71</v>
      </c>
      <c r="G34" s="2" t="s">
        <v>72</v>
      </c>
    </row>
    <row r="35" spans="1:7" ht="315" x14ac:dyDescent="0.25">
      <c r="A35" s="2">
        <v>34</v>
      </c>
      <c r="B35" s="2">
        <v>295</v>
      </c>
      <c r="C35" s="2">
        <v>34</v>
      </c>
      <c r="D35" s="2">
        <v>16</v>
      </c>
      <c r="E35" s="2">
        <v>1.5</v>
      </c>
      <c r="F35" s="2" t="s">
        <v>73</v>
      </c>
      <c r="G35" s="2" t="s">
        <v>74</v>
      </c>
    </row>
    <row r="36" spans="1:7" ht="240" x14ac:dyDescent="0.25">
      <c r="A36" s="2">
        <v>35</v>
      </c>
      <c r="B36" s="2">
        <v>338</v>
      </c>
      <c r="C36" s="2">
        <v>35.200000000000003</v>
      </c>
      <c r="D36" s="2">
        <v>20.6</v>
      </c>
      <c r="E36" s="2">
        <v>0.4</v>
      </c>
      <c r="F36" s="2" t="s">
        <v>75</v>
      </c>
      <c r="G36" s="2" t="s">
        <v>76</v>
      </c>
    </row>
    <row r="37" spans="1:7" ht="195" x14ac:dyDescent="0.25">
      <c r="A37" s="2">
        <v>36</v>
      </c>
      <c r="B37" s="2">
        <v>275</v>
      </c>
      <c r="C37" s="2">
        <v>37.4</v>
      </c>
      <c r="D37" s="2">
        <v>12.2</v>
      </c>
      <c r="E37" s="2">
        <v>1.3</v>
      </c>
      <c r="F37" s="2" t="s">
        <v>77</v>
      </c>
      <c r="G37" s="2" t="s">
        <v>78</v>
      </c>
    </row>
    <row r="38" spans="1:7" ht="210" x14ac:dyDescent="0.25">
      <c r="A38" s="2">
        <v>37</v>
      </c>
      <c r="B38" s="2">
        <v>298</v>
      </c>
      <c r="C38" s="2">
        <v>34.200000000000003</v>
      </c>
      <c r="D38" s="2">
        <v>16.8</v>
      </c>
      <c r="E38" s="2">
        <v>0.1</v>
      </c>
      <c r="F38" s="2" t="s">
        <v>79</v>
      </c>
      <c r="G38" s="2" t="s">
        <v>80</v>
      </c>
    </row>
    <row r="39" spans="1:7" ht="240" x14ac:dyDescent="0.25">
      <c r="A39" s="2">
        <v>38</v>
      </c>
      <c r="B39" s="2">
        <v>286</v>
      </c>
      <c r="C39" s="2">
        <v>32.1</v>
      </c>
      <c r="D39" s="2">
        <v>16.100000000000001</v>
      </c>
      <c r="E39" s="2">
        <v>1.1000000000000001</v>
      </c>
      <c r="F39" s="2" t="s">
        <v>81</v>
      </c>
      <c r="G39" s="2" t="s">
        <v>82</v>
      </c>
    </row>
    <row r="40" spans="1:7" ht="255" x14ac:dyDescent="0.25">
      <c r="A40" s="2">
        <v>39</v>
      </c>
      <c r="B40" s="2">
        <v>295</v>
      </c>
      <c r="C40" s="2">
        <v>39.200000000000003</v>
      </c>
      <c r="D40" s="2">
        <v>13.6</v>
      </c>
      <c r="E40" s="2">
        <v>1</v>
      </c>
      <c r="F40" s="2" t="s">
        <v>83</v>
      </c>
      <c r="G40" s="2" t="s">
        <v>84</v>
      </c>
    </row>
    <row r="41" spans="1:7" ht="409.5" x14ac:dyDescent="0.25">
      <c r="A41" s="2">
        <v>40</v>
      </c>
      <c r="B41" s="2">
        <v>287</v>
      </c>
      <c r="C41" s="2">
        <v>31</v>
      </c>
      <c r="D41" s="2">
        <v>15.7</v>
      </c>
      <c r="E41" s="2">
        <v>1.7</v>
      </c>
      <c r="F41" s="2" t="s">
        <v>85</v>
      </c>
      <c r="G41" s="2" t="s">
        <v>86</v>
      </c>
    </row>
    <row r="42" spans="1:7" ht="345" x14ac:dyDescent="0.25">
      <c r="A42" s="2">
        <v>41</v>
      </c>
      <c r="B42" s="2">
        <v>246</v>
      </c>
      <c r="C42" s="2">
        <v>37.9</v>
      </c>
      <c r="D42" s="2">
        <v>9</v>
      </c>
      <c r="E42" s="2">
        <v>0.7</v>
      </c>
      <c r="F42" s="2" t="s">
        <v>87</v>
      </c>
      <c r="G42" s="2" t="s">
        <v>88</v>
      </c>
    </row>
    <row r="43" spans="1:7" ht="315" x14ac:dyDescent="0.25">
      <c r="A43" s="2">
        <v>42</v>
      </c>
      <c r="B43" s="2">
        <v>245</v>
      </c>
      <c r="C43" s="2">
        <v>33.1</v>
      </c>
      <c r="D43" s="2">
        <v>11.4</v>
      </c>
      <c r="E43" s="2">
        <v>0.3</v>
      </c>
      <c r="F43" s="2" t="s">
        <v>89</v>
      </c>
      <c r="G43" s="2" t="s">
        <v>90</v>
      </c>
    </row>
    <row r="44" spans="1:7" ht="315" x14ac:dyDescent="0.25">
      <c r="A44" s="2">
        <v>43</v>
      </c>
      <c r="B44" s="2">
        <v>295</v>
      </c>
      <c r="C44" s="2">
        <v>37.4</v>
      </c>
      <c r="D44" s="2">
        <v>14.7</v>
      </c>
      <c r="E44" s="2">
        <v>0.6</v>
      </c>
      <c r="F44" s="2" t="s">
        <v>91</v>
      </c>
      <c r="G44" s="2" t="s">
        <v>92</v>
      </c>
    </row>
    <row r="45" spans="1:7" ht="300" x14ac:dyDescent="0.25">
      <c r="A45" s="2">
        <v>44</v>
      </c>
      <c r="B45" s="2">
        <v>244</v>
      </c>
      <c r="C45" s="2">
        <v>36.700000000000003</v>
      </c>
      <c r="D45" s="2">
        <v>9.1999999999999993</v>
      </c>
      <c r="E45" s="2">
        <v>1</v>
      </c>
      <c r="F45" s="2" t="s">
        <v>93</v>
      </c>
      <c r="G45" s="2" t="s">
        <v>94</v>
      </c>
    </row>
    <row r="46" spans="1:7" ht="390" x14ac:dyDescent="0.25">
      <c r="A46" s="2">
        <v>45</v>
      </c>
      <c r="B46" s="2">
        <v>283</v>
      </c>
      <c r="C46" s="2">
        <v>35.700000000000003</v>
      </c>
      <c r="D46" s="2">
        <v>14.3</v>
      </c>
      <c r="E46" s="2">
        <v>0.5</v>
      </c>
      <c r="F46" s="2" t="s">
        <v>95</v>
      </c>
      <c r="G46" s="2" t="s">
        <v>96</v>
      </c>
    </row>
    <row r="47" spans="1:7" ht="225" x14ac:dyDescent="0.25">
      <c r="A47" s="2">
        <v>46</v>
      </c>
      <c r="B47" s="2">
        <v>261</v>
      </c>
      <c r="C47" s="2">
        <v>27.4</v>
      </c>
      <c r="D47" s="2">
        <v>16.100000000000001</v>
      </c>
      <c r="E47" s="2">
        <v>1.6</v>
      </c>
      <c r="F47" s="2" t="s">
        <v>97</v>
      </c>
      <c r="G47" s="2" t="s">
        <v>98</v>
      </c>
    </row>
    <row r="48" spans="1:7" ht="240" x14ac:dyDescent="0.25">
      <c r="A48" s="2">
        <v>47</v>
      </c>
      <c r="B48" s="2">
        <v>264</v>
      </c>
      <c r="C48" s="2">
        <v>18.2</v>
      </c>
      <c r="D48" s="2">
        <v>20.100000000000001</v>
      </c>
      <c r="E48" s="2">
        <v>2.7</v>
      </c>
      <c r="F48" s="2" t="s">
        <v>99</v>
      </c>
      <c r="G48" s="2" t="s">
        <v>100</v>
      </c>
    </row>
    <row r="49" spans="1:7" ht="150" x14ac:dyDescent="0.25">
      <c r="A49" s="2">
        <v>48</v>
      </c>
      <c r="B49" s="2">
        <v>473</v>
      </c>
      <c r="C49" s="2">
        <v>45.2</v>
      </c>
      <c r="D49" s="2">
        <v>26.3</v>
      </c>
      <c r="E49" s="2">
        <v>13.9</v>
      </c>
      <c r="F49" s="2" t="s">
        <v>101</v>
      </c>
      <c r="G49" s="2" t="s">
        <v>102</v>
      </c>
    </row>
    <row r="50" spans="1:7" ht="195" x14ac:dyDescent="0.25">
      <c r="A50" s="2">
        <v>49</v>
      </c>
      <c r="B50" s="2">
        <v>113</v>
      </c>
      <c r="C50" s="2">
        <v>17.600000000000001</v>
      </c>
      <c r="D50" s="2">
        <v>4.2</v>
      </c>
      <c r="E50" s="2">
        <v>0</v>
      </c>
      <c r="F50" s="2" t="s">
        <v>103</v>
      </c>
      <c r="G50" s="2" t="s">
        <v>104</v>
      </c>
    </row>
    <row r="51" spans="1:7" ht="195" x14ac:dyDescent="0.25">
      <c r="A51" s="2">
        <v>50</v>
      </c>
      <c r="B51" s="2">
        <v>453</v>
      </c>
      <c r="C51" s="2">
        <v>11.9</v>
      </c>
      <c r="D51" s="2">
        <v>45</v>
      </c>
      <c r="E51" s="2">
        <v>0</v>
      </c>
      <c r="F51" s="2" t="s">
        <v>105</v>
      </c>
      <c r="G51" s="2" t="s">
        <v>106</v>
      </c>
    </row>
    <row r="52" spans="1:7" ht="120" x14ac:dyDescent="0.25">
      <c r="A52" s="2">
        <v>51</v>
      </c>
      <c r="B52" s="2">
        <v>371</v>
      </c>
      <c r="C52" s="2">
        <v>14.1</v>
      </c>
      <c r="D52" s="2">
        <v>35</v>
      </c>
      <c r="E52" s="2">
        <v>0</v>
      </c>
      <c r="F52" s="2" t="s">
        <v>107</v>
      </c>
      <c r="G52" s="2" t="s">
        <v>108</v>
      </c>
    </row>
    <row r="53" spans="1:7" ht="150" x14ac:dyDescent="0.25">
      <c r="A53" s="2">
        <v>52</v>
      </c>
      <c r="B53" s="2">
        <v>110</v>
      </c>
      <c r="C53" s="2">
        <v>16.3</v>
      </c>
      <c r="D53" s="2">
        <v>4.5999999999999996</v>
      </c>
      <c r="E53" s="2">
        <v>0.8</v>
      </c>
      <c r="F53" s="2" t="s">
        <v>109</v>
      </c>
      <c r="G53" s="2" t="s">
        <v>110</v>
      </c>
    </row>
    <row r="54" spans="1:7" ht="330" x14ac:dyDescent="0.25">
      <c r="A54" s="2">
        <v>53</v>
      </c>
      <c r="B54" s="2">
        <v>129</v>
      </c>
      <c r="C54" s="2">
        <v>19.7</v>
      </c>
      <c r="D54" s="2">
        <v>4.8</v>
      </c>
      <c r="E54" s="2">
        <v>1.7</v>
      </c>
      <c r="F54" s="2" t="s">
        <v>111</v>
      </c>
      <c r="G54" s="2" t="s">
        <v>112</v>
      </c>
    </row>
    <row r="55" spans="1:7" ht="150" x14ac:dyDescent="0.25">
      <c r="A55" s="2">
        <v>54</v>
      </c>
      <c r="B55" s="2">
        <v>491</v>
      </c>
      <c r="C55" s="2">
        <v>24.6</v>
      </c>
      <c r="D55" s="2">
        <v>16.3</v>
      </c>
      <c r="E55" s="2">
        <v>0.2</v>
      </c>
      <c r="F55" s="2" t="s">
        <v>113</v>
      </c>
      <c r="G55" s="2" t="s">
        <v>114</v>
      </c>
    </row>
    <row r="56" spans="1:7" ht="409.5" x14ac:dyDescent="0.25">
      <c r="A56" s="2">
        <v>55</v>
      </c>
      <c r="B56" s="2">
        <v>102.9</v>
      </c>
      <c r="C56" s="2">
        <v>3.3</v>
      </c>
      <c r="D56" s="2">
        <v>2.7</v>
      </c>
      <c r="E56" s="2">
        <v>16.3</v>
      </c>
      <c r="F56" s="2" t="s">
        <v>115</v>
      </c>
      <c r="G56" s="2" t="s">
        <v>116</v>
      </c>
    </row>
    <row r="57" spans="1:7" ht="150" x14ac:dyDescent="0.25">
      <c r="A57" s="2">
        <v>56</v>
      </c>
      <c r="B57" s="2">
        <v>450</v>
      </c>
      <c r="C57" s="2">
        <v>3.2</v>
      </c>
      <c r="D57" s="2">
        <v>13.9</v>
      </c>
      <c r="E57" s="2">
        <v>78.099999999999994</v>
      </c>
      <c r="F57" s="2" t="s">
        <v>117</v>
      </c>
      <c r="G57" s="2" t="s">
        <v>118</v>
      </c>
    </row>
    <row r="58" spans="1:7" ht="225" x14ac:dyDescent="0.25">
      <c r="A58" s="2">
        <v>57</v>
      </c>
      <c r="B58" s="2">
        <v>452</v>
      </c>
      <c r="C58" s="2">
        <v>1.3</v>
      </c>
      <c r="D58" s="2">
        <v>13.8</v>
      </c>
      <c r="E58" s="2">
        <v>80.599999999999994</v>
      </c>
      <c r="F58" s="2" t="s">
        <v>119</v>
      </c>
      <c r="G58" s="2" t="s">
        <v>120</v>
      </c>
    </row>
    <row r="59" spans="1:7" ht="210" x14ac:dyDescent="0.25">
      <c r="A59" s="2">
        <v>58</v>
      </c>
      <c r="B59" s="2">
        <v>529</v>
      </c>
      <c r="C59" s="2">
        <v>3.2</v>
      </c>
      <c r="D59" s="2">
        <v>29.1</v>
      </c>
      <c r="E59" s="2">
        <v>63.6</v>
      </c>
      <c r="F59" s="2" t="s">
        <v>121</v>
      </c>
      <c r="G59" s="2" t="s">
        <v>122</v>
      </c>
    </row>
    <row r="60" spans="1:7" ht="330" x14ac:dyDescent="0.25">
      <c r="A60" s="2">
        <v>59</v>
      </c>
      <c r="B60" s="2">
        <v>523</v>
      </c>
      <c r="C60" s="2">
        <v>3.2</v>
      </c>
      <c r="D60" s="2">
        <v>28.2</v>
      </c>
      <c r="E60" s="2">
        <v>64.2</v>
      </c>
      <c r="F60" s="2" t="s">
        <v>123</v>
      </c>
      <c r="G60" s="2" t="s">
        <v>124</v>
      </c>
    </row>
    <row r="61" spans="1:7" ht="285" x14ac:dyDescent="0.25">
      <c r="A61" s="2">
        <v>60</v>
      </c>
      <c r="B61" s="2">
        <v>416</v>
      </c>
      <c r="C61" s="2">
        <v>6.5</v>
      </c>
      <c r="D61" s="2">
        <v>9.4</v>
      </c>
      <c r="E61" s="2">
        <v>76.3</v>
      </c>
      <c r="F61" s="2" t="s">
        <v>125</v>
      </c>
      <c r="G61" s="2" t="s">
        <v>126</v>
      </c>
    </row>
    <row r="62" spans="1:7" ht="210" x14ac:dyDescent="0.25">
      <c r="A62" s="2">
        <v>61</v>
      </c>
      <c r="B62" s="2">
        <v>382</v>
      </c>
      <c r="C62" s="2">
        <v>0.3</v>
      </c>
      <c r="D62" s="2">
        <v>3.5</v>
      </c>
      <c r="E62" s="2">
        <v>87.2</v>
      </c>
      <c r="F62" s="2" t="s">
        <v>127</v>
      </c>
      <c r="G62" s="2" t="s">
        <v>128</v>
      </c>
    </row>
    <row r="63" spans="1:7" ht="120" x14ac:dyDescent="0.25">
      <c r="A63" s="2">
        <v>62</v>
      </c>
      <c r="B63" s="2">
        <v>129</v>
      </c>
      <c r="C63" s="2">
        <v>1.9</v>
      </c>
      <c r="D63" s="2">
        <v>6.6</v>
      </c>
      <c r="E63" s="2">
        <v>15.6</v>
      </c>
      <c r="F63" s="2" t="s">
        <v>129</v>
      </c>
      <c r="G63" s="2" t="s">
        <v>130</v>
      </c>
    </row>
    <row r="64" spans="1:7" ht="240" x14ac:dyDescent="0.25">
      <c r="A64" s="2">
        <v>63</v>
      </c>
      <c r="B64" s="2">
        <v>272</v>
      </c>
      <c r="C64" s="2">
        <v>8.6999999999999993</v>
      </c>
      <c r="D64" s="2">
        <v>6.7</v>
      </c>
      <c r="E64" s="2">
        <v>44.1</v>
      </c>
      <c r="F64" s="2" t="s">
        <v>131</v>
      </c>
      <c r="G64" s="2" t="s">
        <v>132</v>
      </c>
    </row>
    <row r="65" spans="1:7" ht="240" x14ac:dyDescent="0.25">
      <c r="A65" s="2">
        <v>64</v>
      </c>
      <c r="B65" s="2">
        <v>76</v>
      </c>
      <c r="C65" s="2">
        <v>4.0999999999999996</v>
      </c>
      <c r="D65" s="2">
        <v>2.5</v>
      </c>
      <c r="E65" s="2">
        <v>9.1999999999999993</v>
      </c>
      <c r="F65" s="2" t="s">
        <v>133</v>
      </c>
      <c r="G65" s="2" t="s">
        <v>134</v>
      </c>
    </row>
    <row r="66" spans="1:7" ht="165" x14ac:dyDescent="0.25">
      <c r="A66" s="2">
        <v>65</v>
      </c>
      <c r="B66" s="2">
        <v>27</v>
      </c>
      <c r="C66" s="2">
        <v>2</v>
      </c>
      <c r="D66" s="2">
        <v>0.2</v>
      </c>
      <c r="E66" s="2">
        <v>4.2</v>
      </c>
      <c r="F66" s="2" t="s">
        <v>135</v>
      </c>
      <c r="G66" s="2" t="s">
        <v>136</v>
      </c>
    </row>
    <row r="67" spans="1:7" ht="225" x14ac:dyDescent="0.25">
      <c r="A67" s="2">
        <v>66</v>
      </c>
      <c r="B67" s="2">
        <v>280</v>
      </c>
      <c r="C67" s="2">
        <v>8.1999999999999993</v>
      </c>
      <c r="D67" s="2">
        <v>10.199999999999999</v>
      </c>
      <c r="E67" s="2">
        <v>39</v>
      </c>
      <c r="F67" s="2" t="s">
        <v>137</v>
      </c>
      <c r="G67" s="2" t="s">
        <v>138</v>
      </c>
    </row>
    <row r="68" spans="1:7" ht="120" x14ac:dyDescent="0.25">
      <c r="A68" s="2">
        <v>67</v>
      </c>
      <c r="B68" s="2">
        <v>13</v>
      </c>
      <c r="C68" s="2">
        <v>0.4</v>
      </c>
      <c r="D68" s="2">
        <v>0.2</v>
      </c>
      <c r="E68" s="2">
        <v>3</v>
      </c>
      <c r="F68" s="2" t="s">
        <v>139</v>
      </c>
      <c r="G68" s="2" t="s">
        <v>140</v>
      </c>
    </row>
    <row r="69" spans="1:7" ht="300" x14ac:dyDescent="0.25">
      <c r="A69" s="2">
        <v>68</v>
      </c>
      <c r="B69" s="2">
        <v>190</v>
      </c>
      <c r="C69" s="2">
        <v>3.3</v>
      </c>
      <c r="D69" s="2">
        <v>0.3</v>
      </c>
      <c r="E69" s="2">
        <v>43.5</v>
      </c>
      <c r="F69" s="2" t="s">
        <v>141</v>
      </c>
      <c r="G69" s="2" t="s">
        <v>142</v>
      </c>
    </row>
    <row r="70" spans="1:7" ht="165" x14ac:dyDescent="0.25">
      <c r="A70" s="2">
        <v>69</v>
      </c>
      <c r="B70" s="2">
        <v>159</v>
      </c>
      <c r="C70" s="2">
        <v>3.1</v>
      </c>
      <c r="D70" s="2">
        <v>5.8</v>
      </c>
      <c r="E70" s="2">
        <v>23.5</v>
      </c>
      <c r="F70" s="2" t="s">
        <v>143</v>
      </c>
      <c r="G70" s="2" t="s">
        <v>144</v>
      </c>
    </row>
    <row r="71" spans="1:7" ht="210" x14ac:dyDescent="0.25">
      <c r="A71" s="2">
        <v>70</v>
      </c>
      <c r="B71" s="2">
        <v>137</v>
      </c>
      <c r="C71" s="2">
        <v>4.3</v>
      </c>
      <c r="D71" s="2">
        <v>4.8</v>
      </c>
      <c r="E71" s="2">
        <v>19.100000000000001</v>
      </c>
      <c r="F71" s="2" t="s">
        <v>145</v>
      </c>
      <c r="G71" s="2" t="s">
        <v>146</v>
      </c>
    </row>
    <row r="72" spans="1:7" ht="165" x14ac:dyDescent="0.25">
      <c r="A72" s="2">
        <v>71</v>
      </c>
      <c r="B72" s="2">
        <v>107</v>
      </c>
      <c r="C72" s="2">
        <v>2.2000000000000002</v>
      </c>
      <c r="D72" s="2">
        <v>2.2000000000000002</v>
      </c>
      <c r="E72" s="2">
        <v>19.600000000000001</v>
      </c>
      <c r="F72" s="2" t="s">
        <v>147</v>
      </c>
      <c r="G72" s="2" t="s">
        <v>148</v>
      </c>
    </row>
    <row r="73" spans="1:7" ht="120" x14ac:dyDescent="0.25">
      <c r="A73" s="2">
        <v>72</v>
      </c>
      <c r="B73" s="2">
        <v>76</v>
      </c>
      <c r="C73" s="2">
        <v>1.1000000000000001</v>
      </c>
      <c r="D73" s="2">
        <v>0.9</v>
      </c>
      <c r="E73" s="2">
        <v>16</v>
      </c>
      <c r="F73" s="2" t="s">
        <v>149</v>
      </c>
      <c r="G73" s="2" t="s">
        <v>150</v>
      </c>
    </row>
    <row r="74" spans="1:7" ht="150" x14ac:dyDescent="0.25">
      <c r="A74" s="2">
        <v>73</v>
      </c>
      <c r="B74" s="2">
        <v>110</v>
      </c>
      <c r="C74" s="2">
        <v>1.4</v>
      </c>
      <c r="D74" s="2">
        <v>1.1000000000000001</v>
      </c>
      <c r="E74" s="2">
        <v>23.4</v>
      </c>
      <c r="F74" s="2" t="s">
        <v>151</v>
      </c>
      <c r="G74" s="2" t="s">
        <v>152</v>
      </c>
    </row>
    <row r="75" spans="1:7" ht="270" x14ac:dyDescent="0.25">
      <c r="A75" s="2">
        <v>74</v>
      </c>
      <c r="B75" s="2">
        <v>92</v>
      </c>
      <c r="C75" s="2">
        <v>1.2</v>
      </c>
      <c r="D75" s="2">
        <v>0.3</v>
      </c>
      <c r="E75" s="2">
        <v>21</v>
      </c>
      <c r="F75" s="2" t="s">
        <v>153</v>
      </c>
      <c r="G75" s="2" t="s">
        <v>154</v>
      </c>
    </row>
    <row r="76" spans="1:7" ht="225" x14ac:dyDescent="0.25">
      <c r="A76" s="2">
        <v>75</v>
      </c>
      <c r="B76" s="2">
        <v>89</v>
      </c>
      <c r="C76" s="2">
        <v>1.1000000000000001</v>
      </c>
      <c r="D76" s="2">
        <v>0.1</v>
      </c>
      <c r="E76" s="2">
        <v>21</v>
      </c>
      <c r="F76" s="2" t="s">
        <v>155</v>
      </c>
      <c r="G76" s="2" t="s">
        <v>156</v>
      </c>
    </row>
    <row r="77" spans="1:7" ht="150" x14ac:dyDescent="0.25">
      <c r="A77" s="2">
        <v>76</v>
      </c>
      <c r="B77" s="2">
        <v>182</v>
      </c>
      <c r="C77" s="2">
        <v>2.4</v>
      </c>
      <c r="D77" s="2">
        <v>0.4</v>
      </c>
      <c r="E77" s="2">
        <v>42.2</v>
      </c>
      <c r="F77" s="2" t="s">
        <v>157</v>
      </c>
      <c r="G77" s="2" t="s">
        <v>158</v>
      </c>
    </row>
    <row r="78" spans="1:7" ht="240" x14ac:dyDescent="0.25">
      <c r="A78" s="2">
        <v>77</v>
      </c>
      <c r="B78" s="2">
        <v>45</v>
      </c>
      <c r="C78" s="2">
        <v>1.4</v>
      </c>
      <c r="D78" s="2">
        <v>0.2</v>
      </c>
      <c r="E78" s="2">
        <v>10.3</v>
      </c>
      <c r="F78" s="2" t="s">
        <v>159</v>
      </c>
      <c r="G78" s="2" t="s">
        <v>160</v>
      </c>
    </row>
    <row r="79" spans="1:7" ht="165" x14ac:dyDescent="0.25">
      <c r="A79" s="2">
        <v>78</v>
      </c>
      <c r="B79" s="2">
        <v>39</v>
      </c>
      <c r="C79" s="2">
        <v>1.5</v>
      </c>
      <c r="D79" s="2">
        <v>0.3</v>
      </c>
      <c r="E79" s="2">
        <v>0.2</v>
      </c>
      <c r="F79" s="2" t="s">
        <v>161</v>
      </c>
      <c r="G79" s="2" t="s">
        <v>162</v>
      </c>
    </row>
    <row r="80" spans="1:7" ht="255" x14ac:dyDescent="0.25">
      <c r="A80" s="2">
        <v>79</v>
      </c>
      <c r="B80" s="2">
        <v>95</v>
      </c>
      <c r="C80" s="2">
        <v>4.5</v>
      </c>
      <c r="D80" s="2">
        <v>0.2</v>
      </c>
      <c r="E80" s="2">
        <v>23.1</v>
      </c>
      <c r="F80" s="2" t="s">
        <v>163</v>
      </c>
      <c r="G80" s="2" t="s">
        <v>164</v>
      </c>
    </row>
    <row r="81" spans="1:7" ht="225" x14ac:dyDescent="0.25">
      <c r="A81" s="2">
        <v>80</v>
      </c>
      <c r="B81" s="2">
        <v>30</v>
      </c>
      <c r="C81" s="2">
        <v>1.3</v>
      </c>
      <c r="D81" s="2">
        <v>0.7</v>
      </c>
      <c r="E81" s="2">
        <v>5.8</v>
      </c>
      <c r="F81" s="2" t="s">
        <v>165</v>
      </c>
      <c r="G81" s="2" t="s">
        <v>166</v>
      </c>
    </row>
    <row r="82" spans="1:7" ht="285" x14ac:dyDescent="0.25">
      <c r="A82" s="2">
        <v>81</v>
      </c>
      <c r="B82" s="2">
        <v>51</v>
      </c>
      <c r="C82" s="2">
        <v>4.5999999999999996</v>
      </c>
      <c r="D82" s="2">
        <v>0.5</v>
      </c>
      <c r="E82" s="2">
        <v>10</v>
      </c>
      <c r="F82" s="2" t="s">
        <v>167</v>
      </c>
      <c r="G82" s="2" t="s">
        <v>168</v>
      </c>
    </row>
    <row r="83" spans="1:7" ht="210" x14ac:dyDescent="0.25">
      <c r="A83" s="2">
        <v>82</v>
      </c>
      <c r="B83" s="2">
        <v>41</v>
      </c>
      <c r="C83" s="2">
        <v>2.2000000000000002</v>
      </c>
      <c r="D83" s="2">
        <v>0.8</v>
      </c>
      <c r="E83" s="2">
        <v>6.3</v>
      </c>
      <c r="F83" s="2" t="s">
        <v>169</v>
      </c>
      <c r="G83" s="2" t="s">
        <v>170</v>
      </c>
    </row>
    <row r="84" spans="1:7" ht="150" x14ac:dyDescent="0.25">
      <c r="A84" s="2">
        <v>83</v>
      </c>
      <c r="B84" s="2">
        <v>23</v>
      </c>
      <c r="C84" s="2">
        <v>1.2</v>
      </c>
      <c r="D84" s="2">
        <v>0.6</v>
      </c>
      <c r="E84" s="2">
        <v>3.7</v>
      </c>
      <c r="F84" s="2" t="s">
        <v>171</v>
      </c>
      <c r="G84" s="2" t="s">
        <v>172</v>
      </c>
    </row>
    <row r="85" spans="1:7" ht="150" x14ac:dyDescent="0.25">
      <c r="A85" s="2">
        <v>84</v>
      </c>
      <c r="B85" s="2">
        <v>36</v>
      </c>
      <c r="C85" s="2">
        <v>3.5</v>
      </c>
      <c r="D85" s="2">
        <v>0.5</v>
      </c>
      <c r="E85" s="2">
        <v>6.5</v>
      </c>
      <c r="F85" s="2" t="s">
        <v>173</v>
      </c>
      <c r="G85" s="2" t="s">
        <v>174</v>
      </c>
    </row>
    <row r="86" spans="1:7" ht="225" x14ac:dyDescent="0.25">
      <c r="A86" s="2">
        <v>85</v>
      </c>
      <c r="B86" s="2">
        <v>102</v>
      </c>
      <c r="C86" s="2">
        <v>3.7</v>
      </c>
      <c r="D86" s="2">
        <v>6.7</v>
      </c>
      <c r="E86" s="2">
        <v>6.9</v>
      </c>
      <c r="F86" s="2" t="s">
        <v>175</v>
      </c>
      <c r="G86" s="2" t="s">
        <v>176</v>
      </c>
    </row>
    <row r="87" spans="1:7" ht="330" x14ac:dyDescent="0.25">
      <c r="A87" s="2">
        <v>86</v>
      </c>
      <c r="B87" s="2">
        <v>48</v>
      </c>
      <c r="C87" s="2">
        <v>1.4</v>
      </c>
      <c r="D87" s="2">
        <v>4.2</v>
      </c>
      <c r="E87" s="2">
        <v>2.6</v>
      </c>
      <c r="F87" s="2" t="s">
        <v>177</v>
      </c>
      <c r="G87" s="2" t="s">
        <v>178</v>
      </c>
    </row>
    <row r="88" spans="1:7" ht="240" x14ac:dyDescent="0.25">
      <c r="A88" s="2">
        <v>87</v>
      </c>
      <c r="B88" s="2">
        <v>326</v>
      </c>
      <c r="C88" s="2">
        <v>16</v>
      </c>
      <c r="D88" s="2">
        <v>28.6</v>
      </c>
      <c r="E88" s="2">
        <v>0</v>
      </c>
      <c r="F88" s="2" t="s">
        <v>179</v>
      </c>
      <c r="G88" s="2" t="s">
        <v>180</v>
      </c>
    </row>
    <row r="89" spans="1:7" ht="120" x14ac:dyDescent="0.25">
      <c r="A89" s="2">
        <v>88</v>
      </c>
      <c r="B89" s="2">
        <v>303</v>
      </c>
      <c r="C89" s="2">
        <v>11.3</v>
      </c>
      <c r="D89" s="2">
        <v>27</v>
      </c>
      <c r="E89" s="2">
        <v>3.7</v>
      </c>
      <c r="F89" s="2" t="s">
        <v>181</v>
      </c>
      <c r="G89" s="2" t="s">
        <v>182</v>
      </c>
    </row>
    <row r="90" spans="1:7" ht="240" x14ac:dyDescent="0.25">
      <c r="A90" s="2">
        <v>89</v>
      </c>
      <c r="B90" s="2">
        <v>300</v>
      </c>
      <c r="C90" s="2">
        <v>24</v>
      </c>
      <c r="D90" s="2">
        <v>20.7</v>
      </c>
      <c r="E90" s="2">
        <v>4.5</v>
      </c>
      <c r="F90" s="2" t="s">
        <v>183</v>
      </c>
      <c r="G90" s="2" t="s">
        <v>184</v>
      </c>
    </row>
    <row r="91" spans="1:7" ht="120" x14ac:dyDescent="0.25">
      <c r="A91" s="2">
        <v>90</v>
      </c>
      <c r="B91" s="2">
        <v>65</v>
      </c>
      <c r="C91" s="2">
        <v>1.1000000000000001</v>
      </c>
      <c r="D91" s="2">
        <v>5.2</v>
      </c>
      <c r="E91" s="2">
        <v>3.5</v>
      </c>
      <c r="F91" s="2" t="s">
        <v>185</v>
      </c>
      <c r="G91" s="2" t="s">
        <v>186</v>
      </c>
    </row>
    <row r="92" spans="1:7" ht="150" x14ac:dyDescent="0.25">
      <c r="A92" s="2">
        <v>91</v>
      </c>
      <c r="B92" s="2">
        <v>258</v>
      </c>
      <c r="C92" s="2">
        <v>10.6</v>
      </c>
      <c r="D92" s="2">
        <v>9.5</v>
      </c>
      <c r="E92" s="2">
        <v>32.5</v>
      </c>
      <c r="F92" s="2" t="s">
        <v>187</v>
      </c>
      <c r="G92" s="2" t="s">
        <v>188</v>
      </c>
    </row>
    <row r="93" spans="1:7" ht="210" x14ac:dyDescent="0.25">
      <c r="A93" s="2">
        <v>92</v>
      </c>
      <c r="B93" s="2">
        <v>151</v>
      </c>
      <c r="C93" s="2">
        <v>8.6</v>
      </c>
      <c r="D93" s="2">
        <v>3.1</v>
      </c>
      <c r="E93" s="2">
        <v>22.3</v>
      </c>
      <c r="F93" s="2" t="s">
        <v>189</v>
      </c>
      <c r="G93" s="2" t="s">
        <v>190</v>
      </c>
    </row>
    <row r="94" spans="1:7" ht="240" x14ac:dyDescent="0.25">
      <c r="A94" s="2">
        <v>93</v>
      </c>
      <c r="B94" s="2">
        <v>132</v>
      </c>
      <c r="C94" s="2">
        <v>9.8000000000000007</v>
      </c>
      <c r="D94" s="2">
        <v>1.1000000000000001</v>
      </c>
      <c r="E94" s="2">
        <v>20.7</v>
      </c>
      <c r="F94" s="2" t="s">
        <v>191</v>
      </c>
      <c r="G94" s="2" t="s">
        <v>192</v>
      </c>
    </row>
    <row r="95" spans="1:7" ht="330" x14ac:dyDescent="0.25">
      <c r="A95" s="2">
        <v>94</v>
      </c>
      <c r="B95" s="2">
        <v>116</v>
      </c>
      <c r="C95" s="2">
        <v>11.9</v>
      </c>
      <c r="D95" s="2">
        <v>4.9000000000000004</v>
      </c>
      <c r="E95" s="2">
        <v>6.1</v>
      </c>
      <c r="F95" s="2" t="s">
        <v>193</v>
      </c>
      <c r="G95" s="2" t="s">
        <v>194</v>
      </c>
    </row>
    <row r="96" spans="1:7" ht="180" x14ac:dyDescent="0.25">
      <c r="A96" s="2">
        <v>95</v>
      </c>
      <c r="B96" s="2">
        <v>78</v>
      </c>
      <c r="C96" s="2">
        <v>11.4</v>
      </c>
      <c r="D96" s="2">
        <v>2</v>
      </c>
      <c r="E96" s="2">
        <v>3.6</v>
      </c>
      <c r="F96" s="2" t="s">
        <v>195</v>
      </c>
      <c r="G96" s="2" t="s">
        <v>196</v>
      </c>
    </row>
    <row r="97" spans="1:7" ht="255" x14ac:dyDescent="0.25">
      <c r="A97" s="2">
        <v>96</v>
      </c>
      <c r="B97" s="2">
        <v>131</v>
      </c>
      <c r="C97" s="2">
        <v>20.2</v>
      </c>
      <c r="D97" s="2">
        <v>4.3</v>
      </c>
      <c r="E97" s="2">
        <v>2.8</v>
      </c>
      <c r="F97" s="2" t="s">
        <v>197</v>
      </c>
      <c r="G97" s="2" t="s">
        <v>198</v>
      </c>
    </row>
    <row r="98" spans="1:7" ht="409.5" x14ac:dyDescent="0.25">
      <c r="A98" s="2">
        <v>97</v>
      </c>
      <c r="B98" s="2">
        <v>36</v>
      </c>
      <c r="C98" s="2">
        <v>0.4</v>
      </c>
      <c r="D98" s="2">
        <v>0.4</v>
      </c>
      <c r="E98" s="2">
        <v>8.8000000000000007</v>
      </c>
      <c r="F98" s="2" t="s">
        <v>199</v>
      </c>
      <c r="G98" s="2" t="s">
        <v>200</v>
      </c>
    </row>
    <row r="99" spans="1:7" ht="150" x14ac:dyDescent="0.25">
      <c r="A99" s="2">
        <v>98</v>
      </c>
      <c r="B99" s="2">
        <v>145</v>
      </c>
      <c r="C99" s="2">
        <v>1.2</v>
      </c>
      <c r="D99" s="2">
        <v>0.4</v>
      </c>
      <c r="E99" s="2">
        <v>34.200000000000003</v>
      </c>
      <c r="F99" s="2" t="s">
        <v>201</v>
      </c>
      <c r="G99" s="2" t="s">
        <v>202</v>
      </c>
    </row>
    <row r="100" spans="1:7" ht="240" x14ac:dyDescent="0.25">
      <c r="A100" s="2">
        <v>99</v>
      </c>
      <c r="B100" s="2">
        <v>417</v>
      </c>
      <c r="C100" s="2">
        <v>25.9</v>
      </c>
      <c r="D100" s="2">
        <v>19.399999999999999</v>
      </c>
      <c r="E100" s="2">
        <v>32</v>
      </c>
      <c r="F100" s="2" t="s">
        <v>203</v>
      </c>
      <c r="G100" s="2" t="s">
        <v>204</v>
      </c>
    </row>
    <row r="101" spans="1:7" ht="409.5" x14ac:dyDescent="0.25">
      <c r="A101" s="2">
        <v>100</v>
      </c>
      <c r="B101" s="2">
        <v>70</v>
      </c>
      <c r="C101" s="2">
        <v>14.6</v>
      </c>
      <c r="D101" s="2">
        <v>0.8</v>
      </c>
      <c r="E101" s="2">
        <v>1</v>
      </c>
      <c r="F101" s="2" t="s">
        <v>205</v>
      </c>
      <c r="G101" s="2" t="s">
        <v>206</v>
      </c>
    </row>
    <row r="102" spans="1:7" ht="135" x14ac:dyDescent="0.25">
      <c r="A102" s="2">
        <v>101</v>
      </c>
      <c r="B102" s="2">
        <v>93</v>
      </c>
      <c r="C102" s="2">
        <v>12.8</v>
      </c>
      <c r="D102" s="2">
        <v>1.5</v>
      </c>
      <c r="E102" s="2">
        <v>6.1</v>
      </c>
      <c r="F102" s="2" t="s">
        <v>207</v>
      </c>
      <c r="G102" s="2" t="s">
        <v>208</v>
      </c>
    </row>
    <row r="103" spans="1:7" ht="150" x14ac:dyDescent="0.25">
      <c r="A103" s="2">
        <v>102</v>
      </c>
      <c r="B103" s="2">
        <v>55</v>
      </c>
      <c r="C103" s="2">
        <v>1.4</v>
      </c>
      <c r="D103" s="2">
        <v>0.2</v>
      </c>
      <c r="E103" s="2">
        <v>12.8</v>
      </c>
      <c r="F103" s="2" t="s">
        <v>209</v>
      </c>
      <c r="G103" s="2" t="s">
        <v>210</v>
      </c>
    </row>
    <row r="104" spans="1:7" ht="135" x14ac:dyDescent="0.25">
      <c r="A104" s="2">
        <v>103</v>
      </c>
      <c r="B104" s="2">
        <v>98</v>
      </c>
      <c r="C104" s="2">
        <v>1.6</v>
      </c>
      <c r="D104" s="2">
        <v>0.7</v>
      </c>
      <c r="E104" s="2">
        <v>20.9</v>
      </c>
      <c r="F104" s="2" t="s">
        <v>211</v>
      </c>
      <c r="G104" s="2" t="s">
        <v>212</v>
      </c>
    </row>
    <row r="105" spans="1:7" ht="105" x14ac:dyDescent="0.25">
      <c r="A105" s="2">
        <v>104</v>
      </c>
      <c r="B105" s="2">
        <v>71</v>
      </c>
      <c r="C105" s="2">
        <v>2.2999999999999998</v>
      </c>
      <c r="D105" s="2">
        <v>0.3</v>
      </c>
      <c r="E105" s="2">
        <v>15.4</v>
      </c>
      <c r="F105" s="2" t="s">
        <v>213</v>
      </c>
      <c r="G105" s="2" t="s">
        <v>214</v>
      </c>
    </row>
    <row r="106" spans="1:7" ht="240" x14ac:dyDescent="0.25">
      <c r="A106" s="2">
        <v>105</v>
      </c>
      <c r="B106" s="2">
        <v>350</v>
      </c>
      <c r="C106" s="2">
        <v>2.7</v>
      </c>
      <c r="D106" s="2">
        <v>1.1000000000000001</v>
      </c>
      <c r="E106" s="2">
        <v>82.3</v>
      </c>
      <c r="F106" s="2" t="s">
        <v>215</v>
      </c>
      <c r="G106" s="2" t="s">
        <v>216</v>
      </c>
    </row>
    <row r="107" spans="1:7" ht="165" x14ac:dyDescent="0.25">
      <c r="A107" s="2">
        <v>106</v>
      </c>
      <c r="B107" s="2">
        <v>364</v>
      </c>
      <c r="C107" s="2">
        <v>3.4</v>
      </c>
      <c r="D107" s="2">
        <v>0.7</v>
      </c>
      <c r="E107" s="2">
        <v>86.3</v>
      </c>
      <c r="F107" s="2" t="s">
        <v>217</v>
      </c>
      <c r="G107" s="2" t="s">
        <v>218</v>
      </c>
    </row>
    <row r="108" spans="1:7" ht="225" x14ac:dyDescent="0.25">
      <c r="A108" s="2">
        <v>107</v>
      </c>
      <c r="B108" s="2">
        <v>360</v>
      </c>
      <c r="C108" s="2">
        <v>6.8</v>
      </c>
      <c r="D108" s="2">
        <v>0.7</v>
      </c>
      <c r="E108" s="2">
        <v>78.900000000000006</v>
      </c>
      <c r="F108" s="2" t="s">
        <v>219</v>
      </c>
      <c r="G108" s="2" t="s">
        <v>220</v>
      </c>
    </row>
    <row r="109" spans="1:7" ht="150" x14ac:dyDescent="0.25">
      <c r="A109" s="2">
        <v>108</v>
      </c>
      <c r="B109" s="2">
        <v>178</v>
      </c>
      <c r="C109" s="2">
        <v>2.1</v>
      </c>
      <c r="D109" s="2">
        <v>0.1</v>
      </c>
      <c r="E109" s="2">
        <v>40.6</v>
      </c>
      <c r="F109" s="2" t="s">
        <v>221</v>
      </c>
      <c r="G109" s="2" t="s">
        <v>222</v>
      </c>
    </row>
    <row r="110" spans="1:7" ht="135" x14ac:dyDescent="0.25">
      <c r="A110" s="2">
        <v>109</v>
      </c>
      <c r="B110" s="2">
        <v>357</v>
      </c>
      <c r="C110" s="2">
        <v>8.4</v>
      </c>
      <c r="D110" s="2">
        <v>1.7</v>
      </c>
      <c r="E110" s="2">
        <v>77.099999999999994</v>
      </c>
      <c r="F110" s="2" t="s">
        <v>223</v>
      </c>
      <c r="G110" s="2" t="s">
        <v>224</v>
      </c>
    </row>
    <row r="111" spans="1:7" ht="210" x14ac:dyDescent="0.25">
      <c r="A111" s="2">
        <v>110</v>
      </c>
      <c r="B111" s="2">
        <v>369</v>
      </c>
      <c r="C111" s="2">
        <v>9.5</v>
      </c>
      <c r="D111" s="2">
        <v>1.4</v>
      </c>
      <c r="E111" s="2">
        <v>77.099999999999994</v>
      </c>
      <c r="F111" s="2" t="s">
        <v>225</v>
      </c>
      <c r="G111" s="2" t="s">
        <v>226</v>
      </c>
    </row>
    <row r="112" spans="1:7" ht="135" x14ac:dyDescent="0.25">
      <c r="A112" s="2">
        <v>111</v>
      </c>
      <c r="B112" s="2">
        <v>357</v>
      </c>
      <c r="C112" s="2">
        <v>8.4</v>
      </c>
      <c r="D112" s="2">
        <v>1.7</v>
      </c>
      <c r="E112" s="2">
        <v>77.099999999999994</v>
      </c>
      <c r="F112" s="2" t="s">
        <v>227</v>
      </c>
      <c r="G112" s="2" t="s">
        <v>228</v>
      </c>
    </row>
    <row r="113" spans="1:7" ht="120" x14ac:dyDescent="0.25">
      <c r="A113" s="2">
        <v>112</v>
      </c>
      <c r="B113" s="2">
        <v>351</v>
      </c>
      <c r="C113" s="2">
        <v>8</v>
      </c>
      <c r="D113" s="2">
        <v>1.3</v>
      </c>
      <c r="E113" s="2">
        <v>76.900000000000006</v>
      </c>
      <c r="F113" s="2" t="s">
        <v>229</v>
      </c>
      <c r="G113" s="2" t="s">
        <v>230</v>
      </c>
    </row>
    <row r="114" spans="1:7" ht="195" x14ac:dyDescent="0.25">
      <c r="A114" s="2">
        <v>113</v>
      </c>
      <c r="B114" s="2">
        <v>358</v>
      </c>
      <c r="C114" s="2">
        <v>5.5</v>
      </c>
      <c r="D114" s="2">
        <v>0.1</v>
      </c>
      <c r="E114" s="2">
        <v>82.7</v>
      </c>
      <c r="F114" s="2" t="s">
        <v>231</v>
      </c>
      <c r="G114" s="2" t="s">
        <v>232</v>
      </c>
    </row>
    <row r="115" spans="1:7" ht="225" x14ac:dyDescent="0.25">
      <c r="A115" s="2">
        <v>114</v>
      </c>
      <c r="B115" s="2">
        <v>307</v>
      </c>
      <c r="C115" s="2">
        <v>4.8</v>
      </c>
      <c r="D115" s="2">
        <v>0.1</v>
      </c>
      <c r="E115" s="2">
        <v>71.8</v>
      </c>
      <c r="F115" s="2" t="s">
        <v>233</v>
      </c>
      <c r="G115" s="2" t="s">
        <v>234</v>
      </c>
    </row>
    <row r="116" spans="1:7" ht="165" x14ac:dyDescent="0.25">
      <c r="A116" s="2">
        <v>115</v>
      </c>
      <c r="B116" s="2">
        <v>356</v>
      </c>
      <c r="C116" s="2">
        <v>7</v>
      </c>
      <c r="D116" s="2">
        <v>0.7</v>
      </c>
      <c r="E116" s="2">
        <v>78</v>
      </c>
      <c r="F116" s="2" t="s">
        <v>235</v>
      </c>
      <c r="G116" s="2" t="s">
        <v>236</v>
      </c>
    </row>
    <row r="117" spans="1:7" ht="409.5" x14ac:dyDescent="0.25">
      <c r="A117" s="2">
        <v>116</v>
      </c>
      <c r="B117" s="2">
        <v>181</v>
      </c>
      <c r="C117" s="2">
        <v>4</v>
      </c>
      <c r="D117" s="2">
        <v>1.2</v>
      </c>
      <c r="E117" s="2">
        <v>37.299999999999997</v>
      </c>
      <c r="F117" s="2" t="s">
        <v>237</v>
      </c>
      <c r="G117" s="2" t="s">
        <v>238</v>
      </c>
    </row>
    <row r="118" spans="1:7" ht="225" x14ac:dyDescent="0.25">
      <c r="A118" s="2">
        <v>117</v>
      </c>
      <c r="B118" s="2">
        <v>166</v>
      </c>
      <c r="C118" s="2">
        <v>3.8</v>
      </c>
      <c r="D118" s="2">
        <v>1</v>
      </c>
      <c r="E118" s="2">
        <v>34.4</v>
      </c>
      <c r="F118" s="2" t="s">
        <v>239</v>
      </c>
      <c r="G118" s="2" t="s">
        <v>240</v>
      </c>
    </row>
    <row r="119" spans="1:7" ht="165" x14ac:dyDescent="0.25">
      <c r="A119" s="2">
        <v>118</v>
      </c>
      <c r="B119" s="2">
        <v>360</v>
      </c>
      <c r="C119" s="2">
        <v>8</v>
      </c>
      <c r="D119" s="2">
        <v>2.2999999999999998</v>
      </c>
      <c r="E119" s="2">
        <v>74.5</v>
      </c>
      <c r="F119" s="2" t="s">
        <v>241</v>
      </c>
      <c r="G119" s="2" t="s">
        <v>242</v>
      </c>
    </row>
    <row r="120" spans="1:7" ht="165" x14ac:dyDescent="0.25">
      <c r="A120" s="2">
        <v>119</v>
      </c>
      <c r="B120" s="2">
        <v>360</v>
      </c>
      <c r="C120" s="2">
        <v>8</v>
      </c>
      <c r="D120" s="2">
        <v>2.2999999999999998</v>
      </c>
      <c r="E120" s="2">
        <v>74.5</v>
      </c>
      <c r="F120" s="2" t="s">
        <v>243</v>
      </c>
      <c r="G120" s="2" t="s">
        <v>236</v>
      </c>
    </row>
    <row r="121" spans="1:7" ht="409.5" x14ac:dyDescent="0.25">
      <c r="A121" s="2">
        <v>120</v>
      </c>
      <c r="B121" s="2">
        <v>362</v>
      </c>
      <c r="C121" s="2">
        <v>6.7</v>
      </c>
      <c r="D121" s="2">
        <v>0.7</v>
      </c>
      <c r="E121" s="2">
        <v>79.400000000000006</v>
      </c>
      <c r="F121" s="2" t="s">
        <v>244</v>
      </c>
      <c r="G121" s="2" t="s">
        <v>245</v>
      </c>
    </row>
    <row r="122" spans="1:7" ht="405" x14ac:dyDescent="0.25">
      <c r="A122" s="2">
        <v>121</v>
      </c>
      <c r="B122" s="2">
        <v>163</v>
      </c>
      <c r="C122" s="2">
        <v>3</v>
      </c>
      <c r="D122" s="2">
        <v>0.4</v>
      </c>
      <c r="E122" s="2">
        <v>35.700000000000003</v>
      </c>
      <c r="F122" s="2" t="s">
        <v>246</v>
      </c>
      <c r="G122" s="2" t="s">
        <v>247</v>
      </c>
    </row>
    <row r="123" spans="1:7" ht="195" x14ac:dyDescent="0.25">
      <c r="A123" s="2">
        <v>122</v>
      </c>
      <c r="B123" s="2">
        <v>172</v>
      </c>
      <c r="C123" s="2">
        <v>3</v>
      </c>
      <c r="D123" s="2">
        <v>0.5</v>
      </c>
      <c r="E123" s="2">
        <v>37.5</v>
      </c>
      <c r="F123" s="2" t="s">
        <v>248</v>
      </c>
      <c r="G123" s="2" t="s">
        <v>249</v>
      </c>
    </row>
    <row r="124" spans="1:7" ht="225" x14ac:dyDescent="0.25">
      <c r="A124" s="2">
        <v>123</v>
      </c>
      <c r="B124" s="2">
        <v>361</v>
      </c>
      <c r="C124" s="2">
        <v>7.4</v>
      </c>
      <c r="D124" s="2">
        <v>0.8</v>
      </c>
      <c r="E124" s="2">
        <v>78.400000000000006</v>
      </c>
      <c r="F124" s="2" t="s">
        <v>250</v>
      </c>
      <c r="G124" s="2" t="s">
        <v>251</v>
      </c>
    </row>
    <row r="125" spans="1:7" ht="105" x14ac:dyDescent="0.25">
      <c r="A125" s="2">
        <v>124</v>
      </c>
      <c r="B125" s="2">
        <v>361</v>
      </c>
      <c r="C125" s="2">
        <v>7.4</v>
      </c>
      <c r="D125" s="2">
        <v>0.8</v>
      </c>
      <c r="E125" s="2">
        <v>78.400000000000006</v>
      </c>
      <c r="F125" s="2" t="s">
        <v>252</v>
      </c>
      <c r="G125" s="2" t="s">
        <v>253</v>
      </c>
    </row>
    <row r="126" spans="1:7" ht="120" x14ac:dyDescent="0.25">
      <c r="A126" s="2">
        <v>125</v>
      </c>
      <c r="B126" s="2">
        <v>376</v>
      </c>
      <c r="C126" s="2">
        <v>7.5</v>
      </c>
      <c r="D126" s="2">
        <v>3.8</v>
      </c>
      <c r="E126" s="2">
        <v>78</v>
      </c>
      <c r="F126" s="2" t="s">
        <v>254</v>
      </c>
      <c r="G126" s="2" t="s">
        <v>255</v>
      </c>
    </row>
    <row r="127" spans="1:7" ht="135" x14ac:dyDescent="0.25">
      <c r="A127" s="2">
        <v>126</v>
      </c>
      <c r="B127" s="2">
        <v>339</v>
      </c>
      <c r="C127" s="2">
        <v>7.7</v>
      </c>
      <c r="D127" s="2">
        <v>4.4000000000000004</v>
      </c>
      <c r="E127" s="2">
        <v>73</v>
      </c>
      <c r="F127" s="2" t="s">
        <v>256</v>
      </c>
      <c r="G127" s="2" t="s">
        <v>257</v>
      </c>
    </row>
    <row r="128" spans="1:7" ht="120" x14ac:dyDescent="0.25">
      <c r="A128" s="2">
        <v>127</v>
      </c>
      <c r="B128" s="2">
        <v>362</v>
      </c>
      <c r="C128" s="2">
        <v>7.7</v>
      </c>
      <c r="D128" s="2">
        <v>4.4000000000000004</v>
      </c>
      <c r="E128" s="2">
        <v>73</v>
      </c>
      <c r="F128" s="2" t="s">
        <v>258</v>
      </c>
      <c r="G128" s="2" t="s">
        <v>259</v>
      </c>
    </row>
    <row r="129" spans="1:7" ht="225" x14ac:dyDescent="0.25">
      <c r="A129" s="2">
        <v>128</v>
      </c>
      <c r="B129" s="2">
        <v>359</v>
      </c>
      <c r="C129" s="2">
        <v>7.5</v>
      </c>
      <c r="D129" s="2">
        <v>0.9</v>
      </c>
      <c r="E129" s="2">
        <v>77.599999999999994</v>
      </c>
      <c r="F129" s="2" t="s">
        <v>260</v>
      </c>
      <c r="G129" s="2" t="s">
        <v>261</v>
      </c>
    </row>
    <row r="130" spans="1:7" ht="120" x14ac:dyDescent="0.25">
      <c r="A130" s="2">
        <v>129</v>
      </c>
      <c r="B130" s="2">
        <v>364</v>
      </c>
      <c r="C130" s="2">
        <v>6.8</v>
      </c>
      <c r="D130" s="2">
        <v>0.6</v>
      </c>
      <c r="E130" s="2">
        <v>80.099999999999994</v>
      </c>
      <c r="F130" s="2" t="s">
        <v>262</v>
      </c>
      <c r="G130" s="2" t="s">
        <v>263</v>
      </c>
    </row>
    <row r="131" spans="1:7" ht="315" x14ac:dyDescent="0.25">
      <c r="A131" s="2">
        <v>130</v>
      </c>
      <c r="B131" s="2">
        <v>353</v>
      </c>
      <c r="C131" s="2">
        <v>6.8</v>
      </c>
      <c r="D131" s="2">
        <v>0.6</v>
      </c>
      <c r="E131" s="2">
        <v>80</v>
      </c>
      <c r="F131" s="2" t="s">
        <v>264</v>
      </c>
      <c r="G131" s="2" t="s">
        <v>265</v>
      </c>
    </row>
    <row r="132" spans="1:7" ht="180" x14ac:dyDescent="0.25">
      <c r="A132" s="2">
        <v>131</v>
      </c>
      <c r="B132" s="2">
        <v>335</v>
      </c>
      <c r="C132" s="2">
        <v>7.4</v>
      </c>
      <c r="D132" s="2">
        <v>1.9</v>
      </c>
      <c r="E132" s="2">
        <v>76.2</v>
      </c>
      <c r="F132" s="2" t="s">
        <v>266</v>
      </c>
      <c r="G132" s="2" t="s">
        <v>267</v>
      </c>
    </row>
    <row r="133" spans="1:7" ht="360" x14ac:dyDescent="0.25">
      <c r="A133" s="2">
        <v>132</v>
      </c>
      <c r="B133" s="2">
        <v>363</v>
      </c>
      <c r="C133" s="2">
        <v>7.6</v>
      </c>
      <c r="D133" s="2">
        <v>1.1000000000000001</v>
      </c>
      <c r="E133" s="2">
        <v>78.3</v>
      </c>
      <c r="F133" s="2" t="s">
        <v>268</v>
      </c>
      <c r="G133" s="2" t="s">
        <v>269</v>
      </c>
    </row>
    <row r="134" spans="1:7" ht="210" x14ac:dyDescent="0.25">
      <c r="A134" s="2">
        <v>133</v>
      </c>
      <c r="B134" s="2">
        <v>344</v>
      </c>
      <c r="C134" s="2">
        <v>1.1000000000000001</v>
      </c>
      <c r="D134" s="2">
        <v>0.2</v>
      </c>
      <c r="E134" s="2">
        <v>28.3</v>
      </c>
      <c r="F134" s="2" t="s">
        <v>270</v>
      </c>
      <c r="G134" s="2" t="s">
        <v>271</v>
      </c>
    </row>
    <row r="135" spans="1:7" ht="120" x14ac:dyDescent="0.25">
      <c r="A135" s="2">
        <v>134</v>
      </c>
      <c r="B135" s="2">
        <v>354</v>
      </c>
      <c r="C135" s="2">
        <v>7.8</v>
      </c>
      <c r="D135" s="2">
        <v>0.4</v>
      </c>
      <c r="E135" s="2">
        <v>79.900000000000006</v>
      </c>
      <c r="F135" s="2" t="s">
        <v>272</v>
      </c>
      <c r="G135" s="2" t="s">
        <v>273</v>
      </c>
    </row>
    <row r="136" spans="1:7" ht="255" x14ac:dyDescent="0.25">
      <c r="A136" s="2">
        <v>135</v>
      </c>
      <c r="B136" s="2">
        <v>352</v>
      </c>
      <c r="C136" s="2">
        <v>7.3</v>
      </c>
      <c r="D136" s="2">
        <v>0.9</v>
      </c>
      <c r="E136" s="2">
        <v>76.2</v>
      </c>
      <c r="F136" s="2" t="s">
        <v>274</v>
      </c>
      <c r="G136" s="2" t="s">
        <v>275</v>
      </c>
    </row>
    <row r="137" spans="1:7" ht="210" x14ac:dyDescent="0.25">
      <c r="A137" s="2">
        <v>136</v>
      </c>
      <c r="B137" s="2">
        <v>145</v>
      </c>
      <c r="C137" s="2">
        <v>16.3</v>
      </c>
      <c r="D137" s="2">
        <v>7</v>
      </c>
      <c r="E137" s="2">
        <v>4.0999999999999996</v>
      </c>
      <c r="F137" s="2" t="s">
        <v>276</v>
      </c>
      <c r="G137" s="2" t="s">
        <v>277</v>
      </c>
    </row>
    <row r="138" spans="1:7" ht="150" x14ac:dyDescent="0.25">
      <c r="A138" s="2">
        <v>137</v>
      </c>
      <c r="B138" s="2">
        <v>360</v>
      </c>
      <c r="C138" s="2">
        <v>4.7</v>
      </c>
      <c r="D138" s="2">
        <v>0.1</v>
      </c>
      <c r="E138" s="2">
        <v>82.1</v>
      </c>
      <c r="F138" s="2" t="s">
        <v>278</v>
      </c>
      <c r="G138" s="2" t="s">
        <v>279</v>
      </c>
    </row>
    <row r="139" spans="1:7" ht="315" x14ac:dyDescent="0.25">
      <c r="A139" s="2">
        <v>138</v>
      </c>
      <c r="B139" s="2">
        <v>154</v>
      </c>
      <c r="C139" s="2">
        <v>3</v>
      </c>
      <c r="D139" s="2">
        <v>4.5</v>
      </c>
      <c r="E139" s="2">
        <v>25.5</v>
      </c>
      <c r="F139" s="2" t="s">
        <v>280</v>
      </c>
      <c r="G139" s="2" t="s">
        <v>281</v>
      </c>
    </row>
    <row r="140" spans="1:7" ht="150" x14ac:dyDescent="0.25">
      <c r="A140" s="2">
        <v>139</v>
      </c>
      <c r="B140" s="2">
        <v>381</v>
      </c>
      <c r="C140" s="2">
        <v>6.1</v>
      </c>
      <c r="D140" s="2">
        <v>3.9</v>
      </c>
      <c r="E140" s="2">
        <v>80.3</v>
      </c>
      <c r="F140" s="2" t="s">
        <v>282</v>
      </c>
      <c r="G140" s="2" t="s">
        <v>283</v>
      </c>
    </row>
    <row r="141" spans="1:7" ht="195" x14ac:dyDescent="0.25">
      <c r="A141" s="2">
        <v>140</v>
      </c>
      <c r="B141" s="2">
        <v>354</v>
      </c>
      <c r="C141" s="2">
        <v>0.5</v>
      </c>
      <c r="D141" s="2">
        <v>0.3</v>
      </c>
      <c r="E141" s="2">
        <v>87.4</v>
      </c>
      <c r="F141" s="2" t="s">
        <v>284</v>
      </c>
      <c r="G141" s="2" t="s">
        <v>285</v>
      </c>
    </row>
    <row r="142" spans="1:7" ht="240" x14ac:dyDescent="0.25">
      <c r="A142" s="2">
        <v>141</v>
      </c>
      <c r="B142" s="2">
        <v>348</v>
      </c>
      <c r="C142" s="2">
        <v>4.7</v>
      </c>
      <c r="D142" s="2">
        <v>0.1</v>
      </c>
      <c r="E142" s="2">
        <v>82.1</v>
      </c>
      <c r="F142" s="2" t="s">
        <v>286</v>
      </c>
      <c r="G142" s="2" t="s">
        <v>287</v>
      </c>
    </row>
    <row r="143" spans="1:7" ht="285" x14ac:dyDescent="0.25">
      <c r="A143" s="2">
        <v>142</v>
      </c>
      <c r="B143" s="2">
        <v>562</v>
      </c>
      <c r="C143" s="2">
        <v>21.2</v>
      </c>
      <c r="D143" s="2">
        <v>49.6</v>
      </c>
      <c r="E143" s="2">
        <v>23.6</v>
      </c>
      <c r="F143" s="2" t="s">
        <v>288</v>
      </c>
      <c r="G143" s="2" t="s">
        <v>289</v>
      </c>
    </row>
    <row r="144" spans="1:7" ht="135" x14ac:dyDescent="0.25">
      <c r="A144" s="2">
        <v>143</v>
      </c>
      <c r="B144" s="2">
        <v>629</v>
      </c>
      <c r="C144" s="2">
        <v>21.5</v>
      </c>
      <c r="D144" s="2">
        <v>56.6</v>
      </c>
      <c r="E144" s="2">
        <v>19.8</v>
      </c>
      <c r="F144" s="2" t="s">
        <v>290</v>
      </c>
      <c r="G144" s="2" t="s">
        <v>291</v>
      </c>
    </row>
    <row r="145" spans="1:7" ht="240" x14ac:dyDescent="0.25">
      <c r="A145" s="2">
        <v>144</v>
      </c>
      <c r="B145" s="2">
        <v>262</v>
      </c>
      <c r="C145" s="2">
        <v>2.2999999999999998</v>
      </c>
      <c r="D145" s="2">
        <v>5.4</v>
      </c>
      <c r="E145" s="2">
        <v>51.1</v>
      </c>
      <c r="F145" s="2" t="s">
        <v>292</v>
      </c>
      <c r="G145" s="2" t="s">
        <v>293</v>
      </c>
    </row>
    <row r="146" spans="1:7" ht="150" x14ac:dyDescent="0.25">
      <c r="A146" s="2">
        <v>145</v>
      </c>
      <c r="B146" s="2">
        <v>199</v>
      </c>
      <c r="C146" s="2">
        <v>2.1</v>
      </c>
      <c r="D146" s="2">
        <v>1.5</v>
      </c>
      <c r="E146" s="2">
        <v>44.4</v>
      </c>
      <c r="F146" s="2" t="s">
        <v>294</v>
      </c>
      <c r="G146" s="2" t="s">
        <v>295</v>
      </c>
    </row>
    <row r="147" spans="1:7" ht="180" x14ac:dyDescent="0.25">
      <c r="A147" s="2">
        <v>146</v>
      </c>
      <c r="B147" s="2">
        <v>225.7</v>
      </c>
      <c r="C147" s="2">
        <v>3</v>
      </c>
      <c r="D147" s="2">
        <v>0.3</v>
      </c>
      <c r="E147" s="2">
        <v>52.9</v>
      </c>
      <c r="F147" s="2" t="s">
        <v>296</v>
      </c>
      <c r="G147" s="2" t="s">
        <v>297</v>
      </c>
    </row>
    <row r="148" spans="1:7" ht="409.5" x14ac:dyDescent="0.25">
      <c r="A148" s="2">
        <v>147</v>
      </c>
      <c r="B148" s="2">
        <v>48</v>
      </c>
      <c r="C148" s="2">
        <v>0.6</v>
      </c>
      <c r="D148" s="2">
        <v>0</v>
      </c>
      <c r="E148" s="2">
        <v>4.4000000000000004</v>
      </c>
      <c r="F148" s="2" t="s">
        <v>298</v>
      </c>
      <c r="G148" s="2" t="s">
        <v>299</v>
      </c>
    </row>
    <row r="149" spans="1:7" ht="255" x14ac:dyDescent="0.25">
      <c r="A149" s="2">
        <v>148</v>
      </c>
      <c r="B149" s="2">
        <v>458</v>
      </c>
      <c r="C149" s="2">
        <v>6.9</v>
      </c>
      <c r="D149" s="2">
        <v>14.4</v>
      </c>
      <c r="E149" s="2">
        <v>75.099999999999994</v>
      </c>
      <c r="F149" s="2" t="s">
        <v>300</v>
      </c>
      <c r="G149" s="2" t="s">
        <v>301</v>
      </c>
    </row>
    <row r="150" spans="1:7" ht="255" x14ac:dyDescent="0.25">
      <c r="A150" s="2">
        <v>149</v>
      </c>
      <c r="B150" s="2">
        <v>42</v>
      </c>
      <c r="C150" s="2">
        <v>1.6</v>
      </c>
      <c r="D150" s="2">
        <v>0.1</v>
      </c>
      <c r="E150" s="2">
        <v>9.6</v>
      </c>
      <c r="F150" s="2" t="s">
        <v>302</v>
      </c>
      <c r="G150" s="2" t="s">
        <v>303</v>
      </c>
    </row>
    <row r="151" spans="1:7" ht="240" x14ac:dyDescent="0.25">
      <c r="A151" s="2">
        <v>150</v>
      </c>
      <c r="B151" s="2">
        <v>51</v>
      </c>
      <c r="C151" s="2">
        <v>0.3</v>
      </c>
      <c r="D151" s="2">
        <v>0.1</v>
      </c>
      <c r="E151" s="2">
        <v>12.1</v>
      </c>
      <c r="F151" s="2" t="s">
        <v>304</v>
      </c>
      <c r="G151" s="2" t="s">
        <v>305</v>
      </c>
    </row>
    <row r="152" spans="1:7" ht="180" x14ac:dyDescent="0.25">
      <c r="A152" s="2">
        <v>151</v>
      </c>
      <c r="B152" s="2">
        <v>43</v>
      </c>
      <c r="C152" s="2">
        <v>2.6</v>
      </c>
      <c r="D152" s="2">
        <v>0</v>
      </c>
      <c r="E152" s="2">
        <v>11.6</v>
      </c>
      <c r="F152" s="2" t="s">
        <v>306</v>
      </c>
      <c r="G152" s="2" t="s">
        <v>307</v>
      </c>
    </row>
    <row r="153" spans="1:7" ht="240" x14ac:dyDescent="0.25">
      <c r="A153" s="2">
        <v>152</v>
      </c>
      <c r="B153" s="2">
        <v>245</v>
      </c>
      <c r="C153" s="2">
        <v>3.4</v>
      </c>
      <c r="D153" s="2">
        <v>0</v>
      </c>
      <c r="E153" s="2">
        <v>66.2</v>
      </c>
      <c r="F153" s="2" t="s">
        <v>308</v>
      </c>
      <c r="G153" s="2" t="s">
        <v>309</v>
      </c>
    </row>
    <row r="154" spans="1:7" ht="120" x14ac:dyDescent="0.25">
      <c r="A154" s="2">
        <v>153</v>
      </c>
      <c r="B154" s="2">
        <v>119</v>
      </c>
      <c r="C154" s="2">
        <v>4.4000000000000004</v>
      </c>
      <c r="D154" s="2">
        <v>3.5</v>
      </c>
      <c r="E154" s="2">
        <v>18.3</v>
      </c>
      <c r="F154" s="2" t="s">
        <v>310</v>
      </c>
      <c r="G154" s="2" t="s">
        <v>311</v>
      </c>
    </row>
    <row r="155" spans="1:7" ht="225" x14ac:dyDescent="0.25">
      <c r="A155" s="2">
        <v>154</v>
      </c>
      <c r="B155" s="2">
        <v>23</v>
      </c>
      <c r="C155" s="2">
        <v>1</v>
      </c>
      <c r="D155" s="2">
        <v>0.8</v>
      </c>
      <c r="E155" s="2">
        <v>7.2</v>
      </c>
      <c r="F155" s="2" t="s">
        <v>312</v>
      </c>
      <c r="G155" s="2" t="s">
        <v>313</v>
      </c>
    </row>
    <row r="156" spans="1:7" ht="120" x14ac:dyDescent="0.25">
      <c r="A156" s="2">
        <v>155</v>
      </c>
      <c r="B156" s="2">
        <v>22</v>
      </c>
      <c r="C156" s="2">
        <v>1</v>
      </c>
      <c r="D156" s="2">
        <v>0.3</v>
      </c>
      <c r="E156" s="2">
        <v>4.7</v>
      </c>
      <c r="F156" s="2" t="s">
        <v>314</v>
      </c>
      <c r="G156" s="2" t="s">
        <v>315</v>
      </c>
    </row>
    <row r="157" spans="1:7" ht="135" x14ac:dyDescent="0.25">
      <c r="A157" s="2">
        <v>156</v>
      </c>
      <c r="B157" s="2">
        <v>186</v>
      </c>
      <c r="C157" s="2">
        <v>11.7</v>
      </c>
      <c r="D157" s="2">
        <v>9.6999999999999993</v>
      </c>
      <c r="E157" s="2">
        <v>13</v>
      </c>
      <c r="F157" s="2" t="s">
        <v>316</v>
      </c>
      <c r="G157" s="2" t="s">
        <v>317</v>
      </c>
    </row>
    <row r="158" spans="1:7" ht="135" x14ac:dyDescent="0.25">
      <c r="A158" s="2">
        <v>157</v>
      </c>
      <c r="B158" s="2">
        <v>249</v>
      </c>
      <c r="C158" s="2">
        <v>3.4</v>
      </c>
      <c r="D158" s="2">
        <v>0.4</v>
      </c>
      <c r="E158" s="2">
        <v>58</v>
      </c>
      <c r="F158" s="2" t="s">
        <v>318</v>
      </c>
      <c r="G158" s="2" t="s">
        <v>319</v>
      </c>
    </row>
    <row r="159" spans="1:7" ht="240" x14ac:dyDescent="0.25">
      <c r="A159" s="2">
        <v>158</v>
      </c>
      <c r="B159" s="2">
        <v>400</v>
      </c>
      <c r="C159" s="2">
        <v>4</v>
      </c>
      <c r="D159" s="2">
        <v>0.7</v>
      </c>
      <c r="E159" s="2">
        <v>95.3</v>
      </c>
      <c r="F159" s="2" t="s">
        <v>320</v>
      </c>
      <c r="G159" s="2" t="s">
        <v>321</v>
      </c>
    </row>
    <row r="160" spans="1:7" ht="240" x14ac:dyDescent="0.25">
      <c r="A160" s="2">
        <v>159</v>
      </c>
      <c r="B160" s="2">
        <v>141</v>
      </c>
      <c r="C160" s="2">
        <v>15.3</v>
      </c>
      <c r="D160" s="2">
        <v>3.3</v>
      </c>
      <c r="E160" s="2">
        <v>12.6</v>
      </c>
      <c r="F160" s="2" t="s">
        <v>322</v>
      </c>
      <c r="G160" s="2" t="s">
        <v>323</v>
      </c>
    </row>
    <row r="161" spans="1:7" ht="135" x14ac:dyDescent="0.25">
      <c r="A161" s="2">
        <v>160</v>
      </c>
      <c r="B161" s="2">
        <v>23</v>
      </c>
      <c r="C161" s="2">
        <v>0.8</v>
      </c>
      <c r="D161" s="2">
        <v>0.2</v>
      </c>
      <c r="E161" s="2">
        <v>5.2</v>
      </c>
      <c r="F161" s="2" t="s">
        <v>324</v>
      </c>
      <c r="G161" s="2" t="s">
        <v>325</v>
      </c>
    </row>
    <row r="162" spans="1:7" ht="210" x14ac:dyDescent="0.25">
      <c r="A162" s="2">
        <v>161</v>
      </c>
      <c r="B162" s="2">
        <v>110</v>
      </c>
      <c r="C162" s="2">
        <v>1.4</v>
      </c>
      <c r="D162" s="2">
        <v>2.1</v>
      </c>
      <c r="E162" s="2">
        <v>21.4</v>
      </c>
      <c r="F162" s="2" t="s">
        <v>326</v>
      </c>
      <c r="G162" s="2" t="s">
        <v>327</v>
      </c>
    </row>
    <row r="163" spans="1:7" ht="120" x14ac:dyDescent="0.25">
      <c r="A163" s="2">
        <v>162</v>
      </c>
      <c r="B163" s="2">
        <v>38</v>
      </c>
      <c r="C163" s="2">
        <v>1.5</v>
      </c>
      <c r="D163" s="2">
        <v>0.2</v>
      </c>
      <c r="E163" s="2">
        <v>7.5</v>
      </c>
      <c r="F163" s="2" t="s">
        <v>328</v>
      </c>
      <c r="G163" s="2" t="s">
        <v>329</v>
      </c>
    </row>
    <row r="164" spans="1:7" ht="225" x14ac:dyDescent="0.25">
      <c r="A164" s="2">
        <v>163</v>
      </c>
      <c r="B164" s="2">
        <v>264</v>
      </c>
      <c r="C164" s="2">
        <v>4</v>
      </c>
      <c r="D164" s="2">
        <v>1.1000000000000001</v>
      </c>
      <c r="E164" s="2">
        <v>59.6</v>
      </c>
      <c r="F164" s="2" t="s">
        <v>330</v>
      </c>
      <c r="G164" s="2" t="s">
        <v>331</v>
      </c>
    </row>
    <row r="165" spans="1:7" ht="345" x14ac:dyDescent="0.25">
      <c r="A165" s="2">
        <v>164</v>
      </c>
      <c r="B165" s="2">
        <v>39</v>
      </c>
      <c r="C165" s="2">
        <v>0.7</v>
      </c>
      <c r="D165" s="2">
        <v>0.2</v>
      </c>
      <c r="E165" s="2">
        <v>9.6999999999999993</v>
      </c>
      <c r="F165" s="2" t="s">
        <v>332</v>
      </c>
      <c r="G165" s="2" t="s">
        <v>333</v>
      </c>
    </row>
    <row r="166" spans="1:7" ht="165" x14ac:dyDescent="0.25">
      <c r="A166" s="2">
        <v>165</v>
      </c>
      <c r="B166" s="2">
        <v>87</v>
      </c>
      <c r="C166" s="2">
        <v>2.6</v>
      </c>
      <c r="D166" s="2">
        <v>2.7</v>
      </c>
      <c r="E166" s="2">
        <v>13.1</v>
      </c>
      <c r="F166" s="2" t="s">
        <v>334</v>
      </c>
      <c r="G166" s="2" t="s">
        <v>335</v>
      </c>
    </row>
    <row r="167" spans="1:7" ht="300" x14ac:dyDescent="0.25">
      <c r="A167" s="2">
        <v>166</v>
      </c>
      <c r="B167" s="2">
        <v>71</v>
      </c>
      <c r="C167" s="2">
        <v>1.7</v>
      </c>
      <c r="D167" s="2">
        <v>3.1</v>
      </c>
      <c r="E167" s="2">
        <v>9.1</v>
      </c>
      <c r="F167" s="2" t="s">
        <v>336</v>
      </c>
      <c r="G167" s="2" t="s">
        <v>337</v>
      </c>
    </row>
    <row r="168" spans="1:7" ht="120" x14ac:dyDescent="0.25">
      <c r="A168" s="2">
        <v>167</v>
      </c>
      <c r="B168" s="2">
        <v>56</v>
      </c>
      <c r="C168" s="2">
        <v>0.8</v>
      </c>
      <c r="D168" s="2">
        <v>1</v>
      </c>
      <c r="E168" s="2">
        <v>10.9</v>
      </c>
      <c r="F168" s="2" t="s">
        <v>338</v>
      </c>
      <c r="G168" s="2" t="s">
        <v>339</v>
      </c>
    </row>
    <row r="169" spans="1:7" ht="270" x14ac:dyDescent="0.25">
      <c r="A169" s="2">
        <v>168</v>
      </c>
      <c r="B169" s="2">
        <v>55</v>
      </c>
      <c r="C169" s="2">
        <v>1.2</v>
      </c>
      <c r="D169" s="2">
        <v>0.1</v>
      </c>
      <c r="E169" s="2">
        <v>12.2</v>
      </c>
      <c r="F169" s="2" t="s">
        <v>340</v>
      </c>
      <c r="G169" s="2" t="s">
        <v>341</v>
      </c>
    </row>
    <row r="170" spans="1:7" ht="315" x14ac:dyDescent="0.25">
      <c r="A170" s="2">
        <v>169</v>
      </c>
      <c r="B170" s="2">
        <v>101</v>
      </c>
      <c r="C170" s="2">
        <v>1.7</v>
      </c>
      <c r="D170" s="2">
        <v>0.6</v>
      </c>
      <c r="E170" s="2">
        <v>25.2</v>
      </c>
      <c r="F170" s="2" t="s">
        <v>342</v>
      </c>
      <c r="G170" s="2" t="s">
        <v>343</v>
      </c>
    </row>
    <row r="171" spans="1:7" ht="210" x14ac:dyDescent="0.25">
      <c r="A171" s="2">
        <v>170</v>
      </c>
      <c r="B171" s="2">
        <v>78</v>
      </c>
      <c r="C171" s="2">
        <v>0.6</v>
      </c>
      <c r="D171" s="2">
        <v>0.3</v>
      </c>
      <c r="E171" s="2">
        <v>18.2</v>
      </c>
      <c r="F171" s="2" t="s">
        <v>344</v>
      </c>
      <c r="G171" s="2" t="s">
        <v>345</v>
      </c>
    </row>
    <row r="172" spans="1:7" ht="120" x14ac:dyDescent="0.25">
      <c r="A172" s="2">
        <v>171</v>
      </c>
      <c r="B172" s="2">
        <v>113</v>
      </c>
      <c r="C172" s="2">
        <v>0.8</v>
      </c>
      <c r="D172" s="2">
        <v>0.3</v>
      </c>
      <c r="E172" s="2">
        <v>26.8</v>
      </c>
      <c r="F172" s="2" t="s">
        <v>346</v>
      </c>
      <c r="G172" s="2" t="s">
        <v>347</v>
      </c>
    </row>
    <row r="173" spans="1:7" ht="240" x14ac:dyDescent="0.25">
      <c r="A173" s="2">
        <v>172</v>
      </c>
      <c r="B173" s="2">
        <v>29</v>
      </c>
      <c r="C173" s="2">
        <v>2.1</v>
      </c>
      <c r="D173" s="2">
        <v>0.7</v>
      </c>
      <c r="E173" s="2">
        <v>3.6</v>
      </c>
      <c r="F173" s="2" t="s">
        <v>348</v>
      </c>
      <c r="G173" s="2" t="s">
        <v>349</v>
      </c>
    </row>
    <row r="174" spans="1:7" ht="165" x14ac:dyDescent="0.25">
      <c r="A174" s="2">
        <v>173</v>
      </c>
      <c r="B174" s="2">
        <v>67</v>
      </c>
      <c r="C174" s="2">
        <v>0.4</v>
      </c>
      <c r="D174" s="2">
        <v>0.2</v>
      </c>
      <c r="E174" s="2">
        <v>15.9</v>
      </c>
      <c r="F174" s="2" t="s">
        <v>350</v>
      </c>
      <c r="G174" s="2" t="s">
        <v>351</v>
      </c>
    </row>
    <row r="175" spans="1:7" ht="120" x14ac:dyDescent="0.25">
      <c r="A175" s="2">
        <v>174</v>
      </c>
      <c r="B175" s="2">
        <v>365</v>
      </c>
      <c r="C175" s="2">
        <v>49.6</v>
      </c>
      <c r="D175" s="2">
        <v>4.8</v>
      </c>
      <c r="E175" s="2">
        <v>30.8</v>
      </c>
      <c r="F175" s="2" t="s">
        <v>352</v>
      </c>
      <c r="G175" s="2" t="s">
        <v>353</v>
      </c>
    </row>
    <row r="176" spans="1:7" ht="210" x14ac:dyDescent="0.25">
      <c r="A176" s="2">
        <v>175</v>
      </c>
      <c r="B176" s="2">
        <v>60</v>
      </c>
      <c r="C176" s="2">
        <v>1</v>
      </c>
      <c r="D176" s="2">
        <v>60</v>
      </c>
      <c r="E176" s="2">
        <v>13</v>
      </c>
      <c r="F176" s="2" t="s">
        <v>354</v>
      </c>
      <c r="G176" s="2" t="s">
        <v>355</v>
      </c>
    </row>
    <row r="177" spans="1:7" ht="210" x14ac:dyDescent="0.25">
      <c r="A177" s="2">
        <v>176</v>
      </c>
      <c r="B177" s="2">
        <v>167</v>
      </c>
      <c r="C177" s="2">
        <v>0.2</v>
      </c>
      <c r="D177" s="2">
        <v>4</v>
      </c>
      <c r="E177" s="2">
        <v>33</v>
      </c>
      <c r="F177" s="2" t="s">
        <v>356</v>
      </c>
      <c r="G177" s="2" t="s">
        <v>357</v>
      </c>
    </row>
    <row r="178" spans="1:7" ht="240" x14ac:dyDescent="0.25">
      <c r="A178" s="2">
        <v>177</v>
      </c>
      <c r="B178" s="2">
        <v>156</v>
      </c>
      <c r="C178" s="2">
        <v>2.2999999999999998</v>
      </c>
      <c r="D178" s="2">
        <v>0.2</v>
      </c>
      <c r="E178" s="2">
        <v>15.6</v>
      </c>
      <c r="F178" s="2" t="s">
        <v>358</v>
      </c>
      <c r="G178" s="2" t="s">
        <v>359</v>
      </c>
    </row>
    <row r="179" spans="1:7" ht="225" x14ac:dyDescent="0.25">
      <c r="A179" s="2">
        <v>178</v>
      </c>
      <c r="B179" s="2">
        <v>72</v>
      </c>
      <c r="C179" s="2">
        <v>11.4</v>
      </c>
      <c r="D179" s="2">
        <v>4.9000000000000004</v>
      </c>
      <c r="E179" s="2">
        <v>1.4</v>
      </c>
      <c r="F179" s="2" t="s">
        <v>360</v>
      </c>
      <c r="G179" s="2" t="s">
        <v>361</v>
      </c>
    </row>
    <row r="180" spans="1:7" ht="150" x14ac:dyDescent="0.25">
      <c r="A180" s="2">
        <v>179</v>
      </c>
      <c r="B180" s="2">
        <v>212</v>
      </c>
      <c r="C180" s="2">
        <v>16.899999999999999</v>
      </c>
      <c r="D180" s="2">
        <v>0.2</v>
      </c>
      <c r="E180" s="2">
        <v>47.6</v>
      </c>
      <c r="F180" s="2" t="s">
        <v>362</v>
      </c>
      <c r="G180" s="2" t="s">
        <v>363</v>
      </c>
    </row>
    <row r="181" spans="1:7" ht="180" x14ac:dyDescent="0.25">
      <c r="A181" s="2">
        <v>180</v>
      </c>
      <c r="B181" s="2">
        <v>237</v>
      </c>
      <c r="C181" s="2">
        <v>14.7</v>
      </c>
      <c r="D181" s="2">
        <v>0.2</v>
      </c>
      <c r="E181" s="2">
        <v>56</v>
      </c>
      <c r="F181" s="2" t="s">
        <v>364</v>
      </c>
      <c r="G181" s="2" t="s">
        <v>365</v>
      </c>
    </row>
    <row r="182" spans="1:7" ht="135" x14ac:dyDescent="0.25">
      <c r="A182" s="2">
        <v>181</v>
      </c>
      <c r="B182" s="2">
        <v>35</v>
      </c>
      <c r="C182" s="2">
        <v>2.4</v>
      </c>
      <c r="D182" s="2">
        <v>0.2</v>
      </c>
      <c r="E182" s="2">
        <v>7.7</v>
      </c>
      <c r="F182" s="2" t="s">
        <v>366</v>
      </c>
      <c r="G182" s="2" t="s">
        <v>367</v>
      </c>
    </row>
    <row r="183" spans="1:7" ht="195" x14ac:dyDescent="0.25">
      <c r="A183" s="2">
        <v>182</v>
      </c>
      <c r="B183" s="2">
        <v>60</v>
      </c>
      <c r="C183" s="2">
        <v>5.0999999999999996</v>
      </c>
      <c r="D183" s="2">
        <v>0.5</v>
      </c>
      <c r="E183" s="2">
        <v>8.5</v>
      </c>
      <c r="F183" s="2" t="s">
        <v>368</v>
      </c>
      <c r="G183" s="2" t="s">
        <v>369</v>
      </c>
    </row>
    <row r="184" spans="1:7" ht="330" x14ac:dyDescent="0.25">
      <c r="A184" s="2">
        <v>183</v>
      </c>
      <c r="B184" s="2">
        <v>30</v>
      </c>
      <c r="C184" s="2">
        <v>2.2000000000000002</v>
      </c>
      <c r="D184" s="2">
        <v>0.2</v>
      </c>
      <c r="E184" s="2">
        <v>6.4</v>
      </c>
      <c r="F184" s="2" t="s">
        <v>370</v>
      </c>
      <c r="G184" s="2" t="s">
        <v>371</v>
      </c>
    </row>
    <row r="185" spans="1:7" ht="300" x14ac:dyDescent="0.25">
      <c r="A185" s="2">
        <v>184</v>
      </c>
      <c r="B185" s="2">
        <v>45</v>
      </c>
      <c r="C185" s="2">
        <v>2.6</v>
      </c>
      <c r="D185" s="2">
        <v>0.3</v>
      </c>
      <c r="E185" s="2">
        <v>8.1</v>
      </c>
      <c r="F185" s="2" t="s">
        <v>372</v>
      </c>
      <c r="G185" s="2" t="s">
        <v>373</v>
      </c>
    </row>
    <row r="186" spans="1:7" ht="225" x14ac:dyDescent="0.25">
      <c r="A186" s="2">
        <v>185</v>
      </c>
      <c r="B186" s="2">
        <v>42</v>
      </c>
      <c r="C186" s="2">
        <v>2</v>
      </c>
      <c r="D186" s="2">
        <v>1.1000000000000001</v>
      </c>
      <c r="E186" s="2">
        <v>6.1</v>
      </c>
      <c r="F186" s="2" t="s">
        <v>374</v>
      </c>
      <c r="G186" s="2" t="s">
        <v>375</v>
      </c>
    </row>
    <row r="187" spans="1:7" ht="225" x14ac:dyDescent="0.25">
      <c r="A187" s="2">
        <v>186</v>
      </c>
      <c r="B187" s="2">
        <v>333</v>
      </c>
      <c r="C187" s="2">
        <v>29.3</v>
      </c>
      <c r="D187" s="2">
        <v>3.3</v>
      </c>
      <c r="E187" s="2">
        <v>50</v>
      </c>
      <c r="F187" s="2" t="s">
        <v>376</v>
      </c>
      <c r="G187" s="2" t="s">
        <v>377</v>
      </c>
    </row>
    <row r="188" spans="1:7" ht="210" x14ac:dyDescent="0.25">
      <c r="A188" s="2">
        <v>187</v>
      </c>
      <c r="B188" s="2">
        <v>336</v>
      </c>
      <c r="C188" s="2">
        <v>37.4</v>
      </c>
      <c r="D188" s="2">
        <v>13</v>
      </c>
      <c r="E188" s="2">
        <v>30.5</v>
      </c>
      <c r="F188" s="2" t="s">
        <v>378</v>
      </c>
      <c r="G188" s="2" t="s">
        <v>379</v>
      </c>
    </row>
    <row r="189" spans="1:7" ht="210" x14ac:dyDescent="0.25">
      <c r="A189" s="2">
        <v>188</v>
      </c>
      <c r="B189" s="2">
        <v>368</v>
      </c>
      <c r="C189" s="2">
        <v>23</v>
      </c>
      <c r="D189" s="2">
        <v>15</v>
      </c>
      <c r="E189" s="2">
        <v>40</v>
      </c>
      <c r="F189" s="2" t="s">
        <v>380</v>
      </c>
      <c r="G189" s="2" t="s">
        <v>381</v>
      </c>
    </row>
    <row r="190" spans="1:7" ht="225" x14ac:dyDescent="0.25">
      <c r="A190" s="2">
        <v>189</v>
      </c>
      <c r="B190" s="2">
        <v>106</v>
      </c>
      <c r="C190" s="2">
        <v>4.4000000000000004</v>
      </c>
      <c r="D190" s="2">
        <v>6.3</v>
      </c>
      <c r="E190" s="2">
        <v>7.9</v>
      </c>
      <c r="F190" s="2" t="s">
        <v>382</v>
      </c>
      <c r="G190" s="2" t="s">
        <v>383</v>
      </c>
    </row>
    <row r="191" spans="1:7" ht="270" x14ac:dyDescent="0.25">
      <c r="A191" s="2">
        <v>190</v>
      </c>
      <c r="B191" s="2">
        <v>141</v>
      </c>
      <c r="C191" s="2">
        <v>4.4000000000000004</v>
      </c>
      <c r="D191" s="2">
        <v>10.199999999999999</v>
      </c>
      <c r="E191" s="2">
        <v>8</v>
      </c>
      <c r="F191" s="2" t="s">
        <v>384</v>
      </c>
      <c r="G191" s="2" t="s">
        <v>385</v>
      </c>
    </row>
    <row r="192" spans="1:7" ht="150" x14ac:dyDescent="0.25">
      <c r="A192" s="2">
        <v>191</v>
      </c>
      <c r="B192" s="2">
        <v>125.7</v>
      </c>
      <c r="C192" s="2">
        <v>3.3</v>
      </c>
      <c r="D192" s="2">
        <v>1.9</v>
      </c>
      <c r="E192" s="2">
        <v>23.9</v>
      </c>
      <c r="F192" s="2" t="s">
        <v>386</v>
      </c>
      <c r="G192" s="2" t="s">
        <v>387</v>
      </c>
    </row>
    <row r="193" spans="1:7" ht="180" x14ac:dyDescent="0.25">
      <c r="A193" s="2">
        <v>192</v>
      </c>
      <c r="B193" s="2">
        <v>281</v>
      </c>
      <c r="C193" s="2">
        <v>37.5</v>
      </c>
      <c r="D193" s="2">
        <v>0.3</v>
      </c>
      <c r="E193" s="2">
        <v>32.1</v>
      </c>
      <c r="F193" s="2" t="s">
        <v>388</v>
      </c>
      <c r="G193" s="2" t="s">
        <v>389</v>
      </c>
    </row>
    <row r="194" spans="1:7" ht="135" x14ac:dyDescent="0.25">
      <c r="A194" s="2">
        <v>193</v>
      </c>
      <c r="B194" s="2">
        <v>38</v>
      </c>
      <c r="C194" s="2">
        <v>1.6</v>
      </c>
      <c r="D194" s="2">
        <v>0.8</v>
      </c>
      <c r="E194" s="2">
        <v>6.3</v>
      </c>
      <c r="F194" s="2" t="s">
        <v>390</v>
      </c>
      <c r="G194" s="2" t="s">
        <v>391</v>
      </c>
    </row>
    <row r="195" spans="1:7" ht="120" x14ac:dyDescent="0.25">
      <c r="A195" s="2">
        <v>194</v>
      </c>
      <c r="B195" s="2">
        <v>26</v>
      </c>
      <c r="C195" s="2">
        <v>0.7</v>
      </c>
      <c r="D195" s="2">
        <v>0.3</v>
      </c>
      <c r="E195" s="2">
        <v>5.2</v>
      </c>
      <c r="F195" s="2" t="s">
        <v>392</v>
      </c>
      <c r="G195" s="2" t="s">
        <v>393</v>
      </c>
    </row>
    <row r="196" spans="1:7" ht="270" x14ac:dyDescent="0.25">
      <c r="A196" s="2">
        <v>195</v>
      </c>
      <c r="B196" s="2">
        <v>367</v>
      </c>
      <c r="C196" s="2">
        <v>15.9</v>
      </c>
      <c r="D196" s="2">
        <v>6.2</v>
      </c>
      <c r="E196" s="2">
        <v>61.8</v>
      </c>
      <c r="F196" s="2" t="s">
        <v>394</v>
      </c>
      <c r="G196" s="2" t="s">
        <v>395</v>
      </c>
    </row>
    <row r="197" spans="1:7" ht="150" x14ac:dyDescent="0.25">
      <c r="A197" s="2">
        <v>196</v>
      </c>
      <c r="B197" s="2">
        <v>36</v>
      </c>
      <c r="C197" s="2">
        <v>1</v>
      </c>
      <c r="D197" s="2">
        <v>0.3</v>
      </c>
      <c r="E197" s="2">
        <v>7.3</v>
      </c>
      <c r="F197" s="2" t="s">
        <v>396</v>
      </c>
      <c r="G197" s="2" t="s">
        <v>397</v>
      </c>
    </row>
    <row r="198" spans="1:7" ht="240" x14ac:dyDescent="0.25">
      <c r="A198" s="2">
        <v>197</v>
      </c>
      <c r="B198" s="2">
        <v>120</v>
      </c>
      <c r="C198" s="2">
        <v>4.7</v>
      </c>
      <c r="D198" s="2">
        <v>2.4</v>
      </c>
      <c r="E198" s="2">
        <v>19.899999999999999</v>
      </c>
      <c r="F198" s="2" t="s">
        <v>398</v>
      </c>
      <c r="G198" s="2" t="s">
        <v>399</v>
      </c>
    </row>
    <row r="199" spans="1:7" ht="270" x14ac:dyDescent="0.25">
      <c r="A199" s="2">
        <v>198</v>
      </c>
      <c r="B199" s="2">
        <v>20</v>
      </c>
      <c r="C199" s="2">
        <v>1.7</v>
      </c>
      <c r="D199" s="2">
        <v>0.4</v>
      </c>
      <c r="E199" s="2">
        <v>3.4</v>
      </c>
      <c r="F199" s="2" t="s">
        <v>400</v>
      </c>
      <c r="G199" s="2" t="s">
        <v>401</v>
      </c>
    </row>
    <row r="200" spans="1:7" ht="255" x14ac:dyDescent="0.25">
      <c r="A200" s="2">
        <v>199</v>
      </c>
      <c r="B200" s="2">
        <v>155</v>
      </c>
      <c r="C200" s="2">
        <v>20.100000000000001</v>
      </c>
      <c r="D200" s="2">
        <v>3.8</v>
      </c>
      <c r="E200" s="2">
        <v>10.199999999999999</v>
      </c>
      <c r="F200" s="2" t="s">
        <v>402</v>
      </c>
      <c r="G200" s="2" t="s">
        <v>403</v>
      </c>
    </row>
    <row r="201" spans="1:7" ht="135" x14ac:dyDescent="0.25">
      <c r="A201" s="2">
        <v>200</v>
      </c>
      <c r="B201" s="2">
        <v>323</v>
      </c>
      <c r="C201" s="2">
        <v>4.9000000000000004</v>
      </c>
      <c r="D201" s="2">
        <v>11.5</v>
      </c>
      <c r="E201" s="2">
        <v>50.1</v>
      </c>
      <c r="F201" s="2" t="s">
        <v>404</v>
      </c>
      <c r="G201" s="2" t="s">
        <v>405</v>
      </c>
    </row>
    <row r="202" spans="1:7" ht="270" x14ac:dyDescent="0.25">
      <c r="A202" s="2">
        <v>201</v>
      </c>
      <c r="B202" s="2">
        <v>102</v>
      </c>
      <c r="C202" s="2">
        <v>3.2</v>
      </c>
      <c r="D202" s="2">
        <v>6</v>
      </c>
      <c r="E202" s="2">
        <v>8.6999999999999993</v>
      </c>
      <c r="F202" s="2" t="s">
        <v>406</v>
      </c>
      <c r="G202" s="2" t="s">
        <v>407</v>
      </c>
    </row>
    <row r="203" spans="1:7" ht="120" x14ac:dyDescent="0.25">
      <c r="A203" s="2">
        <v>202</v>
      </c>
      <c r="B203" s="2">
        <v>366</v>
      </c>
      <c r="C203" s="2">
        <v>11</v>
      </c>
      <c r="D203" s="2">
        <v>3.3</v>
      </c>
      <c r="E203" s="2">
        <v>73</v>
      </c>
      <c r="F203" s="2" t="s">
        <v>408</v>
      </c>
      <c r="G203" s="2" t="s">
        <v>409</v>
      </c>
    </row>
    <row r="204" spans="1:7" ht="210" x14ac:dyDescent="0.25">
      <c r="A204" s="2">
        <v>203</v>
      </c>
      <c r="B204" s="2">
        <v>97</v>
      </c>
      <c r="C204" s="2">
        <v>5.8</v>
      </c>
      <c r="D204" s="2">
        <v>6.3</v>
      </c>
      <c r="E204" s="2">
        <v>4.2</v>
      </c>
      <c r="F204" s="2" t="s">
        <v>410</v>
      </c>
      <c r="G204" s="2" t="s">
        <v>411</v>
      </c>
    </row>
    <row r="205" spans="1:7" ht="225" x14ac:dyDescent="0.25">
      <c r="A205" s="2">
        <v>204</v>
      </c>
      <c r="B205" s="2">
        <v>24</v>
      </c>
      <c r="C205" s="2">
        <v>1.9</v>
      </c>
      <c r="D205" s="2">
        <v>0.2</v>
      </c>
      <c r="E205" s="2">
        <v>3.7</v>
      </c>
      <c r="F205" s="2" t="s">
        <v>412</v>
      </c>
      <c r="G205" s="2" t="s">
        <v>413</v>
      </c>
    </row>
    <row r="206" spans="1:7" ht="270" x14ac:dyDescent="0.25">
      <c r="A206" s="2">
        <v>205</v>
      </c>
      <c r="B206" s="2">
        <v>460</v>
      </c>
      <c r="C206" s="2">
        <v>0.8</v>
      </c>
      <c r="D206" s="2">
        <v>18.7</v>
      </c>
      <c r="E206" s="2">
        <v>17.2</v>
      </c>
      <c r="F206" s="2" t="s">
        <v>414</v>
      </c>
      <c r="G206" s="2" t="s">
        <v>415</v>
      </c>
    </row>
    <row r="207" spans="1:7" ht="210" x14ac:dyDescent="0.25">
      <c r="A207" s="2">
        <v>206</v>
      </c>
      <c r="B207" s="2">
        <v>116</v>
      </c>
      <c r="C207" s="2">
        <v>3</v>
      </c>
      <c r="D207" s="2">
        <v>0.4</v>
      </c>
      <c r="E207" s="2">
        <v>28.6</v>
      </c>
      <c r="F207" s="2" t="s">
        <v>416</v>
      </c>
      <c r="G207" s="2" t="s">
        <v>417</v>
      </c>
    </row>
    <row r="208" spans="1:7" ht="120" x14ac:dyDescent="0.25">
      <c r="A208" s="2">
        <v>207</v>
      </c>
      <c r="B208" s="2">
        <v>330</v>
      </c>
      <c r="C208" s="2">
        <v>5.2</v>
      </c>
      <c r="D208" s="2">
        <v>8.9</v>
      </c>
      <c r="E208" s="2">
        <v>57.4</v>
      </c>
      <c r="F208" s="2" t="s">
        <v>418</v>
      </c>
      <c r="G208" s="2" t="s">
        <v>419</v>
      </c>
    </row>
    <row r="209" spans="1:7" ht="405" x14ac:dyDescent="0.25">
      <c r="A209" s="2">
        <v>208</v>
      </c>
      <c r="B209" s="2">
        <v>332</v>
      </c>
      <c r="C209" s="2">
        <v>11</v>
      </c>
      <c r="D209" s="2">
        <v>3.3</v>
      </c>
      <c r="E209" s="2">
        <v>73</v>
      </c>
      <c r="F209" s="2" t="s">
        <v>420</v>
      </c>
      <c r="G209" s="2" t="s">
        <v>421</v>
      </c>
    </row>
    <row r="210" spans="1:7" ht="120" x14ac:dyDescent="0.25">
      <c r="A210" s="2">
        <v>209</v>
      </c>
      <c r="B210" s="2">
        <v>462</v>
      </c>
      <c r="C210" s="2">
        <v>1.2</v>
      </c>
      <c r="D210" s="2">
        <v>20.7</v>
      </c>
      <c r="E210" s="2">
        <v>67.7</v>
      </c>
      <c r="F210" s="2" t="s">
        <v>422</v>
      </c>
      <c r="G210" s="2" t="s">
        <v>423</v>
      </c>
    </row>
    <row r="211" spans="1:7" ht="255" x14ac:dyDescent="0.25">
      <c r="A211" s="2">
        <v>210</v>
      </c>
      <c r="B211" s="2">
        <v>168</v>
      </c>
      <c r="C211" s="2">
        <v>13</v>
      </c>
      <c r="D211" s="2">
        <v>9.6</v>
      </c>
      <c r="E211" s="2">
        <v>7.5</v>
      </c>
      <c r="F211" s="2" t="s">
        <v>424</v>
      </c>
      <c r="G211" s="2" t="s">
        <v>425</v>
      </c>
    </row>
    <row r="212" spans="1:7" ht="165" x14ac:dyDescent="0.25">
      <c r="A212" s="2">
        <v>211</v>
      </c>
      <c r="B212" s="2">
        <v>143</v>
      </c>
      <c r="C212" s="2">
        <v>9.8000000000000007</v>
      </c>
      <c r="D212" s="2">
        <v>1.4</v>
      </c>
      <c r="E212" s="2">
        <v>22.8</v>
      </c>
      <c r="F212" s="2" t="s">
        <v>426</v>
      </c>
      <c r="G212" s="2" t="s">
        <v>351</v>
      </c>
    </row>
    <row r="213" spans="1:7" ht="120" x14ac:dyDescent="0.25">
      <c r="A213" s="2">
        <v>212</v>
      </c>
      <c r="B213" s="2">
        <v>311</v>
      </c>
      <c r="C213" s="2">
        <v>8</v>
      </c>
      <c r="D213" s="2">
        <v>4</v>
      </c>
      <c r="E213" s="2">
        <v>48.9</v>
      </c>
      <c r="F213" s="2" t="s">
        <v>427</v>
      </c>
      <c r="G213" s="2" t="s">
        <v>428</v>
      </c>
    </row>
    <row r="214" spans="1:7" ht="150" x14ac:dyDescent="0.25">
      <c r="A214" s="2">
        <v>213</v>
      </c>
      <c r="B214" s="2">
        <v>472</v>
      </c>
      <c r="C214" s="2">
        <v>2</v>
      </c>
      <c r="D214" s="2">
        <v>29.8</v>
      </c>
      <c r="E214" s="2">
        <v>62.7</v>
      </c>
      <c r="F214" s="2" t="s">
        <v>429</v>
      </c>
      <c r="G214" s="2" t="s">
        <v>430</v>
      </c>
    </row>
    <row r="215" spans="1:7" ht="120" x14ac:dyDescent="0.25">
      <c r="A215" s="2">
        <v>214</v>
      </c>
      <c r="B215" s="2">
        <v>504</v>
      </c>
      <c r="C215" s="2">
        <v>5.5</v>
      </c>
      <c r="D215" s="2">
        <v>52.9</v>
      </c>
      <c r="E215" s="2">
        <v>29.2</v>
      </c>
      <c r="F215" s="2" t="s">
        <v>431</v>
      </c>
      <c r="G215" s="2" t="s">
        <v>432</v>
      </c>
    </row>
    <row r="216" spans="1:7" ht="195" x14ac:dyDescent="0.25">
      <c r="A216" s="2">
        <v>215</v>
      </c>
      <c r="B216" s="2">
        <v>381</v>
      </c>
      <c r="C216" s="2">
        <v>9</v>
      </c>
      <c r="D216" s="2">
        <v>35</v>
      </c>
      <c r="E216" s="2">
        <v>53.6</v>
      </c>
      <c r="F216" s="2" t="s">
        <v>433</v>
      </c>
      <c r="G216" s="2" t="s">
        <v>434</v>
      </c>
    </row>
    <row r="217" spans="1:7" ht="180" x14ac:dyDescent="0.25">
      <c r="A217" s="2">
        <v>216</v>
      </c>
      <c r="B217" s="2">
        <v>210</v>
      </c>
      <c r="C217" s="2">
        <v>1.6</v>
      </c>
      <c r="D217" s="2">
        <v>6.6</v>
      </c>
      <c r="E217" s="2">
        <v>35.799999999999997</v>
      </c>
      <c r="F217" s="2" t="s">
        <v>435</v>
      </c>
      <c r="G217" s="2" t="s">
        <v>436</v>
      </c>
    </row>
    <row r="218" spans="1:7" ht="165" x14ac:dyDescent="0.25">
      <c r="A218" s="2">
        <v>217</v>
      </c>
      <c r="B218" s="2">
        <v>241</v>
      </c>
      <c r="C218" s="2">
        <v>16</v>
      </c>
      <c r="D218" s="2">
        <v>25</v>
      </c>
      <c r="E218" s="2">
        <v>0</v>
      </c>
      <c r="F218" s="2" t="s">
        <v>437</v>
      </c>
      <c r="G218" s="2" t="s">
        <v>438</v>
      </c>
    </row>
    <row r="219" spans="1:7" ht="180" x14ac:dyDescent="0.25">
      <c r="A219" s="2">
        <v>218</v>
      </c>
      <c r="B219" s="2">
        <v>96</v>
      </c>
      <c r="C219" s="2">
        <v>6.8</v>
      </c>
      <c r="D219" s="2">
        <v>5.9</v>
      </c>
      <c r="E219" s="2">
        <v>3.8</v>
      </c>
      <c r="F219" s="2" t="s">
        <v>439</v>
      </c>
      <c r="G219" s="2" t="s">
        <v>440</v>
      </c>
    </row>
    <row r="220" spans="1:7" ht="240" x14ac:dyDescent="0.25">
      <c r="A220" s="2">
        <v>219</v>
      </c>
      <c r="B220" s="2">
        <v>84</v>
      </c>
      <c r="C220" s="2">
        <v>6</v>
      </c>
      <c r="D220" s="2">
        <v>6</v>
      </c>
      <c r="E220" s="2">
        <v>1.4</v>
      </c>
      <c r="F220" s="2" t="s">
        <v>441</v>
      </c>
      <c r="G220" s="2" t="s">
        <v>442</v>
      </c>
    </row>
    <row r="221" spans="1:7" ht="225" x14ac:dyDescent="0.25">
      <c r="A221" s="2">
        <v>220</v>
      </c>
      <c r="B221" s="2">
        <v>145</v>
      </c>
      <c r="C221" s="2">
        <v>27</v>
      </c>
      <c r="D221" s="2">
        <v>2.2999999999999998</v>
      </c>
      <c r="E221" s="2">
        <v>0</v>
      </c>
      <c r="F221" s="2" t="s">
        <v>443</v>
      </c>
      <c r="G221" s="2" t="s">
        <v>444</v>
      </c>
    </row>
    <row r="222" spans="1:7" ht="120" x14ac:dyDescent="0.25">
      <c r="A222" s="2">
        <v>221</v>
      </c>
      <c r="B222" s="2">
        <v>12</v>
      </c>
      <c r="C222" s="2">
        <v>0.1</v>
      </c>
      <c r="D222" s="2">
        <v>0.1</v>
      </c>
      <c r="E222" s="2">
        <v>5</v>
      </c>
      <c r="F222" s="2" t="s">
        <v>445</v>
      </c>
      <c r="G222" s="2" t="s">
        <v>446</v>
      </c>
    </row>
    <row r="223" spans="1:7" ht="240" x14ac:dyDescent="0.25">
      <c r="A223" s="2">
        <v>222</v>
      </c>
      <c r="B223" s="2">
        <v>265</v>
      </c>
      <c r="C223" s="2">
        <v>40.6</v>
      </c>
      <c r="D223" s="2">
        <v>10.1</v>
      </c>
      <c r="E223" s="2">
        <v>0</v>
      </c>
      <c r="F223" s="2" t="s">
        <v>447</v>
      </c>
      <c r="G223" s="2" t="s">
        <v>448</v>
      </c>
    </row>
    <row r="224" spans="1:7" ht="195" x14ac:dyDescent="0.25">
      <c r="A224" s="2">
        <v>223</v>
      </c>
      <c r="B224" s="2">
        <v>75</v>
      </c>
      <c r="C224" s="2">
        <v>16.100000000000001</v>
      </c>
      <c r="D224" s="2">
        <v>0.7</v>
      </c>
      <c r="E224" s="2">
        <v>0.1</v>
      </c>
      <c r="F224" s="2" t="s">
        <v>449</v>
      </c>
      <c r="G224" s="2" t="s">
        <v>450</v>
      </c>
    </row>
    <row r="225" spans="1:7" ht="330" x14ac:dyDescent="0.25">
      <c r="A225" s="2">
        <v>224</v>
      </c>
      <c r="B225" s="2">
        <v>190</v>
      </c>
      <c r="C225" s="2">
        <v>19.100000000000001</v>
      </c>
      <c r="D225" s="2">
        <v>12</v>
      </c>
      <c r="E225" s="2">
        <v>0</v>
      </c>
      <c r="F225" s="2" t="s">
        <v>451</v>
      </c>
      <c r="G225" s="2" t="s">
        <v>452</v>
      </c>
    </row>
    <row r="226" spans="1:7" ht="240" x14ac:dyDescent="0.25">
      <c r="A226" s="2">
        <v>225</v>
      </c>
      <c r="B226" s="2">
        <v>191</v>
      </c>
      <c r="C226" s="2">
        <v>32</v>
      </c>
      <c r="D226" s="2">
        <v>6</v>
      </c>
      <c r="E226" s="2">
        <v>0</v>
      </c>
      <c r="F226" s="2" t="s">
        <v>453</v>
      </c>
      <c r="G226" s="2" t="s">
        <v>454</v>
      </c>
    </row>
    <row r="227" spans="1:7" ht="165" x14ac:dyDescent="0.25">
      <c r="A227" s="2">
        <v>226</v>
      </c>
      <c r="B227" s="2">
        <v>457</v>
      </c>
      <c r="C227" s="2">
        <v>11.6</v>
      </c>
      <c r="D227" s="2">
        <v>45</v>
      </c>
      <c r="E227" s="2">
        <v>0</v>
      </c>
      <c r="F227" s="2" t="s">
        <v>455</v>
      </c>
      <c r="G227" s="2" t="s">
        <v>456</v>
      </c>
    </row>
    <row r="228" spans="1:7" ht="255" x14ac:dyDescent="0.25">
      <c r="A228" s="2">
        <v>227</v>
      </c>
      <c r="B228" s="2">
        <v>376</v>
      </c>
      <c r="C228" s="2">
        <v>14.1</v>
      </c>
      <c r="D228" s="2">
        <v>35</v>
      </c>
      <c r="E228" s="2">
        <v>0</v>
      </c>
      <c r="F228" s="2" t="s">
        <v>457</v>
      </c>
      <c r="G228" s="2" t="s">
        <v>458</v>
      </c>
    </row>
    <row r="229" spans="1:7" ht="150" x14ac:dyDescent="0.25">
      <c r="A229" s="2">
        <v>228</v>
      </c>
      <c r="B229" s="2">
        <v>206</v>
      </c>
      <c r="C229" s="2">
        <v>17.100000000000001</v>
      </c>
      <c r="D229" s="2">
        <v>14.8</v>
      </c>
      <c r="E229" s="2">
        <v>0</v>
      </c>
      <c r="F229" s="2" t="s">
        <v>459</v>
      </c>
      <c r="G229" s="2" t="s">
        <v>460</v>
      </c>
    </row>
    <row r="230" spans="1:7" ht="195" x14ac:dyDescent="0.25">
      <c r="A230" s="2">
        <v>229</v>
      </c>
      <c r="B230" s="2">
        <v>154</v>
      </c>
      <c r="C230" s="2">
        <v>16.600000000000001</v>
      </c>
      <c r="D230" s="2">
        <v>9.1999999999999993</v>
      </c>
      <c r="E230" s="2">
        <v>0</v>
      </c>
      <c r="F230" s="2" t="s">
        <v>461</v>
      </c>
      <c r="G230" s="2" t="s">
        <v>462</v>
      </c>
    </row>
    <row r="231" spans="1:7" ht="240" x14ac:dyDescent="0.25">
      <c r="A231" s="2">
        <v>230</v>
      </c>
      <c r="B231" s="2">
        <v>84</v>
      </c>
      <c r="C231" s="2">
        <v>18.7</v>
      </c>
      <c r="D231" s="2">
        <v>0.5</v>
      </c>
      <c r="E231" s="2">
        <v>0</v>
      </c>
      <c r="F231" s="2" t="s">
        <v>463</v>
      </c>
      <c r="G231" s="2" t="s">
        <v>464</v>
      </c>
    </row>
    <row r="232" spans="1:7" ht="195" x14ac:dyDescent="0.25">
      <c r="A232" s="2">
        <v>231</v>
      </c>
      <c r="B232" s="2">
        <v>118</v>
      </c>
      <c r="C232" s="2">
        <v>18.100000000000001</v>
      </c>
      <c r="D232" s="2">
        <v>4.0999999999999996</v>
      </c>
      <c r="E232" s="2">
        <v>0.9</v>
      </c>
      <c r="F232" s="2" t="s">
        <v>465</v>
      </c>
      <c r="G232" s="2" t="s">
        <v>466</v>
      </c>
    </row>
    <row r="233" spans="1:7" ht="240" x14ac:dyDescent="0.25">
      <c r="A233" s="2">
        <v>232</v>
      </c>
      <c r="B233" s="2">
        <v>207</v>
      </c>
      <c r="C233" s="2">
        <v>18.8</v>
      </c>
      <c r="D233" s="2">
        <v>14</v>
      </c>
      <c r="E233" s="2">
        <v>0</v>
      </c>
      <c r="F233" s="2" t="s">
        <v>467</v>
      </c>
      <c r="G233" s="2" t="s">
        <v>468</v>
      </c>
    </row>
    <row r="234" spans="1:7" ht="225" x14ac:dyDescent="0.25">
      <c r="A234" s="2">
        <v>233</v>
      </c>
      <c r="B234" s="2">
        <v>27</v>
      </c>
      <c r="C234" s="2">
        <v>1.3</v>
      </c>
      <c r="D234" s="2">
        <v>0.6</v>
      </c>
      <c r="E234" s="2">
        <v>4</v>
      </c>
      <c r="F234" s="2" t="s">
        <v>469</v>
      </c>
      <c r="G234" s="2" t="s">
        <v>470</v>
      </c>
    </row>
    <row r="235" spans="1:7" ht="225" x14ac:dyDescent="0.25">
      <c r="A235" s="2">
        <v>234</v>
      </c>
      <c r="B235" s="2">
        <v>29</v>
      </c>
      <c r="C235" s="2">
        <v>1.8</v>
      </c>
      <c r="D235" s="2">
        <v>0.7</v>
      </c>
      <c r="E235" s="2">
        <v>5.2</v>
      </c>
      <c r="F235" s="2" t="s">
        <v>471</v>
      </c>
      <c r="G235" s="2" t="s">
        <v>472</v>
      </c>
    </row>
    <row r="236" spans="1:7" ht="300" x14ac:dyDescent="0.25">
      <c r="A236" s="2">
        <v>235</v>
      </c>
      <c r="B236" s="2">
        <v>41</v>
      </c>
      <c r="C236" s="2">
        <v>2</v>
      </c>
      <c r="D236" s="2">
        <v>0.3</v>
      </c>
      <c r="E236" s="2">
        <v>7.8</v>
      </c>
      <c r="F236" s="2" t="s">
        <v>473</v>
      </c>
      <c r="G236" s="2" t="s">
        <v>474</v>
      </c>
    </row>
    <row r="237" spans="1:7" ht="225" x14ac:dyDescent="0.25">
      <c r="A237" s="2">
        <v>236</v>
      </c>
      <c r="B237" s="2">
        <v>41</v>
      </c>
      <c r="C237" s="2">
        <v>2.7</v>
      </c>
      <c r="D237" s="2">
        <v>1</v>
      </c>
      <c r="E237" s="2">
        <v>7.3</v>
      </c>
      <c r="F237" s="2" t="s">
        <v>475</v>
      </c>
      <c r="G237" s="2" t="s">
        <v>476</v>
      </c>
    </row>
    <row r="238" spans="1:7" ht="165" x14ac:dyDescent="0.25">
      <c r="A238" s="2">
        <v>237</v>
      </c>
      <c r="B238" s="2">
        <v>50</v>
      </c>
      <c r="C238" s="2">
        <v>4.4000000000000004</v>
      </c>
      <c r="D238" s="2">
        <v>1.4</v>
      </c>
      <c r="E238" s="2">
        <v>7.8</v>
      </c>
      <c r="F238" s="2" t="s">
        <v>477</v>
      </c>
      <c r="G238" s="2" t="s">
        <v>478</v>
      </c>
    </row>
    <row r="239" spans="1:7" ht="240" x14ac:dyDescent="0.25">
      <c r="A239" s="2">
        <v>238</v>
      </c>
      <c r="B239" s="2">
        <v>42</v>
      </c>
      <c r="C239" s="2">
        <v>1.8</v>
      </c>
      <c r="D239" s="2">
        <v>0.5</v>
      </c>
      <c r="E239" s="2">
        <v>9.4</v>
      </c>
      <c r="F239" s="2" t="s">
        <v>479</v>
      </c>
      <c r="G239" s="2" t="s">
        <v>480</v>
      </c>
    </row>
    <row r="240" spans="1:7" ht="330" x14ac:dyDescent="0.25">
      <c r="A240" s="2">
        <v>239</v>
      </c>
      <c r="B240" s="2">
        <v>122</v>
      </c>
      <c r="C240" s="2">
        <v>6</v>
      </c>
      <c r="D240" s="2">
        <v>1</v>
      </c>
      <c r="E240" s="2">
        <v>26</v>
      </c>
      <c r="F240" s="2" t="s">
        <v>481</v>
      </c>
      <c r="G240" s="2" t="s">
        <v>482</v>
      </c>
    </row>
    <row r="241" spans="1:7" ht="165" x14ac:dyDescent="0.25">
      <c r="A241" s="2">
        <v>240</v>
      </c>
      <c r="B241" s="2">
        <v>60</v>
      </c>
      <c r="C241" s="2">
        <v>3.1</v>
      </c>
      <c r="D241" s="2">
        <v>0.3</v>
      </c>
      <c r="E241" s="2">
        <v>14</v>
      </c>
      <c r="F241" s="2" t="s">
        <v>483</v>
      </c>
      <c r="G241" s="2" t="s">
        <v>484</v>
      </c>
    </row>
    <row r="242" spans="1:7" ht="285" x14ac:dyDescent="0.25">
      <c r="A242" s="2">
        <v>241</v>
      </c>
      <c r="B242" s="2">
        <v>58</v>
      </c>
      <c r="C242" s="2">
        <v>2.9</v>
      </c>
      <c r="D242" s="2">
        <v>0.7</v>
      </c>
      <c r="E242" s="2">
        <v>10</v>
      </c>
      <c r="F242" s="2" t="s">
        <v>485</v>
      </c>
      <c r="G242" s="2" t="s">
        <v>486</v>
      </c>
    </row>
    <row r="243" spans="1:7" ht="285" x14ac:dyDescent="0.25">
      <c r="A243" s="2">
        <v>242</v>
      </c>
      <c r="B243" s="2">
        <v>30</v>
      </c>
      <c r="C243" s="2">
        <v>1.3</v>
      </c>
      <c r="D243" s="2">
        <v>0.7</v>
      </c>
      <c r="E243" s="2">
        <v>5.8</v>
      </c>
      <c r="F243" s="2" t="s">
        <v>487</v>
      </c>
      <c r="G243" s="2" t="s">
        <v>488</v>
      </c>
    </row>
    <row r="244" spans="1:7" ht="135" x14ac:dyDescent="0.25">
      <c r="A244" s="2">
        <v>243</v>
      </c>
      <c r="B244" s="2">
        <v>50</v>
      </c>
      <c r="C244" s="2">
        <v>4.5999999999999996</v>
      </c>
      <c r="D244" s="2">
        <v>0.9</v>
      </c>
      <c r="E244" s="2">
        <v>7</v>
      </c>
      <c r="F244" s="2" t="s">
        <v>489</v>
      </c>
      <c r="G244" s="2" t="s">
        <v>490</v>
      </c>
    </row>
    <row r="245" spans="1:7" ht="135" x14ac:dyDescent="0.25">
      <c r="A245" s="2">
        <v>244</v>
      </c>
      <c r="B245" s="2">
        <v>62</v>
      </c>
      <c r="C245" s="2">
        <v>4.2</v>
      </c>
      <c r="D245" s="2">
        <v>0.9</v>
      </c>
      <c r="E245" s="2">
        <v>9.1999999999999993</v>
      </c>
      <c r="F245" s="2" t="s">
        <v>491</v>
      </c>
      <c r="G245" s="2" t="s">
        <v>492</v>
      </c>
    </row>
    <row r="246" spans="1:7" ht="225" x14ac:dyDescent="0.25">
      <c r="A246" s="2">
        <v>245</v>
      </c>
      <c r="B246" s="2">
        <v>73</v>
      </c>
      <c r="C246" s="2">
        <v>4.5999999999999996</v>
      </c>
      <c r="D246" s="2">
        <v>0.5</v>
      </c>
      <c r="E246" s="2">
        <v>16.2</v>
      </c>
      <c r="F246" s="2" t="s">
        <v>493</v>
      </c>
      <c r="G246" s="2" t="s">
        <v>494</v>
      </c>
    </row>
    <row r="247" spans="1:7" ht="180" x14ac:dyDescent="0.25">
      <c r="A247" s="2">
        <v>246</v>
      </c>
      <c r="B247" s="2">
        <v>34</v>
      </c>
      <c r="C247" s="2">
        <v>3.8</v>
      </c>
      <c r="D247" s="2">
        <v>0.5</v>
      </c>
      <c r="E247" s="2">
        <v>5.3</v>
      </c>
      <c r="F247" s="2" t="s">
        <v>495</v>
      </c>
      <c r="G247" s="2" t="s">
        <v>496</v>
      </c>
    </row>
    <row r="248" spans="1:7" ht="195" x14ac:dyDescent="0.25">
      <c r="A248" s="2">
        <v>247</v>
      </c>
      <c r="B248" s="2">
        <v>93</v>
      </c>
      <c r="C248" s="2">
        <v>5</v>
      </c>
      <c r="D248" s="2">
        <v>1.3</v>
      </c>
      <c r="E248" s="2">
        <v>15.3</v>
      </c>
      <c r="F248" s="2" t="s">
        <v>497</v>
      </c>
      <c r="G248" s="2" t="s">
        <v>498</v>
      </c>
    </row>
    <row r="249" spans="1:7" ht="210" x14ac:dyDescent="0.25">
      <c r="A249" s="2">
        <v>248</v>
      </c>
      <c r="B249" s="2">
        <v>27</v>
      </c>
      <c r="C249" s="2">
        <v>2.1</v>
      </c>
      <c r="D249" s="2">
        <v>0.7</v>
      </c>
      <c r="E249" s="2">
        <v>4.4000000000000004</v>
      </c>
      <c r="F249" s="2" t="s">
        <v>499</v>
      </c>
      <c r="G249" s="2" t="s">
        <v>500</v>
      </c>
    </row>
    <row r="250" spans="1:7" ht="345" x14ac:dyDescent="0.25">
      <c r="A250" s="2">
        <v>249</v>
      </c>
      <c r="B250" s="2">
        <v>36</v>
      </c>
      <c r="C250" s="2">
        <v>2.9</v>
      </c>
      <c r="D250" s="2">
        <v>0.6</v>
      </c>
      <c r="E250" s="2">
        <v>6.8</v>
      </c>
      <c r="F250" s="2" t="s">
        <v>501</v>
      </c>
      <c r="G250" s="2" t="s">
        <v>502</v>
      </c>
    </row>
    <row r="251" spans="1:7" ht="180" x14ac:dyDescent="0.25">
      <c r="A251" s="2">
        <v>250</v>
      </c>
      <c r="B251" s="2">
        <v>34</v>
      </c>
      <c r="C251" s="2">
        <v>4.0999999999999996</v>
      </c>
      <c r="D251" s="2">
        <v>0.4</v>
      </c>
      <c r="E251" s="2">
        <v>5.8</v>
      </c>
      <c r="F251" s="2" t="s">
        <v>503</v>
      </c>
      <c r="G251" s="2" t="s">
        <v>504</v>
      </c>
    </row>
    <row r="252" spans="1:7" ht="270" x14ac:dyDescent="0.25">
      <c r="A252" s="2">
        <v>251</v>
      </c>
      <c r="B252" s="2">
        <v>40</v>
      </c>
      <c r="C252" s="2">
        <v>3.7</v>
      </c>
      <c r="D252" s="2">
        <v>0.3</v>
      </c>
      <c r="E252" s="2">
        <v>8</v>
      </c>
      <c r="F252" s="2" t="s">
        <v>505</v>
      </c>
      <c r="G252" s="2" t="s">
        <v>506</v>
      </c>
    </row>
    <row r="253" spans="1:7" ht="225" x14ac:dyDescent="0.25">
      <c r="A253" s="2">
        <v>252</v>
      </c>
      <c r="B253" s="2">
        <v>30</v>
      </c>
      <c r="C253" s="2">
        <v>3.1</v>
      </c>
      <c r="D253" s="2">
        <v>0.3</v>
      </c>
      <c r="E253" s="2">
        <v>5.8</v>
      </c>
      <c r="F253" s="2" t="s">
        <v>507</v>
      </c>
      <c r="G253" s="2" t="s">
        <v>508</v>
      </c>
    </row>
    <row r="254" spans="1:7" ht="105" x14ac:dyDescent="0.25">
      <c r="A254" s="2">
        <v>253</v>
      </c>
      <c r="B254" s="2">
        <v>92</v>
      </c>
      <c r="C254" s="2">
        <v>4</v>
      </c>
      <c r="D254" s="2">
        <v>3.6</v>
      </c>
      <c r="E254" s="2">
        <v>10.9</v>
      </c>
      <c r="F254" s="2" t="s">
        <v>509</v>
      </c>
      <c r="G254" s="2" t="s">
        <v>510</v>
      </c>
    </row>
    <row r="255" spans="1:7" ht="135" x14ac:dyDescent="0.25">
      <c r="A255" s="2">
        <v>254</v>
      </c>
      <c r="B255" s="2">
        <v>59</v>
      </c>
      <c r="C255" s="2">
        <v>4.8</v>
      </c>
      <c r="D255" s="2">
        <v>1</v>
      </c>
      <c r="E255" s="2">
        <v>11</v>
      </c>
      <c r="F255" s="2" t="s">
        <v>511</v>
      </c>
      <c r="G255" s="2" t="s">
        <v>512</v>
      </c>
    </row>
    <row r="256" spans="1:7" ht="225" x14ac:dyDescent="0.25">
      <c r="A256" s="2">
        <v>255</v>
      </c>
      <c r="B256" s="2">
        <v>53</v>
      </c>
      <c r="C256" s="2">
        <v>5.3</v>
      </c>
      <c r="D256" s="2">
        <v>0.9</v>
      </c>
      <c r="E256" s="2">
        <v>9.1</v>
      </c>
      <c r="F256" s="2" t="s">
        <v>513</v>
      </c>
      <c r="G256" s="2" t="s">
        <v>514</v>
      </c>
    </row>
    <row r="257" spans="1:7" ht="285" x14ac:dyDescent="0.25">
      <c r="A257" s="2">
        <v>256</v>
      </c>
      <c r="B257" s="2">
        <v>59</v>
      </c>
      <c r="C257" s="2">
        <v>6.4</v>
      </c>
      <c r="D257" s="2">
        <v>1</v>
      </c>
      <c r="E257" s="2">
        <v>9.9</v>
      </c>
      <c r="F257" s="2" t="s">
        <v>515</v>
      </c>
      <c r="G257" s="2" t="s">
        <v>516</v>
      </c>
    </row>
    <row r="258" spans="1:7" ht="330" x14ac:dyDescent="0.25">
      <c r="A258" s="2">
        <v>257</v>
      </c>
      <c r="B258" s="2">
        <v>47</v>
      </c>
      <c r="C258" s="2">
        <v>5</v>
      </c>
      <c r="D258" s="2">
        <v>0.5</v>
      </c>
      <c r="E258" s="2">
        <v>8.5</v>
      </c>
      <c r="F258" s="2" t="s">
        <v>517</v>
      </c>
      <c r="G258" s="2" t="s">
        <v>518</v>
      </c>
    </row>
    <row r="259" spans="1:7" ht="225" x14ac:dyDescent="0.25">
      <c r="A259" s="2">
        <v>258</v>
      </c>
      <c r="B259" s="2">
        <v>59</v>
      </c>
      <c r="C259" s="2">
        <v>2.8</v>
      </c>
      <c r="D259" s="2">
        <v>0.3</v>
      </c>
      <c r="E259" s="2">
        <v>13.4</v>
      </c>
      <c r="F259" s="2" t="s">
        <v>519</v>
      </c>
      <c r="G259" s="2" t="s">
        <v>520</v>
      </c>
    </row>
    <row r="260" spans="1:7" ht="195" x14ac:dyDescent="0.25">
      <c r="A260" s="2">
        <v>259</v>
      </c>
      <c r="B260" s="2">
        <v>82</v>
      </c>
      <c r="C260" s="2">
        <v>6.7</v>
      </c>
      <c r="D260" s="2">
        <v>1.7</v>
      </c>
      <c r="E260" s="2">
        <v>14.3</v>
      </c>
      <c r="F260" s="2" t="s">
        <v>521</v>
      </c>
      <c r="G260" s="2" t="s">
        <v>522</v>
      </c>
    </row>
    <row r="261" spans="1:7" ht="225" x14ac:dyDescent="0.25">
      <c r="A261" s="2">
        <v>260</v>
      </c>
      <c r="B261" s="2">
        <v>61</v>
      </c>
      <c r="C261" s="2">
        <v>6.1</v>
      </c>
      <c r="D261" s="2">
        <v>0.9</v>
      </c>
      <c r="E261" s="2">
        <v>10</v>
      </c>
      <c r="F261" s="2" t="s">
        <v>523</v>
      </c>
      <c r="G261" s="2" t="s">
        <v>524</v>
      </c>
    </row>
    <row r="262" spans="1:7" ht="300" x14ac:dyDescent="0.25">
      <c r="A262" s="2">
        <v>261</v>
      </c>
      <c r="B262" s="2">
        <v>46</v>
      </c>
      <c r="C262" s="2">
        <v>4</v>
      </c>
      <c r="D262" s="2">
        <v>0.5</v>
      </c>
      <c r="E262" s="2">
        <v>8.9</v>
      </c>
      <c r="F262" s="2" t="s">
        <v>525</v>
      </c>
      <c r="G262" s="2" t="s">
        <v>526</v>
      </c>
    </row>
    <row r="263" spans="1:7" ht="165" x14ac:dyDescent="0.25">
      <c r="A263" s="2">
        <v>262</v>
      </c>
      <c r="B263" s="2">
        <v>45</v>
      </c>
      <c r="C263" s="2">
        <v>3.7</v>
      </c>
      <c r="D263" s="2">
        <v>0.5</v>
      </c>
      <c r="E263" s="2">
        <v>6.6</v>
      </c>
      <c r="F263" s="2" t="s">
        <v>527</v>
      </c>
      <c r="G263" s="2" t="s">
        <v>528</v>
      </c>
    </row>
    <row r="264" spans="1:7" ht="135" x14ac:dyDescent="0.25">
      <c r="A264" s="2">
        <v>263</v>
      </c>
      <c r="B264" s="2">
        <v>48</v>
      </c>
      <c r="C264" s="2">
        <v>4.5</v>
      </c>
      <c r="D264" s="2">
        <v>0.8</v>
      </c>
      <c r="E264" s="2">
        <v>9.1</v>
      </c>
      <c r="F264" s="2" t="s">
        <v>529</v>
      </c>
      <c r="G264" s="2" t="s">
        <v>530</v>
      </c>
    </row>
    <row r="265" spans="1:7" ht="240" x14ac:dyDescent="0.25">
      <c r="A265" s="2">
        <v>264</v>
      </c>
      <c r="B265" s="2">
        <v>22</v>
      </c>
      <c r="C265" s="2">
        <v>2.1</v>
      </c>
      <c r="D265" s="2">
        <v>0.5</v>
      </c>
      <c r="E265" s="2">
        <v>3.6</v>
      </c>
      <c r="F265" s="2" t="s">
        <v>531</v>
      </c>
      <c r="G265" s="2" t="s">
        <v>532</v>
      </c>
    </row>
    <row r="266" spans="1:7" ht="165" x14ac:dyDescent="0.25">
      <c r="A266" s="2">
        <v>265</v>
      </c>
      <c r="B266" s="2">
        <v>23</v>
      </c>
      <c r="C266" s="2">
        <v>3</v>
      </c>
      <c r="D266" s="2">
        <v>0.3</v>
      </c>
      <c r="E266" s="2">
        <v>3.7</v>
      </c>
      <c r="F266" s="2" t="s">
        <v>533</v>
      </c>
      <c r="G266" s="2" t="s">
        <v>534</v>
      </c>
    </row>
    <row r="267" spans="1:7" ht="120" x14ac:dyDescent="0.25">
      <c r="A267" s="2">
        <v>266</v>
      </c>
      <c r="B267" s="2">
        <v>51</v>
      </c>
      <c r="C267" s="2">
        <v>2.5</v>
      </c>
      <c r="D267" s="2">
        <v>1.1000000000000001</v>
      </c>
      <c r="E267" s="2">
        <v>8</v>
      </c>
      <c r="F267" s="2" t="s">
        <v>535</v>
      </c>
      <c r="G267" s="2" t="s">
        <v>536</v>
      </c>
    </row>
    <row r="268" spans="1:7" ht="195" x14ac:dyDescent="0.25">
      <c r="A268" s="2">
        <v>267</v>
      </c>
      <c r="B268" s="2">
        <v>14</v>
      </c>
      <c r="C268" s="2">
        <v>1.3</v>
      </c>
      <c r="D268" s="2">
        <v>0.3</v>
      </c>
      <c r="E268" s="2">
        <v>2.2999999999999998</v>
      </c>
      <c r="F268" s="2" t="s">
        <v>537</v>
      </c>
      <c r="G268" s="2" t="s">
        <v>538</v>
      </c>
    </row>
    <row r="269" spans="1:7" ht="135" x14ac:dyDescent="0.25">
      <c r="A269" s="2">
        <v>268</v>
      </c>
      <c r="B269" s="2">
        <v>60</v>
      </c>
      <c r="C269" s="2">
        <v>4</v>
      </c>
      <c r="D269" s="2">
        <v>0.4</v>
      </c>
      <c r="E269" s="2">
        <v>4.7</v>
      </c>
      <c r="F269" s="2" t="s">
        <v>539</v>
      </c>
      <c r="G269" s="2" t="s">
        <v>540</v>
      </c>
    </row>
    <row r="270" spans="1:7" ht="90" x14ac:dyDescent="0.25">
      <c r="A270" s="2">
        <v>269</v>
      </c>
      <c r="B270" s="2">
        <v>30</v>
      </c>
      <c r="C270" s="2">
        <v>3.6</v>
      </c>
      <c r="D270" s="2">
        <v>0.6</v>
      </c>
      <c r="E270" s="2">
        <v>4.5</v>
      </c>
      <c r="F270" s="2" t="s">
        <v>541</v>
      </c>
      <c r="G270" s="2" t="s">
        <v>542</v>
      </c>
    </row>
    <row r="271" spans="1:7" ht="270" x14ac:dyDescent="0.25">
      <c r="A271" s="2">
        <v>270</v>
      </c>
      <c r="B271" s="2">
        <v>87</v>
      </c>
      <c r="C271" s="2">
        <v>8.3000000000000007</v>
      </c>
      <c r="D271" s="2">
        <v>1.8</v>
      </c>
      <c r="E271" s="2">
        <v>14.4</v>
      </c>
      <c r="F271" s="2" t="s">
        <v>543</v>
      </c>
      <c r="G271" s="2" t="s">
        <v>544</v>
      </c>
    </row>
    <row r="272" spans="1:7" ht="225" x14ac:dyDescent="0.25">
      <c r="A272" s="2">
        <v>271</v>
      </c>
      <c r="B272" s="2">
        <v>76</v>
      </c>
      <c r="C272" s="2">
        <v>2.8</v>
      </c>
      <c r="D272" s="2">
        <v>0.2</v>
      </c>
      <c r="E272" s="2">
        <v>15.8</v>
      </c>
      <c r="F272" s="2" t="s">
        <v>545</v>
      </c>
      <c r="G272" s="2" t="s">
        <v>546</v>
      </c>
    </row>
    <row r="273" spans="1:7" ht="150" x14ac:dyDescent="0.25">
      <c r="A273" s="2">
        <v>272</v>
      </c>
      <c r="B273" s="2">
        <v>45</v>
      </c>
      <c r="C273" s="2">
        <v>4.7</v>
      </c>
      <c r="D273" s="2">
        <v>0.5</v>
      </c>
      <c r="E273" s="2">
        <v>8.1</v>
      </c>
      <c r="F273" s="2" t="s">
        <v>547</v>
      </c>
      <c r="G273" s="2" t="s">
        <v>548</v>
      </c>
    </row>
    <row r="274" spans="1:7" ht="225" x14ac:dyDescent="0.25">
      <c r="A274" s="2">
        <v>273</v>
      </c>
      <c r="B274" s="2">
        <v>30</v>
      </c>
      <c r="C274" s="2">
        <v>2.2999999999999998</v>
      </c>
      <c r="D274" s="2">
        <v>0.4</v>
      </c>
      <c r="E274" s="2">
        <v>5.8</v>
      </c>
      <c r="F274" s="2" t="s">
        <v>549</v>
      </c>
      <c r="G274" s="2" t="s">
        <v>550</v>
      </c>
    </row>
    <row r="275" spans="1:7" ht="195" x14ac:dyDescent="0.25">
      <c r="A275" s="2">
        <v>274</v>
      </c>
      <c r="B275" s="2">
        <v>40</v>
      </c>
      <c r="C275" s="2">
        <v>3</v>
      </c>
      <c r="D275" s="2">
        <v>0.8</v>
      </c>
      <c r="E275" s="2">
        <v>7.4</v>
      </c>
      <c r="F275" s="2" t="s">
        <v>551</v>
      </c>
      <c r="G275" s="2" t="s">
        <v>552</v>
      </c>
    </row>
    <row r="276" spans="1:7" ht="225" x14ac:dyDescent="0.25">
      <c r="A276" s="2">
        <v>275</v>
      </c>
      <c r="B276" s="2">
        <v>54</v>
      </c>
      <c r="C276" s="2">
        <v>3.7</v>
      </c>
      <c r="D276" s="2">
        <v>0.3</v>
      </c>
      <c r="E276" s="2">
        <v>11.8</v>
      </c>
      <c r="F276" s="2" t="s">
        <v>553</v>
      </c>
      <c r="G276" s="2" t="s">
        <v>554</v>
      </c>
    </row>
    <row r="277" spans="1:7" ht="105" x14ac:dyDescent="0.25">
      <c r="A277" s="2">
        <v>276</v>
      </c>
      <c r="B277" s="2">
        <v>71</v>
      </c>
      <c r="C277" s="2">
        <v>6.8</v>
      </c>
      <c r="D277" s="2">
        <v>1.6</v>
      </c>
      <c r="E277" s="2">
        <v>11.5</v>
      </c>
      <c r="F277" s="2" t="s">
        <v>555</v>
      </c>
      <c r="G277" s="2" t="s">
        <v>556</v>
      </c>
    </row>
    <row r="278" spans="1:7" ht="105" x14ac:dyDescent="0.25">
      <c r="A278" s="2">
        <v>277</v>
      </c>
      <c r="B278" s="2">
        <v>99</v>
      </c>
      <c r="C278" s="2">
        <v>5</v>
      </c>
      <c r="D278" s="2">
        <v>1.3</v>
      </c>
      <c r="E278" s="2">
        <v>21.3</v>
      </c>
      <c r="F278" s="2" t="s">
        <v>557</v>
      </c>
      <c r="G278" s="2" t="s">
        <v>558</v>
      </c>
    </row>
    <row r="279" spans="1:7" ht="255" x14ac:dyDescent="0.25">
      <c r="A279" s="2">
        <v>278</v>
      </c>
      <c r="B279" s="2">
        <v>63</v>
      </c>
      <c r="C279" s="2">
        <v>3.8</v>
      </c>
      <c r="D279" s="2">
        <v>1.5</v>
      </c>
      <c r="E279" s="2">
        <v>11.5</v>
      </c>
      <c r="F279" s="2" t="s">
        <v>559</v>
      </c>
      <c r="G279" s="2" t="s">
        <v>560</v>
      </c>
    </row>
    <row r="280" spans="1:7" ht="165" x14ac:dyDescent="0.25">
      <c r="A280" s="2">
        <v>279</v>
      </c>
      <c r="B280" s="2">
        <v>166</v>
      </c>
      <c r="C280" s="2">
        <v>1.7</v>
      </c>
      <c r="D280" s="2">
        <v>0.5</v>
      </c>
      <c r="E280" s="2">
        <v>38.799999999999997</v>
      </c>
      <c r="F280" s="2" t="s">
        <v>561</v>
      </c>
      <c r="G280" s="2" t="s">
        <v>562</v>
      </c>
    </row>
    <row r="281" spans="1:7" ht="195" x14ac:dyDescent="0.25">
      <c r="A281" s="2">
        <v>280</v>
      </c>
      <c r="B281" s="2">
        <v>22</v>
      </c>
      <c r="C281" s="2">
        <v>1</v>
      </c>
      <c r="D281" s="2">
        <v>0.1</v>
      </c>
      <c r="E281" s="2">
        <v>5.3</v>
      </c>
      <c r="F281" s="2" t="s">
        <v>563</v>
      </c>
      <c r="G281" s="2" t="s">
        <v>564</v>
      </c>
    </row>
    <row r="282" spans="1:7" ht="135" x14ac:dyDescent="0.25">
      <c r="A282" s="2">
        <v>281</v>
      </c>
      <c r="B282" s="2">
        <v>22</v>
      </c>
      <c r="C282" s="2">
        <v>1</v>
      </c>
      <c r="D282" s="2">
        <v>0.1</v>
      </c>
      <c r="E282" s="2">
        <v>5.3</v>
      </c>
      <c r="F282" s="2" t="s">
        <v>565</v>
      </c>
      <c r="G282" s="2" t="s">
        <v>566</v>
      </c>
    </row>
    <row r="283" spans="1:7" ht="285" x14ac:dyDescent="0.25">
      <c r="A283" s="2">
        <v>282</v>
      </c>
      <c r="B283" s="2">
        <v>35</v>
      </c>
      <c r="C283" s="2">
        <v>4</v>
      </c>
      <c r="D283" s="2">
        <v>0.3</v>
      </c>
      <c r="E283" s="2">
        <v>6.4</v>
      </c>
      <c r="F283" s="2" t="s">
        <v>567</v>
      </c>
      <c r="G283" s="2" t="s">
        <v>568</v>
      </c>
    </row>
    <row r="284" spans="1:7" ht="135" x14ac:dyDescent="0.25">
      <c r="A284" s="2">
        <v>283</v>
      </c>
      <c r="B284" s="2">
        <v>54</v>
      </c>
      <c r="C284" s="2">
        <v>2.2000000000000002</v>
      </c>
      <c r="D284" s="2">
        <v>3.6</v>
      </c>
      <c r="E284" s="2">
        <v>3.1</v>
      </c>
      <c r="F284" s="2" t="s">
        <v>569</v>
      </c>
      <c r="G284" s="2" t="s">
        <v>570</v>
      </c>
    </row>
    <row r="285" spans="1:7" ht="195" x14ac:dyDescent="0.25">
      <c r="A285" s="2">
        <v>284</v>
      </c>
      <c r="B285" s="2">
        <v>39</v>
      </c>
      <c r="C285" s="2">
        <v>4.5</v>
      </c>
      <c r="D285" s="2">
        <v>0.4</v>
      </c>
      <c r="E285" s="2">
        <v>6.9</v>
      </c>
      <c r="F285" s="2" t="s">
        <v>571</v>
      </c>
      <c r="G285" s="2" t="s">
        <v>572</v>
      </c>
    </row>
    <row r="286" spans="1:7" ht="135" x14ac:dyDescent="0.25">
      <c r="A286" s="2">
        <v>285</v>
      </c>
      <c r="B286" s="2">
        <v>53</v>
      </c>
      <c r="C286" s="2">
        <v>3.4</v>
      </c>
      <c r="D286" s="2">
        <v>1.2</v>
      </c>
      <c r="E286" s="2">
        <v>7.2</v>
      </c>
      <c r="F286" s="2" t="s">
        <v>573</v>
      </c>
      <c r="G286" s="2" t="s">
        <v>574</v>
      </c>
    </row>
    <row r="287" spans="1:7" ht="210" x14ac:dyDescent="0.25">
      <c r="A287" s="2">
        <v>286</v>
      </c>
      <c r="B287" s="2">
        <v>29</v>
      </c>
      <c r="C287" s="2">
        <v>3.4</v>
      </c>
      <c r="D287" s="2">
        <v>0.1</v>
      </c>
      <c r="E287" s="2">
        <v>6.5</v>
      </c>
      <c r="F287" s="2" t="s">
        <v>575</v>
      </c>
      <c r="G287" s="2" t="s">
        <v>576</v>
      </c>
    </row>
    <row r="288" spans="1:7" ht="409.5" x14ac:dyDescent="0.25">
      <c r="A288" s="2">
        <v>287</v>
      </c>
      <c r="B288" s="2">
        <v>104</v>
      </c>
      <c r="C288" s="2">
        <v>3.9</v>
      </c>
      <c r="D288" s="2">
        <v>0.6</v>
      </c>
      <c r="E288" s="2">
        <v>17.899999999999999</v>
      </c>
      <c r="F288" s="2" t="s">
        <v>577</v>
      </c>
      <c r="G288" s="2" t="s">
        <v>578</v>
      </c>
    </row>
    <row r="289" spans="1:7" ht="210" x14ac:dyDescent="0.25">
      <c r="A289" s="2">
        <v>288</v>
      </c>
      <c r="B289" s="2">
        <v>49</v>
      </c>
      <c r="C289" s="2">
        <v>2.7</v>
      </c>
      <c r="D289" s="2">
        <v>1</v>
      </c>
      <c r="E289" s="2">
        <v>8.4</v>
      </c>
      <c r="F289" s="2" t="s">
        <v>579</v>
      </c>
      <c r="G289" s="2" t="s">
        <v>580</v>
      </c>
    </row>
    <row r="290" spans="1:7" ht="210" x14ac:dyDescent="0.25">
      <c r="A290" s="2">
        <v>289</v>
      </c>
      <c r="B290" s="2">
        <v>87</v>
      </c>
      <c r="C290" s="2">
        <v>8</v>
      </c>
      <c r="D290" s="2">
        <v>2</v>
      </c>
      <c r="E290" s="2">
        <v>11.9</v>
      </c>
      <c r="F290" s="2" t="s">
        <v>581</v>
      </c>
      <c r="G290" s="2" t="s">
        <v>582</v>
      </c>
    </row>
    <row r="291" spans="1:7" ht="225" x14ac:dyDescent="0.25">
      <c r="A291" s="2">
        <v>290</v>
      </c>
      <c r="B291" s="2">
        <v>128</v>
      </c>
      <c r="C291" s="2">
        <v>12</v>
      </c>
      <c r="D291" s="2">
        <v>6.5</v>
      </c>
      <c r="E291" s="2">
        <v>12.4</v>
      </c>
      <c r="F291" s="2" t="s">
        <v>583</v>
      </c>
      <c r="G291" s="2" t="s">
        <v>584</v>
      </c>
    </row>
    <row r="292" spans="1:7" ht="300" x14ac:dyDescent="0.25">
      <c r="A292" s="2">
        <v>291</v>
      </c>
      <c r="B292" s="2">
        <v>37</v>
      </c>
      <c r="C292" s="2">
        <v>2.5</v>
      </c>
      <c r="D292" s="2">
        <v>0.8</v>
      </c>
      <c r="E292" s="2">
        <v>6.9</v>
      </c>
      <c r="F292" s="2" t="s">
        <v>585</v>
      </c>
      <c r="G292" s="2" t="s">
        <v>586</v>
      </c>
    </row>
    <row r="293" spans="1:7" ht="120" x14ac:dyDescent="0.25">
      <c r="A293" s="2">
        <v>292</v>
      </c>
      <c r="B293" s="2">
        <v>301</v>
      </c>
      <c r="C293" s="2">
        <v>14.2</v>
      </c>
      <c r="D293" s="2">
        <v>10.9</v>
      </c>
      <c r="E293" s="2">
        <v>49</v>
      </c>
      <c r="F293" s="2" t="s">
        <v>587</v>
      </c>
      <c r="G293" s="2" t="s">
        <v>588</v>
      </c>
    </row>
    <row r="294" spans="1:7" ht="225" x14ac:dyDescent="0.25">
      <c r="A294" s="2">
        <v>293</v>
      </c>
      <c r="B294" s="2">
        <v>62</v>
      </c>
      <c r="C294" s="2">
        <v>4</v>
      </c>
      <c r="D294" s="2">
        <v>0.5</v>
      </c>
      <c r="E294" s="2">
        <v>10.5</v>
      </c>
      <c r="F294" s="2" t="s">
        <v>589</v>
      </c>
      <c r="G294" s="2" t="s">
        <v>590</v>
      </c>
    </row>
    <row r="295" spans="1:7" ht="180" x14ac:dyDescent="0.25">
      <c r="A295" s="2">
        <v>294</v>
      </c>
      <c r="B295" s="2">
        <v>45</v>
      </c>
      <c r="C295" s="2">
        <v>4.4000000000000004</v>
      </c>
      <c r="D295" s="2">
        <v>8</v>
      </c>
      <c r="E295" s="2">
        <v>0.5</v>
      </c>
      <c r="F295" s="2" t="s">
        <v>591</v>
      </c>
      <c r="G295" s="2" t="s">
        <v>592</v>
      </c>
    </row>
    <row r="296" spans="1:7" ht="255" x14ac:dyDescent="0.25">
      <c r="A296" s="2">
        <v>295</v>
      </c>
      <c r="B296" s="2">
        <v>45</v>
      </c>
      <c r="C296" s="2">
        <v>4.4000000000000004</v>
      </c>
      <c r="D296" s="2">
        <v>0.5</v>
      </c>
      <c r="E296" s="2">
        <v>8.5</v>
      </c>
      <c r="F296" s="2" t="s">
        <v>593</v>
      </c>
      <c r="G296" s="2" t="s">
        <v>594</v>
      </c>
    </row>
    <row r="297" spans="1:7" ht="180" x14ac:dyDescent="0.25">
      <c r="A297" s="2">
        <v>296</v>
      </c>
      <c r="B297" s="2">
        <v>53</v>
      </c>
      <c r="C297" s="2">
        <v>3.2</v>
      </c>
      <c r="D297" s="2">
        <v>2.5</v>
      </c>
      <c r="E297" s="2">
        <v>7.6</v>
      </c>
      <c r="F297" s="2" t="s">
        <v>595</v>
      </c>
      <c r="G297" s="2" t="s">
        <v>596</v>
      </c>
    </row>
    <row r="298" spans="1:7" ht="210" x14ac:dyDescent="0.25">
      <c r="A298" s="2">
        <v>297</v>
      </c>
      <c r="B298" s="2">
        <v>68</v>
      </c>
      <c r="C298" s="2">
        <v>2</v>
      </c>
      <c r="D298" s="2">
        <v>1</v>
      </c>
      <c r="E298" s="2">
        <v>15.2</v>
      </c>
      <c r="F298" s="2" t="s">
        <v>597</v>
      </c>
      <c r="G298" s="2" t="s">
        <v>598</v>
      </c>
    </row>
    <row r="299" spans="1:7" ht="390" x14ac:dyDescent="0.25">
      <c r="A299" s="2">
        <v>298</v>
      </c>
      <c r="B299" s="2">
        <v>73</v>
      </c>
      <c r="C299" s="2">
        <v>6.8</v>
      </c>
      <c r="D299" s="2">
        <v>1.2</v>
      </c>
      <c r="E299" s="2">
        <v>13</v>
      </c>
      <c r="F299" s="2" t="s">
        <v>599</v>
      </c>
      <c r="G299" s="2" t="s">
        <v>600</v>
      </c>
    </row>
    <row r="300" spans="1:7" ht="270" x14ac:dyDescent="0.25">
      <c r="A300" s="2">
        <v>299</v>
      </c>
      <c r="B300" s="2">
        <v>144</v>
      </c>
      <c r="C300" s="2">
        <v>12.7</v>
      </c>
      <c r="D300" s="2">
        <v>1.2</v>
      </c>
      <c r="E300" s="2">
        <v>25.2</v>
      </c>
      <c r="F300" s="2" t="s">
        <v>601</v>
      </c>
      <c r="G300" s="2" t="s">
        <v>602</v>
      </c>
    </row>
    <row r="301" spans="1:7" ht="225" x14ac:dyDescent="0.25">
      <c r="A301" s="2">
        <v>300</v>
      </c>
      <c r="B301" s="2">
        <v>50</v>
      </c>
      <c r="C301" s="2">
        <v>6.2</v>
      </c>
      <c r="D301" s="2">
        <v>1.1000000000000001</v>
      </c>
      <c r="E301" s="2">
        <v>7.1</v>
      </c>
      <c r="F301" s="2" t="s">
        <v>603</v>
      </c>
      <c r="G301" s="2" t="s">
        <v>604</v>
      </c>
    </row>
    <row r="302" spans="1:7" ht="165" x14ac:dyDescent="0.25">
      <c r="A302" s="2">
        <v>301</v>
      </c>
      <c r="B302" s="2">
        <v>74</v>
      </c>
      <c r="C302" s="2">
        <v>6.3</v>
      </c>
      <c r="D302" s="2">
        <v>0.7</v>
      </c>
      <c r="E302" s="2">
        <v>10.7</v>
      </c>
      <c r="F302" s="2" t="s">
        <v>605</v>
      </c>
      <c r="G302" s="2" t="s">
        <v>606</v>
      </c>
    </row>
    <row r="303" spans="1:7" ht="240" x14ac:dyDescent="0.25">
      <c r="A303" s="2">
        <v>302</v>
      </c>
      <c r="B303" s="2">
        <v>55</v>
      </c>
      <c r="C303" s="2">
        <v>4</v>
      </c>
      <c r="D303" s="2">
        <v>0.5</v>
      </c>
      <c r="E303" s="2">
        <v>8.5</v>
      </c>
      <c r="F303" s="2" t="s">
        <v>607</v>
      </c>
      <c r="G303" s="2" t="s">
        <v>608</v>
      </c>
    </row>
    <row r="304" spans="1:7" ht="270" x14ac:dyDescent="0.25">
      <c r="A304" s="2">
        <v>303</v>
      </c>
      <c r="B304" s="2">
        <v>31</v>
      </c>
      <c r="C304" s="2">
        <v>3.7</v>
      </c>
      <c r="D304" s="2">
        <v>0.6</v>
      </c>
      <c r="E304" s="2">
        <v>4.8</v>
      </c>
      <c r="F304" s="2" t="s">
        <v>609</v>
      </c>
      <c r="G304" s="2" t="s">
        <v>610</v>
      </c>
    </row>
    <row r="305" spans="1:7" ht="225" x14ac:dyDescent="0.25">
      <c r="A305" s="2">
        <v>304</v>
      </c>
      <c r="B305" s="2">
        <v>50</v>
      </c>
      <c r="C305" s="2">
        <v>6.2</v>
      </c>
      <c r="D305" s="2">
        <v>1.1000000000000001</v>
      </c>
      <c r="E305" s="2">
        <v>7.1</v>
      </c>
      <c r="F305" s="2" t="s">
        <v>611</v>
      </c>
      <c r="G305" s="2" t="s">
        <v>612</v>
      </c>
    </row>
    <row r="306" spans="1:7" ht="210" x14ac:dyDescent="0.25">
      <c r="A306" s="2">
        <v>305</v>
      </c>
      <c r="B306" s="2">
        <v>36</v>
      </c>
      <c r="C306" s="2">
        <v>2.6</v>
      </c>
      <c r="D306" s="2">
        <v>0.9</v>
      </c>
      <c r="E306" s="2">
        <v>6.1</v>
      </c>
      <c r="F306" s="2" t="s">
        <v>613</v>
      </c>
      <c r="G306" s="2" t="s">
        <v>614</v>
      </c>
    </row>
    <row r="307" spans="1:7" ht="180" x14ac:dyDescent="0.25">
      <c r="A307" s="2">
        <v>306</v>
      </c>
      <c r="B307" s="2">
        <v>27</v>
      </c>
      <c r="C307" s="2">
        <v>1.3</v>
      </c>
      <c r="D307" s="2">
        <v>0.2</v>
      </c>
      <c r="E307" s="2">
        <v>5.9</v>
      </c>
      <c r="F307" s="2" t="s">
        <v>615</v>
      </c>
      <c r="G307" s="2" t="s">
        <v>616</v>
      </c>
    </row>
    <row r="308" spans="1:7" ht="285" x14ac:dyDescent="0.25">
      <c r="A308" s="2">
        <v>307</v>
      </c>
      <c r="B308" s="2">
        <v>59</v>
      </c>
      <c r="C308" s="2">
        <v>3</v>
      </c>
      <c r="D308" s="2">
        <v>0.4</v>
      </c>
      <c r="E308" s="2">
        <v>13.5</v>
      </c>
      <c r="F308" s="2" t="s">
        <v>617</v>
      </c>
      <c r="G308" s="2" t="s">
        <v>618</v>
      </c>
    </row>
    <row r="309" spans="1:7" ht="135" x14ac:dyDescent="0.25">
      <c r="A309" s="2">
        <v>308</v>
      </c>
      <c r="B309" s="2">
        <v>71</v>
      </c>
      <c r="C309" s="2">
        <v>4.0999999999999996</v>
      </c>
      <c r="D309" s="2">
        <v>2.1</v>
      </c>
      <c r="E309" s="2">
        <v>12.3</v>
      </c>
      <c r="F309" s="2" t="s">
        <v>619</v>
      </c>
      <c r="G309" s="2" t="s">
        <v>620</v>
      </c>
    </row>
    <row r="310" spans="1:7" ht="150" x14ac:dyDescent="0.25">
      <c r="A310" s="2">
        <v>309</v>
      </c>
      <c r="B310" s="2">
        <v>27</v>
      </c>
      <c r="C310" s="2">
        <v>1.3</v>
      </c>
      <c r="D310" s="2">
        <v>0.2</v>
      </c>
      <c r="E310" s="2">
        <v>5.9</v>
      </c>
      <c r="F310" s="2" t="s">
        <v>621</v>
      </c>
      <c r="G310" s="2" t="s">
        <v>622</v>
      </c>
    </row>
    <row r="311" spans="1:7" ht="300" x14ac:dyDescent="0.25">
      <c r="A311" s="2">
        <v>310</v>
      </c>
      <c r="B311" s="2">
        <v>70</v>
      </c>
      <c r="C311" s="2">
        <v>2.9</v>
      </c>
      <c r="D311" s="2">
        <v>0.3</v>
      </c>
      <c r="E311" s="2">
        <v>13.9</v>
      </c>
      <c r="F311" s="2" t="s">
        <v>623</v>
      </c>
      <c r="G311" s="2" t="s">
        <v>624</v>
      </c>
    </row>
    <row r="312" spans="1:7" ht="195" x14ac:dyDescent="0.25">
      <c r="A312" s="2">
        <v>311</v>
      </c>
      <c r="B312" s="2">
        <v>47</v>
      </c>
      <c r="C312" s="2">
        <v>2.8</v>
      </c>
      <c r="D312" s="2">
        <v>0.4</v>
      </c>
      <c r="E312" s="2">
        <v>10.4</v>
      </c>
      <c r="F312" s="2" t="s">
        <v>625</v>
      </c>
      <c r="G312" s="2" t="s">
        <v>626</v>
      </c>
    </row>
    <row r="313" spans="1:7" ht="180" x14ac:dyDescent="0.25">
      <c r="A313" s="2">
        <v>312</v>
      </c>
      <c r="B313" s="2">
        <v>56</v>
      </c>
      <c r="C313" s="2">
        <v>3.1</v>
      </c>
      <c r="D313" s="2">
        <v>0.3</v>
      </c>
      <c r="E313" s="2">
        <v>13</v>
      </c>
      <c r="F313" s="2" t="s">
        <v>627</v>
      </c>
      <c r="G313" s="2" t="s">
        <v>628</v>
      </c>
    </row>
    <row r="314" spans="1:7" ht="225" x14ac:dyDescent="0.25">
      <c r="A314" s="2">
        <v>313</v>
      </c>
      <c r="B314" s="2">
        <v>62</v>
      </c>
      <c r="C314" s="2">
        <v>3.7</v>
      </c>
      <c r="D314" s="2">
        <v>0.3</v>
      </c>
      <c r="E314" s="2">
        <v>11.1</v>
      </c>
      <c r="F314" s="2" t="s">
        <v>629</v>
      </c>
      <c r="G314" s="2" t="s">
        <v>630</v>
      </c>
    </row>
    <row r="315" spans="1:7" ht="409.5" x14ac:dyDescent="0.25">
      <c r="A315" s="2">
        <v>314</v>
      </c>
      <c r="B315" s="2">
        <v>56</v>
      </c>
      <c r="C315" s="2">
        <v>3.1</v>
      </c>
      <c r="D315" s="2">
        <v>0.3</v>
      </c>
      <c r="E315" s="2">
        <v>13</v>
      </c>
      <c r="F315" s="2" t="s">
        <v>631</v>
      </c>
      <c r="G315" s="2" t="s">
        <v>632</v>
      </c>
    </row>
    <row r="316" spans="1:7" ht="210" x14ac:dyDescent="0.25">
      <c r="A316" s="2">
        <v>315</v>
      </c>
      <c r="B316" s="2">
        <v>48</v>
      </c>
      <c r="C316" s="2">
        <v>3</v>
      </c>
      <c r="D316" s="2">
        <v>0.3</v>
      </c>
      <c r="E316" s="2">
        <v>10.8</v>
      </c>
      <c r="F316" s="2" t="s">
        <v>633</v>
      </c>
      <c r="G316" s="2" t="s">
        <v>634</v>
      </c>
    </row>
    <row r="317" spans="1:7" ht="150" x14ac:dyDescent="0.25">
      <c r="A317" s="2">
        <v>316</v>
      </c>
      <c r="B317" s="2">
        <v>46</v>
      </c>
      <c r="C317" s="2">
        <v>2.8</v>
      </c>
      <c r="D317" s="2">
        <v>0.2</v>
      </c>
      <c r="E317" s="2">
        <v>8.1999999999999993</v>
      </c>
      <c r="F317" s="2" t="s">
        <v>635</v>
      </c>
      <c r="G317" s="2" t="s">
        <v>636</v>
      </c>
    </row>
    <row r="318" spans="1:7" ht="330" x14ac:dyDescent="0.25">
      <c r="A318" s="2">
        <v>317</v>
      </c>
      <c r="B318" s="2">
        <v>55</v>
      </c>
      <c r="C318" s="2">
        <v>1.7</v>
      </c>
      <c r="D318" s="2">
        <v>0.1</v>
      </c>
      <c r="E318" s="2">
        <v>11.9</v>
      </c>
      <c r="F318" s="2" t="s">
        <v>637</v>
      </c>
      <c r="G318" s="2" t="s">
        <v>638</v>
      </c>
    </row>
    <row r="319" spans="1:7" ht="210" x14ac:dyDescent="0.25">
      <c r="A319" s="2">
        <v>318</v>
      </c>
      <c r="B319" s="2">
        <v>260</v>
      </c>
      <c r="C319" s="2">
        <v>2</v>
      </c>
      <c r="D319" s="2">
        <v>15</v>
      </c>
      <c r="E319" s="2">
        <v>53</v>
      </c>
      <c r="F319" s="2" t="s">
        <v>639</v>
      </c>
      <c r="G319" s="2" t="s">
        <v>640</v>
      </c>
    </row>
    <row r="320" spans="1:7" ht="150" x14ac:dyDescent="0.25">
      <c r="A320" s="2">
        <v>319</v>
      </c>
      <c r="B320" s="2">
        <v>382</v>
      </c>
      <c r="C320" s="2">
        <v>55.7</v>
      </c>
      <c r="D320" s="2">
        <v>14.1</v>
      </c>
      <c r="E320" s="2">
        <v>8</v>
      </c>
      <c r="F320" s="2" t="s">
        <v>641</v>
      </c>
      <c r="G320" s="2" t="s">
        <v>642</v>
      </c>
    </row>
    <row r="321" spans="1:7" ht="225" x14ac:dyDescent="0.25">
      <c r="A321" s="2">
        <v>320</v>
      </c>
      <c r="B321" s="2">
        <v>433</v>
      </c>
      <c r="C321" s="2">
        <v>55</v>
      </c>
      <c r="D321" s="2">
        <v>9</v>
      </c>
      <c r="E321" s="2">
        <v>0</v>
      </c>
      <c r="F321" s="2" t="s">
        <v>643</v>
      </c>
      <c r="G321" s="2" t="s">
        <v>644</v>
      </c>
    </row>
    <row r="322" spans="1:7" ht="225" x14ac:dyDescent="0.25">
      <c r="A322" s="2">
        <v>321</v>
      </c>
      <c r="B322" s="2">
        <v>598</v>
      </c>
      <c r="C322" s="2">
        <v>74.3</v>
      </c>
      <c r="D322" s="2">
        <v>26.9</v>
      </c>
      <c r="E322" s="2">
        <v>9.1999999999999993</v>
      </c>
      <c r="F322" s="2" t="s">
        <v>645</v>
      </c>
      <c r="G322" s="2" t="s">
        <v>646</v>
      </c>
    </row>
    <row r="323" spans="1:7" ht="409.5" x14ac:dyDescent="0.25">
      <c r="A323" s="2">
        <v>322</v>
      </c>
      <c r="B323" s="2">
        <v>77</v>
      </c>
      <c r="C323" s="2">
        <v>13.8</v>
      </c>
      <c r="D323" s="2">
        <v>1.9</v>
      </c>
      <c r="E323" s="2">
        <v>0.7</v>
      </c>
      <c r="F323" s="2" t="s">
        <v>647</v>
      </c>
      <c r="G323" s="2" t="s">
        <v>648</v>
      </c>
    </row>
    <row r="324" spans="1:7" ht="345" x14ac:dyDescent="0.25">
      <c r="A324" s="2">
        <v>323</v>
      </c>
      <c r="B324" s="2">
        <v>104</v>
      </c>
      <c r="C324" s="2">
        <v>21.9</v>
      </c>
      <c r="D324" s="2">
        <v>1.1000000000000001</v>
      </c>
      <c r="E324" s="2">
        <v>0</v>
      </c>
      <c r="F324" s="2" t="s">
        <v>649</v>
      </c>
      <c r="G324" s="2" t="s">
        <v>650</v>
      </c>
    </row>
    <row r="325" spans="1:7" ht="165" x14ac:dyDescent="0.25">
      <c r="A325" s="2">
        <v>324</v>
      </c>
      <c r="B325" s="2">
        <v>248</v>
      </c>
      <c r="C325" s="2">
        <v>10</v>
      </c>
      <c r="D325" s="2">
        <v>2.2999999999999998</v>
      </c>
      <c r="E325" s="2">
        <v>40.9</v>
      </c>
      <c r="F325" s="2" t="s">
        <v>651</v>
      </c>
      <c r="G325" s="2" t="s">
        <v>351</v>
      </c>
    </row>
    <row r="326" spans="1:7" ht="240" x14ac:dyDescent="0.25">
      <c r="A326" s="2">
        <v>325</v>
      </c>
      <c r="B326" s="2">
        <v>395</v>
      </c>
      <c r="C326" s="2">
        <v>3</v>
      </c>
      <c r="D326" s="2">
        <v>5.7</v>
      </c>
      <c r="E326" s="2">
        <v>81.2</v>
      </c>
      <c r="F326" s="2" t="s">
        <v>652</v>
      </c>
      <c r="G326" s="2" t="s">
        <v>653</v>
      </c>
    </row>
    <row r="327" spans="1:7" ht="409.5" x14ac:dyDescent="0.25">
      <c r="A327" s="2">
        <v>326</v>
      </c>
      <c r="B327" s="2">
        <v>298</v>
      </c>
      <c r="C327" s="2">
        <v>3.7</v>
      </c>
      <c r="D327" s="2">
        <v>2.1</v>
      </c>
      <c r="E327" s="2">
        <v>65.900000000000006</v>
      </c>
      <c r="F327" s="2" t="s">
        <v>654</v>
      </c>
      <c r="G327" s="2" t="s">
        <v>655</v>
      </c>
    </row>
    <row r="328" spans="1:7" ht="345" x14ac:dyDescent="0.25">
      <c r="A328" s="2">
        <v>327</v>
      </c>
      <c r="B328" s="2">
        <v>368</v>
      </c>
      <c r="C328" s="2">
        <v>2.6</v>
      </c>
      <c r="D328" s="2">
        <v>8.6</v>
      </c>
      <c r="E328" s="2">
        <v>70</v>
      </c>
      <c r="F328" s="2" t="s">
        <v>656</v>
      </c>
      <c r="G328" s="2" t="s">
        <v>657</v>
      </c>
    </row>
    <row r="329" spans="1:7" ht="345" x14ac:dyDescent="0.25">
      <c r="A329" s="2">
        <v>328</v>
      </c>
      <c r="B329" s="2">
        <v>348</v>
      </c>
      <c r="C329" s="2">
        <v>0.4</v>
      </c>
      <c r="D329" s="2">
        <v>3.8</v>
      </c>
      <c r="E329" s="2">
        <v>76.099999999999994</v>
      </c>
      <c r="F329" s="2" t="s">
        <v>658</v>
      </c>
      <c r="G329" s="2" t="s">
        <v>659</v>
      </c>
    </row>
    <row r="330" spans="1:7" ht="210" x14ac:dyDescent="0.25">
      <c r="A330" s="2">
        <v>329</v>
      </c>
      <c r="B330" s="2">
        <v>331</v>
      </c>
      <c r="C330" s="2">
        <v>1.9</v>
      </c>
      <c r="D330" s="2">
        <v>7.6</v>
      </c>
      <c r="E330" s="2">
        <v>63.8</v>
      </c>
      <c r="F330" s="2" t="s">
        <v>660</v>
      </c>
      <c r="G330" s="2" t="s">
        <v>661</v>
      </c>
    </row>
    <row r="331" spans="1:7" ht="180" x14ac:dyDescent="0.25">
      <c r="A331" s="2">
        <v>330</v>
      </c>
      <c r="B331" s="2">
        <v>373</v>
      </c>
      <c r="C331" s="2">
        <v>4.3</v>
      </c>
      <c r="D331" s="2">
        <v>16.5</v>
      </c>
      <c r="E331" s="2">
        <v>51.9</v>
      </c>
      <c r="F331" s="2" t="s">
        <v>662</v>
      </c>
      <c r="G331" s="2" t="s">
        <v>663</v>
      </c>
    </row>
    <row r="332" spans="1:7" ht="165" x14ac:dyDescent="0.25">
      <c r="A332" s="2">
        <v>331</v>
      </c>
      <c r="B332" s="2">
        <v>17.5</v>
      </c>
      <c r="C332" s="2">
        <v>3.3</v>
      </c>
      <c r="D332" s="2">
        <v>2.2999999999999998</v>
      </c>
      <c r="E332" s="2">
        <v>39.5</v>
      </c>
      <c r="F332" s="2" t="s">
        <v>664</v>
      </c>
      <c r="G332" s="2" t="s">
        <v>665</v>
      </c>
    </row>
    <row r="333" spans="1:7" ht="225" x14ac:dyDescent="0.25">
      <c r="A333" s="2">
        <v>332</v>
      </c>
      <c r="B333" s="2">
        <v>317</v>
      </c>
      <c r="C333" s="2">
        <v>15.7</v>
      </c>
      <c r="D333" s="2">
        <v>27.7</v>
      </c>
      <c r="E333" s="2">
        <v>0</v>
      </c>
      <c r="F333" s="2" t="s">
        <v>666</v>
      </c>
      <c r="G333" s="2" t="s">
        <v>667</v>
      </c>
    </row>
    <row r="334" spans="1:7" ht="210" x14ac:dyDescent="0.25">
      <c r="A334" s="2">
        <v>333</v>
      </c>
      <c r="B334" s="2">
        <v>202</v>
      </c>
      <c r="C334" s="2">
        <v>17.100000000000001</v>
      </c>
      <c r="D334" s="2">
        <v>14.8</v>
      </c>
      <c r="E334" s="2">
        <v>0</v>
      </c>
      <c r="F334" s="2" t="s">
        <v>668</v>
      </c>
      <c r="G334" s="2" t="s">
        <v>669</v>
      </c>
    </row>
    <row r="335" spans="1:7" ht="330" x14ac:dyDescent="0.25">
      <c r="A335" s="2">
        <v>334</v>
      </c>
      <c r="B335" s="2">
        <v>100</v>
      </c>
      <c r="C335" s="2">
        <v>16.600000000000001</v>
      </c>
      <c r="D335" s="2">
        <v>3.3</v>
      </c>
      <c r="E335" s="2">
        <v>1</v>
      </c>
      <c r="F335" s="2" t="s">
        <v>670</v>
      </c>
      <c r="G335" s="2" t="s">
        <v>671</v>
      </c>
    </row>
    <row r="336" spans="1:7" ht="270" x14ac:dyDescent="0.25">
      <c r="A336" s="2">
        <v>335</v>
      </c>
      <c r="B336" s="2">
        <v>63</v>
      </c>
      <c r="C336" s="2">
        <v>1</v>
      </c>
      <c r="D336" s="2">
        <v>0.2</v>
      </c>
      <c r="E336" s="2">
        <v>16.100000000000001</v>
      </c>
      <c r="F336" s="2" t="s">
        <v>672</v>
      </c>
      <c r="G336" s="2" t="s">
        <v>673</v>
      </c>
    </row>
    <row r="337" spans="1:7" ht="225" x14ac:dyDescent="0.25">
      <c r="A337" s="2">
        <v>336</v>
      </c>
      <c r="B337" s="2">
        <v>134</v>
      </c>
      <c r="C337" s="2">
        <v>2.5</v>
      </c>
      <c r="D337" s="2">
        <v>3</v>
      </c>
      <c r="E337" s="2">
        <v>28</v>
      </c>
      <c r="F337" s="2" t="s">
        <v>674</v>
      </c>
      <c r="G337" s="2" t="s">
        <v>675</v>
      </c>
    </row>
    <row r="338" spans="1:7" ht="165" x14ac:dyDescent="0.25">
      <c r="A338" s="2">
        <v>337</v>
      </c>
      <c r="B338" s="2">
        <v>80</v>
      </c>
      <c r="C338" s="2">
        <v>0.5</v>
      </c>
      <c r="D338" s="2">
        <v>0.6</v>
      </c>
      <c r="E338" s="2">
        <v>18.2</v>
      </c>
      <c r="F338" s="2" t="s">
        <v>676</v>
      </c>
      <c r="G338" s="2" t="s">
        <v>677</v>
      </c>
    </row>
    <row r="339" spans="1:7" ht="135" x14ac:dyDescent="0.25">
      <c r="A339" s="2">
        <v>338</v>
      </c>
      <c r="B339" s="2">
        <v>18</v>
      </c>
      <c r="C339" s="2">
        <v>1</v>
      </c>
      <c r="D339" s="2">
        <v>0.2</v>
      </c>
      <c r="E339" s="2">
        <v>3.8</v>
      </c>
      <c r="F339" s="2" t="s">
        <v>678</v>
      </c>
      <c r="G339" s="2" t="s">
        <v>679</v>
      </c>
    </row>
    <row r="340" spans="1:7" ht="135" x14ac:dyDescent="0.25">
      <c r="A340" s="2">
        <v>339</v>
      </c>
      <c r="B340" s="2">
        <v>98</v>
      </c>
      <c r="C340" s="2">
        <v>1.4</v>
      </c>
      <c r="D340" s="2">
        <v>0.2</v>
      </c>
      <c r="E340" s="2">
        <v>25.4</v>
      </c>
      <c r="F340" s="2" t="s">
        <v>680</v>
      </c>
      <c r="G340" s="2" t="s">
        <v>681</v>
      </c>
    </row>
    <row r="341" spans="1:7" ht="150" x14ac:dyDescent="0.25">
      <c r="A341" s="2">
        <v>340</v>
      </c>
      <c r="B341" s="2">
        <v>248</v>
      </c>
      <c r="C341" s="2">
        <v>36.200000000000003</v>
      </c>
      <c r="D341" s="2">
        <v>6.9</v>
      </c>
      <c r="E341" s="2">
        <v>10.1</v>
      </c>
      <c r="F341" s="2" t="s">
        <v>682</v>
      </c>
      <c r="G341" s="2" t="s">
        <v>683</v>
      </c>
    </row>
    <row r="342" spans="1:7" ht="135" x14ac:dyDescent="0.25">
      <c r="A342" s="2">
        <v>341</v>
      </c>
      <c r="B342" s="2">
        <v>590</v>
      </c>
      <c r="C342" s="2">
        <v>18.5</v>
      </c>
      <c r="D342" s="2">
        <v>57</v>
      </c>
      <c r="E342" s="2">
        <v>0</v>
      </c>
      <c r="F342" s="2" t="s">
        <v>684</v>
      </c>
      <c r="G342" s="2" t="s">
        <v>685</v>
      </c>
    </row>
    <row r="343" spans="1:7" ht="300" x14ac:dyDescent="0.25">
      <c r="A343" s="2">
        <v>342</v>
      </c>
      <c r="B343" s="2">
        <v>345</v>
      </c>
      <c r="C343" s="2">
        <v>12</v>
      </c>
      <c r="D343" s="2">
        <v>1.5</v>
      </c>
      <c r="E343" s="2">
        <v>71.5</v>
      </c>
      <c r="F343" s="2" t="s">
        <v>686</v>
      </c>
      <c r="G343" s="2" t="s">
        <v>687</v>
      </c>
    </row>
    <row r="344" spans="1:7" ht="135" x14ac:dyDescent="0.25">
      <c r="A344" s="2">
        <v>343</v>
      </c>
      <c r="B344" s="2">
        <v>403</v>
      </c>
      <c r="C344" s="2">
        <v>10.6</v>
      </c>
      <c r="D344" s="2">
        <v>2.2000000000000002</v>
      </c>
      <c r="E344" s="2">
        <v>85.3</v>
      </c>
      <c r="F344" s="2" t="s">
        <v>688</v>
      </c>
      <c r="G344" s="2" t="s">
        <v>689</v>
      </c>
    </row>
    <row r="345" spans="1:7" ht="165" x14ac:dyDescent="0.25">
      <c r="A345" s="2">
        <v>344</v>
      </c>
      <c r="B345" s="2">
        <v>355</v>
      </c>
      <c r="C345" s="2">
        <v>17.8</v>
      </c>
      <c r="D345" s="2">
        <v>4.5999999999999996</v>
      </c>
      <c r="E345" s="2">
        <v>60.7</v>
      </c>
      <c r="F345" s="2" t="s">
        <v>690</v>
      </c>
      <c r="G345" s="2" t="s">
        <v>691</v>
      </c>
    </row>
    <row r="346" spans="1:7" ht="120" x14ac:dyDescent="0.25">
      <c r="A346" s="2">
        <v>345</v>
      </c>
      <c r="B346" s="2">
        <v>122</v>
      </c>
      <c r="C346" s="2">
        <v>3.5</v>
      </c>
      <c r="D346" s="2">
        <v>4.5</v>
      </c>
      <c r="E346" s="2">
        <v>17.5</v>
      </c>
      <c r="F346" s="2" t="s">
        <v>692</v>
      </c>
      <c r="G346" s="2" t="s">
        <v>693</v>
      </c>
    </row>
    <row r="347" spans="1:7" ht="180" x14ac:dyDescent="0.25">
      <c r="A347" s="2">
        <v>346</v>
      </c>
      <c r="B347" s="2">
        <v>538</v>
      </c>
      <c r="C347" s="2">
        <v>13.6</v>
      </c>
      <c r="D347" s="2">
        <v>30.3</v>
      </c>
      <c r="E347" s="2">
        <v>52.6</v>
      </c>
      <c r="F347" s="2" t="s">
        <v>694</v>
      </c>
      <c r="G347" s="2" t="s">
        <v>695</v>
      </c>
    </row>
    <row r="348" spans="1:7" ht="270" x14ac:dyDescent="0.25">
      <c r="A348" s="2">
        <v>347</v>
      </c>
      <c r="B348" s="2">
        <v>524</v>
      </c>
      <c r="C348" s="2">
        <v>13.3</v>
      </c>
      <c r="D348" s="2">
        <v>29.2</v>
      </c>
      <c r="E348" s="2">
        <v>52</v>
      </c>
      <c r="F348" s="2" t="s">
        <v>696</v>
      </c>
      <c r="G348" s="2" t="s">
        <v>697</v>
      </c>
    </row>
    <row r="349" spans="1:7" ht="255" x14ac:dyDescent="0.25">
      <c r="A349" s="2">
        <v>348</v>
      </c>
      <c r="B349" s="2">
        <v>565</v>
      </c>
      <c r="C349" s="2">
        <v>18.2</v>
      </c>
      <c r="D349" s="2">
        <v>38.4</v>
      </c>
      <c r="E349" s="2">
        <v>36.799999999999997</v>
      </c>
      <c r="F349" s="2" t="s">
        <v>698</v>
      </c>
      <c r="G349" s="2" t="s">
        <v>699</v>
      </c>
    </row>
    <row r="350" spans="1:7" ht="135" x14ac:dyDescent="0.25">
      <c r="A350" s="2">
        <v>349</v>
      </c>
      <c r="B350" s="2">
        <v>70</v>
      </c>
      <c r="C350" s="2">
        <v>0.6</v>
      </c>
      <c r="D350" s="2">
        <v>0</v>
      </c>
      <c r="E350" s="2">
        <v>18.899999999999999</v>
      </c>
      <c r="F350" s="2" t="s">
        <v>700</v>
      </c>
      <c r="G350" s="2" t="s">
        <v>701</v>
      </c>
    </row>
    <row r="351" spans="1:7" ht="409.5" x14ac:dyDescent="0.25">
      <c r="A351" s="2">
        <v>350</v>
      </c>
      <c r="B351" s="2">
        <v>210</v>
      </c>
      <c r="C351" s="2">
        <v>4</v>
      </c>
      <c r="D351" s="2">
        <v>12.5</v>
      </c>
      <c r="E351" s="2">
        <v>20.6</v>
      </c>
      <c r="F351" s="2" t="s">
        <v>702</v>
      </c>
      <c r="G351" s="2" t="s">
        <v>703</v>
      </c>
    </row>
    <row r="352" spans="1:7" ht="195" x14ac:dyDescent="0.25">
      <c r="A352" s="2">
        <v>351</v>
      </c>
      <c r="B352" s="2">
        <v>156.69999999999999</v>
      </c>
      <c r="C352" s="2">
        <v>3</v>
      </c>
      <c r="D352" s="2">
        <v>1.7</v>
      </c>
      <c r="E352" s="2">
        <v>32.700000000000003</v>
      </c>
      <c r="F352" s="2" t="s">
        <v>704</v>
      </c>
      <c r="G352" s="2" t="s">
        <v>705</v>
      </c>
    </row>
    <row r="353" spans="1:7" ht="165" x14ac:dyDescent="0.25">
      <c r="A353" s="2">
        <v>352</v>
      </c>
      <c r="B353" s="2">
        <v>152</v>
      </c>
      <c r="C353" s="2">
        <v>0</v>
      </c>
      <c r="D353" s="2">
        <v>0</v>
      </c>
      <c r="E353" s="2">
        <v>37.6</v>
      </c>
      <c r="F353" s="2" t="s">
        <v>706</v>
      </c>
      <c r="G353" s="2" t="s">
        <v>707</v>
      </c>
    </row>
    <row r="354" spans="1:7" ht="409.5" x14ac:dyDescent="0.25">
      <c r="A354" s="2">
        <v>353</v>
      </c>
      <c r="B354" s="2">
        <v>44.8</v>
      </c>
      <c r="C354" s="2">
        <v>0</v>
      </c>
      <c r="D354" s="2">
        <v>0</v>
      </c>
      <c r="E354" s="2">
        <v>11.3</v>
      </c>
      <c r="F354" s="2" t="s">
        <v>708</v>
      </c>
      <c r="G354" s="2" t="s">
        <v>709</v>
      </c>
    </row>
    <row r="355" spans="1:7" ht="195" x14ac:dyDescent="0.25">
      <c r="A355" s="2">
        <v>354</v>
      </c>
      <c r="B355" s="2">
        <v>270</v>
      </c>
      <c r="C355" s="2">
        <v>12.3</v>
      </c>
      <c r="D355" s="2">
        <v>15.9</v>
      </c>
      <c r="E355" s="2">
        <v>19.3</v>
      </c>
      <c r="F355" s="2" t="s">
        <v>710</v>
      </c>
      <c r="G355" s="2" t="s">
        <v>711</v>
      </c>
    </row>
    <row r="356" spans="1:7" ht="120" x14ac:dyDescent="0.25">
      <c r="A356" s="2">
        <v>355</v>
      </c>
      <c r="B356" s="2">
        <v>322</v>
      </c>
      <c r="C356" s="2">
        <v>2.4</v>
      </c>
      <c r="D356" s="2">
        <v>0.6</v>
      </c>
      <c r="E356" s="2">
        <v>76.599999999999994</v>
      </c>
      <c r="F356" s="2" t="s">
        <v>712</v>
      </c>
      <c r="G356" s="2" t="s">
        <v>713</v>
      </c>
    </row>
    <row r="357" spans="1:7" ht="360" x14ac:dyDescent="0.25">
      <c r="A357" s="2">
        <v>356</v>
      </c>
      <c r="B357" s="2">
        <v>137</v>
      </c>
      <c r="C357" s="2">
        <v>6.1</v>
      </c>
      <c r="D357" s="2">
        <v>3.2</v>
      </c>
      <c r="E357" s="2">
        <v>21</v>
      </c>
      <c r="F357" s="2" t="s">
        <v>714</v>
      </c>
      <c r="G357" s="2" t="s">
        <v>715</v>
      </c>
    </row>
    <row r="358" spans="1:7" ht="225" x14ac:dyDescent="0.25">
      <c r="A358" s="2">
        <v>357</v>
      </c>
      <c r="B358" s="2">
        <v>88</v>
      </c>
      <c r="C358" s="2">
        <v>0.8</v>
      </c>
      <c r="D358" s="2">
        <v>0.3</v>
      </c>
      <c r="E358" s="2">
        <v>20.9</v>
      </c>
      <c r="F358" s="2" t="s">
        <v>716</v>
      </c>
      <c r="G358" s="2" t="s">
        <v>717</v>
      </c>
    </row>
    <row r="359" spans="1:7" ht="105" x14ac:dyDescent="0.25">
      <c r="A359" s="2">
        <v>358</v>
      </c>
      <c r="B359" s="2">
        <v>101</v>
      </c>
      <c r="C359" s="2">
        <v>2.1</v>
      </c>
      <c r="D359" s="2">
        <v>0.2</v>
      </c>
      <c r="E359" s="2">
        <v>23.2</v>
      </c>
      <c r="F359" s="2" t="s">
        <v>718</v>
      </c>
      <c r="G359" s="2" t="s">
        <v>719</v>
      </c>
    </row>
    <row r="360" spans="1:7" ht="150" x14ac:dyDescent="0.25">
      <c r="A360" s="2">
        <v>359</v>
      </c>
      <c r="B360" s="2">
        <v>88</v>
      </c>
      <c r="C360" s="2">
        <v>0.6</v>
      </c>
      <c r="D360" s="2">
        <v>0.3</v>
      </c>
      <c r="E360" s="2">
        <v>20.9</v>
      </c>
      <c r="F360" s="2" t="s">
        <v>720</v>
      </c>
      <c r="G360" s="2" t="s">
        <v>721</v>
      </c>
    </row>
    <row r="361" spans="1:7" ht="270" x14ac:dyDescent="0.25">
      <c r="A361" s="2">
        <v>360</v>
      </c>
      <c r="B361" s="2">
        <v>100</v>
      </c>
      <c r="C361" s="2">
        <v>0.9</v>
      </c>
      <c r="D361" s="2">
        <v>0.3</v>
      </c>
      <c r="E361" s="2">
        <v>23.5</v>
      </c>
      <c r="F361" s="2" t="s">
        <v>722</v>
      </c>
      <c r="G361" s="2" t="s">
        <v>723</v>
      </c>
    </row>
    <row r="362" spans="1:7" ht="285" x14ac:dyDescent="0.25">
      <c r="A362" s="2">
        <v>361</v>
      </c>
      <c r="B362" s="2">
        <v>18</v>
      </c>
      <c r="C362" s="2">
        <v>0.8</v>
      </c>
      <c r="D362" s="2">
        <v>0.2</v>
      </c>
      <c r="E362" s="2">
        <v>4.0999999999999996</v>
      </c>
      <c r="F362" s="2" t="s">
        <v>724</v>
      </c>
      <c r="G362" s="2" t="s">
        <v>725</v>
      </c>
    </row>
    <row r="363" spans="1:7" ht="409.5" x14ac:dyDescent="0.25">
      <c r="A363" s="2">
        <v>362</v>
      </c>
      <c r="B363" s="2">
        <v>13</v>
      </c>
      <c r="C363" s="2">
        <v>0.3</v>
      </c>
      <c r="D363" s="2">
        <v>0.6</v>
      </c>
      <c r="E363" s="2">
        <v>1.6</v>
      </c>
      <c r="F363" s="2" t="s">
        <v>726</v>
      </c>
      <c r="G363" s="2" t="s">
        <v>727</v>
      </c>
    </row>
    <row r="364" spans="1:7" ht="255" x14ac:dyDescent="0.25">
      <c r="A364" s="2">
        <v>363</v>
      </c>
      <c r="B364" s="2">
        <v>68</v>
      </c>
      <c r="C364" s="2">
        <v>0.7</v>
      </c>
      <c r="D364" s="2">
        <v>0.1</v>
      </c>
      <c r="E364" s="2">
        <v>18</v>
      </c>
      <c r="F364" s="2" t="s">
        <v>728</v>
      </c>
      <c r="G364" s="2" t="s">
        <v>729</v>
      </c>
    </row>
    <row r="365" spans="1:7" ht="150" x14ac:dyDescent="0.25">
      <c r="A365" s="2">
        <v>364</v>
      </c>
      <c r="B365" s="2">
        <v>100</v>
      </c>
      <c r="C365" s="2">
        <v>0.8</v>
      </c>
      <c r="D365" s="2">
        <v>0.2</v>
      </c>
      <c r="E365" s="2">
        <v>23.8</v>
      </c>
      <c r="F365" s="2" t="s">
        <v>730</v>
      </c>
      <c r="G365" s="2" t="s">
        <v>731</v>
      </c>
    </row>
    <row r="366" spans="1:7" ht="255" x14ac:dyDescent="0.25">
      <c r="A366" s="2">
        <v>365</v>
      </c>
      <c r="B366" s="2">
        <v>95</v>
      </c>
      <c r="C366" s="2">
        <v>1</v>
      </c>
      <c r="D366" s="2">
        <v>0.1</v>
      </c>
      <c r="E366" s="2">
        <v>22.6</v>
      </c>
      <c r="F366" s="2" t="s">
        <v>732</v>
      </c>
      <c r="G366" s="2" t="s">
        <v>733</v>
      </c>
    </row>
    <row r="367" spans="1:7" ht="225" x14ac:dyDescent="0.25">
      <c r="A367" s="2">
        <v>366</v>
      </c>
      <c r="B367" s="2">
        <v>100</v>
      </c>
      <c r="C367" s="2">
        <v>0.8</v>
      </c>
      <c r="D367" s="2">
        <v>0.2</v>
      </c>
      <c r="E367" s="2">
        <v>23.8</v>
      </c>
      <c r="F367" s="2" t="s">
        <v>734</v>
      </c>
      <c r="G367" s="2" t="s">
        <v>735</v>
      </c>
    </row>
    <row r="368" spans="1:7" ht="135" x14ac:dyDescent="0.25">
      <c r="A368" s="2">
        <v>367</v>
      </c>
      <c r="B368" s="2">
        <v>77</v>
      </c>
      <c r="C368" s="2">
        <v>0.6</v>
      </c>
      <c r="D368" s="2">
        <v>0.2</v>
      </c>
      <c r="E368" s="2">
        <v>18.399999999999999</v>
      </c>
      <c r="F368" s="2" t="s">
        <v>736</v>
      </c>
      <c r="G368" s="2" t="s">
        <v>737</v>
      </c>
    </row>
    <row r="369" spans="1:7" ht="165" x14ac:dyDescent="0.25">
      <c r="A369" s="2">
        <v>368</v>
      </c>
      <c r="B369" s="2">
        <v>338</v>
      </c>
      <c r="C369" s="2">
        <v>1.5</v>
      </c>
      <c r="D369" s="2">
        <v>0.7</v>
      </c>
      <c r="E369" s="2">
        <v>81.3</v>
      </c>
      <c r="F369" s="2" t="s">
        <v>738</v>
      </c>
      <c r="G369" s="2" t="s">
        <v>739</v>
      </c>
    </row>
    <row r="370" spans="1:7" ht="135" x14ac:dyDescent="0.25">
      <c r="A370" s="2">
        <v>369</v>
      </c>
      <c r="B370" s="2">
        <v>191</v>
      </c>
      <c r="C370" s="2">
        <v>4.5</v>
      </c>
      <c r="D370" s="2">
        <v>1.5</v>
      </c>
      <c r="E370" s="2">
        <v>39.700000000000003</v>
      </c>
      <c r="F370" s="2" t="s">
        <v>740</v>
      </c>
      <c r="G370" s="2" t="s">
        <v>741</v>
      </c>
    </row>
    <row r="371" spans="1:7" ht="135" x14ac:dyDescent="0.25">
      <c r="A371" s="2">
        <v>370</v>
      </c>
      <c r="B371" s="2">
        <v>347</v>
      </c>
      <c r="C371" s="2">
        <v>1.3</v>
      </c>
      <c r="D371" s="2">
        <v>0.7</v>
      </c>
      <c r="E371" s="2">
        <v>83.8</v>
      </c>
      <c r="F371" s="2" t="s">
        <v>742</v>
      </c>
      <c r="G371" s="2" t="s">
        <v>743</v>
      </c>
    </row>
    <row r="372" spans="1:7" ht="180" x14ac:dyDescent="0.25">
      <c r="A372" s="2">
        <v>371</v>
      </c>
      <c r="B372" s="2">
        <v>195</v>
      </c>
      <c r="C372" s="2">
        <v>0.4</v>
      </c>
      <c r="D372" s="2">
        <v>1.7</v>
      </c>
      <c r="E372" s="2">
        <v>44.4</v>
      </c>
      <c r="F372" s="2" t="s">
        <v>744</v>
      </c>
      <c r="G372" s="2" t="s">
        <v>745</v>
      </c>
    </row>
    <row r="373" spans="1:7" ht="240" x14ac:dyDescent="0.25">
      <c r="A373" s="2">
        <v>372</v>
      </c>
      <c r="B373" s="2">
        <v>389</v>
      </c>
      <c r="C373" s="2">
        <v>0</v>
      </c>
      <c r="D373" s="2">
        <v>0</v>
      </c>
      <c r="E373" s="2">
        <v>91</v>
      </c>
      <c r="F373" s="2" t="s">
        <v>746</v>
      </c>
      <c r="G373" s="2" t="s">
        <v>747</v>
      </c>
    </row>
    <row r="374" spans="1:7" ht="255" x14ac:dyDescent="0.25">
      <c r="A374" s="2">
        <v>373</v>
      </c>
      <c r="B374" s="2">
        <v>95</v>
      </c>
      <c r="C374" s="2">
        <v>1.5</v>
      </c>
      <c r="D374" s="2">
        <v>0.1</v>
      </c>
      <c r="E374" s="2">
        <v>22.4</v>
      </c>
      <c r="F374" s="2" t="s">
        <v>748</v>
      </c>
      <c r="G374" s="2" t="s">
        <v>749</v>
      </c>
    </row>
    <row r="375" spans="1:7" ht="360" x14ac:dyDescent="0.25">
      <c r="A375" s="2">
        <v>374</v>
      </c>
      <c r="B375" s="2">
        <v>131</v>
      </c>
      <c r="C375" s="2">
        <v>1.1000000000000001</v>
      </c>
      <c r="D375" s="2">
        <v>0.2</v>
      </c>
      <c r="E375" s="2">
        <v>31.3</v>
      </c>
      <c r="F375" s="2" t="s">
        <v>750</v>
      </c>
      <c r="G375" s="2" t="s">
        <v>751</v>
      </c>
    </row>
    <row r="376" spans="1:7" ht="225" x14ac:dyDescent="0.25">
      <c r="A376" s="2">
        <v>375</v>
      </c>
      <c r="B376" s="2">
        <v>274</v>
      </c>
      <c r="C376" s="2">
        <v>1.7</v>
      </c>
      <c r="D376" s="2">
        <v>5.4</v>
      </c>
      <c r="E376" s="2">
        <v>55.5</v>
      </c>
      <c r="F376" s="2" t="s">
        <v>752</v>
      </c>
      <c r="G376" s="2" t="s">
        <v>753</v>
      </c>
    </row>
    <row r="377" spans="1:7" ht="150" x14ac:dyDescent="0.25">
      <c r="A377" s="2">
        <v>376</v>
      </c>
      <c r="B377" s="2">
        <v>407</v>
      </c>
      <c r="C377" s="2">
        <v>6.4</v>
      </c>
      <c r="D377" s="2">
        <v>28.2</v>
      </c>
      <c r="E377" s="2">
        <v>32</v>
      </c>
      <c r="F377" s="2" t="s">
        <v>754</v>
      </c>
      <c r="G377" s="2" t="s">
        <v>755</v>
      </c>
    </row>
    <row r="378" spans="1:7" ht="285" x14ac:dyDescent="0.25">
      <c r="A378" s="2">
        <v>377</v>
      </c>
      <c r="B378" s="2">
        <v>35</v>
      </c>
      <c r="C378" s="2">
        <v>1.7</v>
      </c>
      <c r="D378" s="2">
        <v>0.2</v>
      </c>
      <c r="E378" s="2">
        <v>7.7</v>
      </c>
      <c r="F378" s="2" t="s">
        <v>756</v>
      </c>
      <c r="G378" s="2" t="s">
        <v>757</v>
      </c>
    </row>
    <row r="379" spans="1:7" ht="180" x14ac:dyDescent="0.25">
      <c r="A379" s="2">
        <v>378</v>
      </c>
      <c r="B379" s="2">
        <v>350</v>
      </c>
      <c r="C379" s="2">
        <v>1.4</v>
      </c>
      <c r="D379" s="2">
        <v>14.4</v>
      </c>
      <c r="E379" s="2">
        <v>53.6</v>
      </c>
      <c r="F379" s="2" t="s">
        <v>758</v>
      </c>
      <c r="G379" s="2" t="s">
        <v>759</v>
      </c>
    </row>
    <row r="380" spans="1:7" ht="135" x14ac:dyDescent="0.25">
      <c r="A380" s="2">
        <v>379</v>
      </c>
      <c r="B380" s="2">
        <v>462</v>
      </c>
      <c r="C380" s="2">
        <v>3.1</v>
      </c>
      <c r="D380" s="2">
        <v>24.4</v>
      </c>
      <c r="E380" s="2">
        <v>57.7</v>
      </c>
      <c r="F380" s="2" t="s">
        <v>760</v>
      </c>
      <c r="G380" s="2" t="s">
        <v>761</v>
      </c>
    </row>
    <row r="381" spans="1:7" ht="120" x14ac:dyDescent="0.25">
      <c r="A381" s="2">
        <v>380</v>
      </c>
      <c r="B381" s="2">
        <v>75</v>
      </c>
      <c r="C381" s="2">
        <v>8.1999999999999993</v>
      </c>
      <c r="D381" s="2">
        <v>2</v>
      </c>
      <c r="E381" s="2">
        <v>6</v>
      </c>
      <c r="F381" s="2" t="s">
        <v>762</v>
      </c>
      <c r="G381" s="2" t="s">
        <v>763</v>
      </c>
    </row>
    <row r="382" spans="1:7" ht="150" x14ac:dyDescent="0.25">
      <c r="A382" s="2">
        <v>381</v>
      </c>
      <c r="B382" s="2">
        <v>360</v>
      </c>
      <c r="C382" s="2">
        <v>1.3</v>
      </c>
      <c r="D382" s="2">
        <v>6.4</v>
      </c>
      <c r="E382" s="2">
        <v>74.3</v>
      </c>
      <c r="F382" s="2" t="s">
        <v>764</v>
      </c>
      <c r="G382" s="2" t="s">
        <v>765</v>
      </c>
    </row>
    <row r="383" spans="1:7" ht="135" x14ac:dyDescent="0.25">
      <c r="A383" s="2">
        <v>382</v>
      </c>
      <c r="B383" s="2">
        <v>171.4</v>
      </c>
      <c r="C383" s="2">
        <v>4</v>
      </c>
      <c r="D383" s="2">
        <v>4</v>
      </c>
      <c r="E383" s="2">
        <v>32</v>
      </c>
      <c r="F383" s="2" t="s">
        <v>766</v>
      </c>
      <c r="G383" s="2" t="s">
        <v>767</v>
      </c>
    </row>
    <row r="384" spans="1:7" ht="255" x14ac:dyDescent="0.25">
      <c r="A384" s="2">
        <v>383</v>
      </c>
      <c r="B384" s="2">
        <v>144</v>
      </c>
      <c r="C384" s="2">
        <v>1.1000000000000001</v>
      </c>
      <c r="D384" s="2">
        <v>0.4</v>
      </c>
      <c r="E384" s="2">
        <v>34.1</v>
      </c>
      <c r="F384" s="2" t="s">
        <v>768</v>
      </c>
      <c r="G384" s="2" t="s">
        <v>769</v>
      </c>
    </row>
    <row r="385" spans="1:7" ht="195" x14ac:dyDescent="0.25">
      <c r="A385" s="2">
        <v>384</v>
      </c>
      <c r="B385" s="2">
        <v>204</v>
      </c>
      <c r="C385" s="2">
        <v>0.5</v>
      </c>
      <c r="D385" s="2">
        <v>1.4</v>
      </c>
      <c r="E385" s="2">
        <v>47.4</v>
      </c>
      <c r="F385" s="2" t="s">
        <v>770</v>
      </c>
      <c r="G385" s="2" t="s">
        <v>771</v>
      </c>
    </row>
    <row r="386" spans="1:7" ht="150" x14ac:dyDescent="0.25">
      <c r="A386" s="2">
        <v>385</v>
      </c>
      <c r="B386" s="2">
        <v>114</v>
      </c>
      <c r="C386" s="2">
        <v>16.3</v>
      </c>
      <c r="D386" s="2">
        <v>4.5999999999999996</v>
      </c>
      <c r="E386" s="2">
        <v>0.8</v>
      </c>
      <c r="F386" s="2" t="s">
        <v>772</v>
      </c>
      <c r="G386" s="2" t="s">
        <v>110</v>
      </c>
    </row>
    <row r="387" spans="1:7" ht="225" x14ac:dyDescent="0.25">
      <c r="A387" s="2">
        <v>386</v>
      </c>
      <c r="B387" s="2">
        <v>105</v>
      </c>
      <c r="C387" s="2">
        <v>16.600000000000001</v>
      </c>
      <c r="D387" s="2">
        <v>3.3</v>
      </c>
      <c r="E387" s="2">
        <v>1</v>
      </c>
      <c r="F387" s="2" t="s">
        <v>773</v>
      </c>
      <c r="G387" s="2" t="s">
        <v>774</v>
      </c>
    </row>
    <row r="388" spans="1:7" ht="165" x14ac:dyDescent="0.25">
      <c r="A388" s="2">
        <v>387</v>
      </c>
      <c r="B388" s="2">
        <v>141</v>
      </c>
      <c r="C388" s="2">
        <v>15</v>
      </c>
      <c r="D388" s="2">
        <v>8.1</v>
      </c>
      <c r="E388" s="2">
        <v>0.9</v>
      </c>
      <c r="F388" s="2" t="s">
        <v>775</v>
      </c>
      <c r="G388" s="2" t="s">
        <v>776</v>
      </c>
    </row>
    <row r="389" spans="1:7" ht="409.5" x14ac:dyDescent="0.25">
      <c r="A389" s="2">
        <v>388</v>
      </c>
      <c r="B389" s="2">
        <v>53</v>
      </c>
      <c r="C389" s="2">
        <v>1.6</v>
      </c>
      <c r="D389" s="2">
        <v>1.6</v>
      </c>
      <c r="E389" s="2">
        <v>8.8000000000000007</v>
      </c>
      <c r="F389" s="2" t="s">
        <v>777</v>
      </c>
      <c r="G389" s="2" t="s">
        <v>778</v>
      </c>
    </row>
    <row r="390" spans="1:7" ht="285" x14ac:dyDescent="0.25">
      <c r="A390" s="2">
        <v>389</v>
      </c>
      <c r="B390" s="2">
        <v>160</v>
      </c>
      <c r="C390" s="2">
        <v>3.3</v>
      </c>
      <c r="D390" s="2">
        <v>9.1999999999999993</v>
      </c>
      <c r="E390" s="2">
        <v>16</v>
      </c>
      <c r="F390" s="2" t="s">
        <v>779</v>
      </c>
      <c r="G390" s="2" t="s">
        <v>780</v>
      </c>
    </row>
    <row r="391" spans="1:7" ht="135" x14ac:dyDescent="0.25">
      <c r="A391" s="2">
        <v>390</v>
      </c>
      <c r="B391" s="2">
        <v>368</v>
      </c>
      <c r="C391" s="2">
        <v>0</v>
      </c>
      <c r="D391" s="2">
        <v>0</v>
      </c>
      <c r="E391" s="2">
        <v>95</v>
      </c>
      <c r="F391" s="2" t="s">
        <v>781</v>
      </c>
      <c r="G391" s="2" t="s">
        <v>782</v>
      </c>
    </row>
    <row r="392" spans="1:7" ht="135" x14ac:dyDescent="0.25">
      <c r="A392" s="2">
        <v>391</v>
      </c>
      <c r="B392" s="2">
        <v>386</v>
      </c>
      <c r="C392" s="2">
        <v>3</v>
      </c>
      <c r="D392" s="2">
        <v>10</v>
      </c>
      <c r="E392" s="2">
        <v>76</v>
      </c>
      <c r="F392" s="2" t="s">
        <v>783</v>
      </c>
      <c r="G392" s="2" t="s">
        <v>784</v>
      </c>
    </row>
    <row r="393" spans="1:7" ht="375" x14ac:dyDescent="0.25">
      <c r="A393" s="2">
        <v>392</v>
      </c>
      <c r="B393" s="2">
        <v>356</v>
      </c>
      <c r="C393" s="2">
        <v>0.4</v>
      </c>
      <c r="D393" s="2">
        <v>0.5</v>
      </c>
      <c r="E393" s="2">
        <v>90.6</v>
      </c>
      <c r="F393" s="2" t="s">
        <v>785</v>
      </c>
      <c r="G393" s="2" t="s">
        <v>786</v>
      </c>
    </row>
    <row r="394" spans="1:7" ht="240" x14ac:dyDescent="0.25">
      <c r="A394" s="2">
        <v>393</v>
      </c>
      <c r="B394" s="2">
        <v>394</v>
      </c>
      <c r="C394" s="2">
        <v>0</v>
      </c>
      <c r="D394" s="2">
        <v>0</v>
      </c>
      <c r="E394" s="2">
        <v>94</v>
      </c>
      <c r="F394" s="2" t="s">
        <v>787</v>
      </c>
      <c r="G394" s="2" t="s">
        <v>788</v>
      </c>
    </row>
    <row r="395" spans="1:7" ht="300" x14ac:dyDescent="0.25">
      <c r="A395" s="2">
        <v>394</v>
      </c>
      <c r="B395" s="2">
        <v>52</v>
      </c>
      <c r="C395" s="2">
        <v>10</v>
      </c>
      <c r="D395" s="2">
        <v>0.5</v>
      </c>
      <c r="E395" s="2">
        <v>1.8</v>
      </c>
      <c r="F395" s="2" t="s">
        <v>789</v>
      </c>
      <c r="G395" s="2" t="s">
        <v>790</v>
      </c>
    </row>
    <row r="396" spans="1:7" ht="105" x14ac:dyDescent="0.25">
      <c r="A396" s="2">
        <v>395</v>
      </c>
      <c r="B396" s="2">
        <v>106</v>
      </c>
      <c r="C396" s="2">
        <v>16.5</v>
      </c>
      <c r="D396" s="2">
        <v>3.3</v>
      </c>
      <c r="E396" s="2">
        <v>2.5</v>
      </c>
      <c r="F396" s="2" t="s">
        <v>791</v>
      </c>
      <c r="G396" s="2" t="s">
        <v>792</v>
      </c>
    </row>
    <row r="397" spans="1:7" ht="240" x14ac:dyDescent="0.25">
      <c r="A397" s="2">
        <v>396</v>
      </c>
      <c r="B397" s="2">
        <v>148</v>
      </c>
      <c r="C397" s="2">
        <v>10</v>
      </c>
      <c r="D397" s="2">
        <v>9.8000000000000007</v>
      </c>
      <c r="E397" s="2">
        <v>5</v>
      </c>
      <c r="F397" s="2" t="s">
        <v>793</v>
      </c>
      <c r="G397" s="2" t="s">
        <v>794</v>
      </c>
    </row>
    <row r="398" spans="1:7" ht="135" x14ac:dyDescent="0.25">
      <c r="A398" s="2">
        <v>397</v>
      </c>
      <c r="B398" s="2">
        <v>126</v>
      </c>
      <c r="C398" s="2">
        <v>4.2</v>
      </c>
      <c r="D398" s="2">
        <v>9.4</v>
      </c>
      <c r="E398" s="2">
        <v>6.2</v>
      </c>
      <c r="F398" s="2" t="s">
        <v>795</v>
      </c>
      <c r="G398" s="2" t="s">
        <v>796</v>
      </c>
    </row>
    <row r="399" spans="1:7" ht="225" x14ac:dyDescent="0.25">
      <c r="A399" s="2">
        <v>398</v>
      </c>
      <c r="B399" s="2">
        <v>110</v>
      </c>
      <c r="C399" s="2">
        <v>5.9</v>
      </c>
      <c r="D399" s="2">
        <v>8.1999999999999993</v>
      </c>
      <c r="E399" s="2">
        <v>3.2</v>
      </c>
      <c r="F399" s="2" t="s">
        <v>797</v>
      </c>
      <c r="G399" s="2" t="s">
        <v>798</v>
      </c>
    </row>
    <row r="400" spans="1:7" ht="165" x14ac:dyDescent="0.25">
      <c r="A400" s="2">
        <v>399</v>
      </c>
      <c r="B400" s="2">
        <v>143</v>
      </c>
      <c r="C400" s="2">
        <v>4</v>
      </c>
      <c r="D400" s="2">
        <v>11.4</v>
      </c>
      <c r="E400" s="2">
        <v>6</v>
      </c>
      <c r="F400" s="2" t="s">
        <v>799</v>
      </c>
      <c r="G400" s="2" t="s">
        <v>800</v>
      </c>
    </row>
    <row r="401" spans="1:7" ht="165" x14ac:dyDescent="0.25">
      <c r="A401" s="2">
        <v>400</v>
      </c>
      <c r="B401" s="2">
        <v>176</v>
      </c>
      <c r="C401" s="2">
        <v>7.3</v>
      </c>
      <c r="D401" s="2">
        <v>14.9</v>
      </c>
      <c r="E401" s="2">
        <v>3.2</v>
      </c>
      <c r="F401" s="2" t="s">
        <v>801</v>
      </c>
      <c r="G401" s="2" t="s">
        <v>802</v>
      </c>
    </row>
    <row r="402" spans="1:7" ht="150" x14ac:dyDescent="0.25">
      <c r="A402" s="2">
        <v>401</v>
      </c>
      <c r="B402" s="2">
        <v>132</v>
      </c>
      <c r="C402" s="2">
        <v>9</v>
      </c>
      <c r="D402" s="2">
        <v>7.2</v>
      </c>
      <c r="E402" s="2">
        <v>7.8</v>
      </c>
      <c r="F402" s="2" t="s">
        <v>803</v>
      </c>
      <c r="G402" s="2" t="s">
        <v>804</v>
      </c>
    </row>
    <row r="403" spans="1:7" ht="180" x14ac:dyDescent="0.25">
      <c r="A403" s="2">
        <v>402</v>
      </c>
      <c r="B403" s="2">
        <v>192</v>
      </c>
      <c r="C403" s="2">
        <v>12.7</v>
      </c>
      <c r="D403" s="2">
        <v>10.1</v>
      </c>
      <c r="E403" s="2">
        <v>12.7</v>
      </c>
      <c r="F403" s="2" t="s">
        <v>805</v>
      </c>
      <c r="G403" s="2" t="s">
        <v>806</v>
      </c>
    </row>
    <row r="404" spans="1:7" ht="105" x14ac:dyDescent="0.25">
      <c r="A404" s="2">
        <v>403</v>
      </c>
      <c r="B404" s="2">
        <v>218</v>
      </c>
      <c r="C404" s="2">
        <v>0.5</v>
      </c>
      <c r="D404" s="2">
        <v>2.5</v>
      </c>
      <c r="E404" s="2">
        <v>48.5</v>
      </c>
      <c r="F404" s="2" t="s">
        <v>807</v>
      </c>
      <c r="G404" s="2" t="s">
        <v>808</v>
      </c>
    </row>
    <row r="405" spans="1:7" ht="165" x14ac:dyDescent="0.25">
      <c r="A405" s="2">
        <v>404</v>
      </c>
      <c r="B405" s="2">
        <v>389</v>
      </c>
      <c r="C405" s="2">
        <v>16.899999999999999</v>
      </c>
      <c r="D405" s="2">
        <v>35</v>
      </c>
      <c r="E405" s="2">
        <v>0.3</v>
      </c>
      <c r="F405" s="2" t="s">
        <v>809</v>
      </c>
      <c r="G405" s="2" t="s">
        <v>810</v>
      </c>
    </row>
    <row r="406" spans="1:7" ht="150" x14ac:dyDescent="0.25">
      <c r="A406" s="2">
        <v>405</v>
      </c>
      <c r="B406" s="2">
        <v>65</v>
      </c>
      <c r="C406" s="2">
        <v>10</v>
      </c>
      <c r="D406" s="2">
        <v>1</v>
      </c>
      <c r="E406" s="2">
        <v>3.5</v>
      </c>
      <c r="F406" s="2" t="s">
        <v>811</v>
      </c>
      <c r="G406" s="2" t="s">
        <v>812</v>
      </c>
    </row>
    <row r="407" spans="1:7" ht="180" x14ac:dyDescent="0.25">
      <c r="A407" s="2">
        <v>406</v>
      </c>
      <c r="B407" s="2">
        <v>134</v>
      </c>
      <c r="C407" s="2">
        <v>19.7</v>
      </c>
      <c r="D407" s="2">
        <v>4.8</v>
      </c>
      <c r="E407" s="2">
        <v>1.7</v>
      </c>
      <c r="F407" s="2" t="s">
        <v>813</v>
      </c>
      <c r="G407" s="2" t="s">
        <v>814</v>
      </c>
    </row>
    <row r="408" spans="1:7" ht="150" x14ac:dyDescent="0.25">
      <c r="A408" s="2">
        <v>407</v>
      </c>
      <c r="B408" s="2">
        <v>136</v>
      </c>
      <c r="C408" s="2">
        <v>19.7</v>
      </c>
      <c r="D408" s="2">
        <v>3.2</v>
      </c>
      <c r="E408" s="2">
        <v>6</v>
      </c>
      <c r="F408" s="2" t="s">
        <v>815</v>
      </c>
      <c r="G408" s="2" t="s">
        <v>816</v>
      </c>
    </row>
    <row r="409" spans="1:7" ht="135" x14ac:dyDescent="0.25">
      <c r="A409" s="2">
        <v>408</v>
      </c>
      <c r="B409" s="2">
        <v>390</v>
      </c>
      <c r="C409" s="2">
        <v>14.2</v>
      </c>
      <c r="D409" s="2">
        <v>7.4</v>
      </c>
      <c r="E409" s="2">
        <v>68.2</v>
      </c>
      <c r="F409" s="2" t="s">
        <v>817</v>
      </c>
      <c r="G409" s="2" t="s">
        <v>818</v>
      </c>
    </row>
    <row r="410" spans="1:7" ht="135" x14ac:dyDescent="0.25">
      <c r="A410" s="2">
        <v>409</v>
      </c>
      <c r="B410" s="2">
        <v>127</v>
      </c>
      <c r="C410" s="2">
        <v>1.2</v>
      </c>
      <c r="D410" s="2">
        <v>0.5</v>
      </c>
      <c r="E410" s="2">
        <v>29.5</v>
      </c>
      <c r="F410" s="2" t="s">
        <v>819</v>
      </c>
      <c r="G410" s="2" t="s">
        <v>820</v>
      </c>
    </row>
    <row r="411" spans="1:7" ht="225" x14ac:dyDescent="0.25">
      <c r="A411" s="2">
        <v>410</v>
      </c>
      <c r="B411" s="2">
        <v>146</v>
      </c>
      <c r="C411" s="2">
        <v>17.7</v>
      </c>
      <c r="D411" s="2">
        <v>5.9</v>
      </c>
      <c r="E411" s="2">
        <v>5.6</v>
      </c>
      <c r="F411" s="2" t="s">
        <v>821</v>
      </c>
      <c r="G411" s="2" t="s">
        <v>822</v>
      </c>
    </row>
    <row r="412" spans="1:7" ht="150" x14ac:dyDescent="0.25">
      <c r="A412" s="2">
        <v>411</v>
      </c>
      <c r="B412" s="2">
        <v>380</v>
      </c>
      <c r="C412" s="2">
        <v>33.6</v>
      </c>
      <c r="D412" s="2">
        <v>27.5</v>
      </c>
      <c r="E412" s="2">
        <v>0</v>
      </c>
      <c r="F412" s="2" t="s">
        <v>823</v>
      </c>
      <c r="G412" s="2" t="s">
        <v>824</v>
      </c>
    </row>
    <row r="413" spans="1:7" ht="270" x14ac:dyDescent="0.25">
      <c r="A413" s="2">
        <v>412</v>
      </c>
      <c r="B413" s="2">
        <v>456</v>
      </c>
      <c r="C413" s="2">
        <v>46.5</v>
      </c>
      <c r="D413" s="2">
        <v>24.4</v>
      </c>
      <c r="E413" s="2">
        <v>0</v>
      </c>
      <c r="F413" s="2" t="s">
        <v>825</v>
      </c>
      <c r="G413" s="2" t="s">
        <v>826</v>
      </c>
    </row>
    <row r="414" spans="1:7" ht="150" x14ac:dyDescent="0.25">
      <c r="A414" s="2">
        <v>413</v>
      </c>
      <c r="B414" s="2">
        <v>348</v>
      </c>
      <c r="C414" s="2">
        <v>18.7</v>
      </c>
      <c r="D414" s="2">
        <v>29.5</v>
      </c>
      <c r="E414" s="2">
        <v>0</v>
      </c>
      <c r="F414" s="2" t="s">
        <v>827</v>
      </c>
      <c r="G414" s="2" t="s">
        <v>828</v>
      </c>
    </row>
    <row r="415" spans="1:7" ht="135" x14ac:dyDescent="0.25">
      <c r="A415" s="2">
        <v>414</v>
      </c>
      <c r="B415" s="2">
        <v>193</v>
      </c>
      <c r="C415" s="2">
        <v>42</v>
      </c>
      <c r="D415" s="2">
        <v>1.5</v>
      </c>
      <c r="E415" s="2">
        <v>0</v>
      </c>
      <c r="F415" s="2" t="s">
        <v>829</v>
      </c>
      <c r="G415" s="2" t="s">
        <v>830</v>
      </c>
    </row>
    <row r="416" spans="1:7" ht="285" x14ac:dyDescent="0.25">
      <c r="A416" s="2">
        <v>415</v>
      </c>
      <c r="B416" s="2">
        <v>430</v>
      </c>
      <c r="C416" s="2">
        <v>58.2</v>
      </c>
      <c r="D416" s="2">
        <v>23.6</v>
      </c>
      <c r="E416" s="2">
        <v>0</v>
      </c>
      <c r="F416" s="2" t="s">
        <v>831</v>
      </c>
      <c r="G416" s="2" t="s">
        <v>832</v>
      </c>
    </row>
    <row r="417" spans="1:7" ht="150" x14ac:dyDescent="0.25">
      <c r="A417" s="2">
        <v>416</v>
      </c>
      <c r="B417" s="2">
        <v>652</v>
      </c>
      <c r="C417" s="2">
        <v>40.4</v>
      </c>
      <c r="D417" s="2">
        <v>54.3</v>
      </c>
      <c r="E417" s="2">
        <v>0</v>
      </c>
      <c r="F417" s="2" t="s">
        <v>833</v>
      </c>
      <c r="G417" s="2" t="s">
        <v>834</v>
      </c>
    </row>
    <row r="418" spans="1:7" ht="270" x14ac:dyDescent="0.25">
      <c r="A418" s="2">
        <v>417</v>
      </c>
      <c r="B418" s="2">
        <v>319</v>
      </c>
      <c r="C418" s="2">
        <v>6.9</v>
      </c>
      <c r="D418" s="2">
        <v>31.7</v>
      </c>
      <c r="E418" s="2">
        <v>0</v>
      </c>
      <c r="F418" s="2" t="s">
        <v>835</v>
      </c>
      <c r="G418" s="2" t="s">
        <v>836</v>
      </c>
    </row>
    <row r="419" spans="1:7" ht="255" x14ac:dyDescent="0.25">
      <c r="A419" s="2">
        <v>418</v>
      </c>
      <c r="B419" s="2">
        <v>430</v>
      </c>
      <c r="C419" s="2">
        <v>33.4</v>
      </c>
      <c r="D419" s="2">
        <v>32.4</v>
      </c>
      <c r="E419" s="2">
        <v>0</v>
      </c>
      <c r="F419" s="2" t="s">
        <v>837</v>
      </c>
      <c r="G419" s="2" t="s">
        <v>838</v>
      </c>
    </row>
    <row r="420" spans="1:7" ht="270" x14ac:dyDescent="0.25">
      <c r="A420" s="2">
        <v>419</v>
      </c>
      <c r="B420" s="2">
        <v>198</v>
      </c>
      <c r="C420" s="2">
        <v>19</v>
      </c>
      <c r="D420" s="2">
        <v>13</v>
      </c>
      <c r="E420" s="2">
        <v>0</v>
      </c>
      <c r="F420" s="2" t="s">
        <v>839</v>
      </c>
      <c r="G420" s="2" t="s">
        <v>840</v>
      </c>
    </row>
    <row r="421" spans="1:7" ht="150" x14ac:dyDescent="0.25">
      <c r="A421" s="2">
        <v>420</v>
      </c>
      <c r="B421" s="2">
        <v>107</v>
      </c>
      <c r="C421" s="2">
        <v>16.5</v>
      </c>
      <c r="D421" s="2">
        <v>3.9</v>
      </c>
      <c r="E421" s="2">
        <v>1.5</v>
      </c>
      <c r="F421" s="2" t="s">
        <v>841</v>
      </c>
      <c r="G421" s="2" t="s">
        <v>842</v>
      </c>
    </row>
    <row r="422" spans="1:7" ht="150" x14ac:dyDescent="0.25">
      <c r="A422" s="2">
        <v>421</v>
      </c>
      <c r="B422" s="2">
        <v>112</v>
      </c>
      <c r="C422" s="2">
        <v>20</v>
      </c>
      <c r="D422" s="2">
        <v>1.3</v>
      </c>
      <c r="E422" s="2">
        <v>3.7</v>
      </c>
      <c r="F422" s="2" t="s">
        <v>843</v>
      </c>
      <c r="G422" s="2" t="s">
        <v>844</v>
      </c>
    </row>
    <row r="423" spans="1:7" ht="210" x14ac:dyDescent="0.25">
      <c r="A423" s="2">
        <v>422</v>
      </c>
      <c r="B423" s="2">
        <v>129</v>
      </c>
      <c r="C423" s="2">
        <v>20</v>
      </c>
      <c r="D423" s="2">
        <v>4.8</v>
      </c>
      <c r="E423" s="2">
        <v>0</v>
      </c>
      <c r="F423" s="2" t="s">
        <v>845</v>
      </c>
      <c r="G423" s="2" t="s">
        <v>846</v>
      </c>
    </row>
    <row r="424" spans="1:7" ht="195" x14ac:dyDescent="0.25">
      <c r="A424" s="2">
        <v>423</v>
      </c>
      <c r="B424" s="2">
        <v>296</v>
      </c>
      <c r="C424" s="2">
        <v>17.100000000000001</v>
      </c>
      <c r="D424" s="2">
        <v>20.3</v>
      </c>
      <c r="E424" s="2">
        <v>11.3</v>
      </c>
      <c r="F424" s="2" t="s">
        <v>847</v>
      </c>
      <c r="G424" s="2" t="s">
        <v>848</v>
      </c>
    </row>
    <row r="425" spans="1:7" ht="135" x14ac:dyDescent="0.25">
      <c r="A425" s="2">
        <v>424</v>
      </c>
      <c r="B425" s="2">
        <v>111</v>
      </c>
      <c r="C425" s="2">
        <v>19.399999999999999</v>
      </c>
      <c r="D425" s="2">
        <v>0.9</v>
      </c>
      <c r="E425" s="2">
        <v>4.8</v>
      </c>
      <c r="F425" s="2" t="s">
        <v>849</v>
      </c>
      <c r="G425" s="2" t="s">
        <v>850</v>
      </c>
    </row>
    <row r="426" spans="1:7" ht="195" x14ac:dyDescent="0.25">
      <c r="A426" s="2">
        <v>425</v>
      </c>
      <c r="B426" s="2">
        <v>78</v>
      </c>
      <c r="C426" s="2">
        <v>14.5</v>
      </c>
      <c r="D426" s="2">
        <v>0.6</v>
      </c>
      <c r="E426" s="2">
        <v>3.7</v>
      </c>
      <c r="F426" s="2" t="s">
        <v>851</v>
      </c>
      <c r="G426" s="2" t="s">
        <v>852</v>
      </c>
    </row>
    <row r="427" spans="1:7" ht="120" x14ac:dyDescent="0.25">
      <c r="A427" s="2">
        <v>426</v>
      </c>
      <c r="B427" s="2">
        <v>144</v>
      </c>
      <c r="C427" s="2">
        <v>17.8</v>
      </c>
      <c r="D427" s="2">
        <v>5.8</v>
      </c>
      <c r="E427" s="2">
        <v>5.2</v>
      </c>
      <c r="F427" s="2" t="s">
        <v>853</v>
      </c>
      <c r="G427" s="2" t="s">
        <v>854</v>
      </c>
    </row>
    <row r="428" spans="1:7" ht="135" x14ac:dyDescent="0.25">
      <c r="A428" s="2">
        <v>427</v>
      </c>
      <c r="B428" s="2">
        <v>123</v>
      </c>
      <c r="C428" s="2">
        <v>15.1</v>
      </c>
      <c r="D428" s="2">
        <v>5.5</v>
      </c>
      <c r="E428" s="2">
        <v>3.3</v>
      </c>
      <c r="F428" s="2" t="s">
        <v>855</v>
      </c>
      <c r="G428" s="2" t="s">
        <v>856</v>
      </c>
    </row>
    <row r="429" spans="1:7" ht="409.5" x14ac:dyDescent="0.25">
      <c r="A429" s="2">
        <v>428</v>
      </c>
      <c r="B429" s="2">
        <v>96</v>
      </c>
      <c r="C429" s="2">
        <v>19</v>
      </c>
      <c r="D429" s="2">
        <v>1.7</v>
      </c>
      <c r="E429" s="2">
        <v>0</v>
      </c>
      <c r="F429" s="2" t="s">
        <v>857</v>
      </c>
      <c r="G429" s="2" t="s">
        <v>858</v>
      </c>
    </row>
    <row r="430" spans="1:7" ht="180" x14ac:dyDescent="0.25">
      <c r="A430" s="2">
        <v>429</v>
      </c>
      <c r="B430" s="2">
        <v>138</v>
      </c>
      <c r="C430" s="2">
        <v>14</v>
      </c>
      <c r="D430" s="2">
        <v>0.7</v>
      </c>
      <c r="E430" s="2">
        <v>7.4</v>
      </c>
      <c r="F430" s="2" t="s">
        <v>859</v>
      </c>
      <c r="G430" s="2" t="s">
        <v>196</v>
      </c>
    </row>
    <row r="431" spans="1:7" ht="120" x14ac:dyDescent="0.25">
      <c r="A431" s="2">
        <v>430</v>
      </c>
      <c r="B431" s="2">
        <v>128</v>
      </c>
      <c r="C431" s="2">
        <v>18</v>
      </c>
      <c r="D431" s="2">
        <v>3</v>
      </c>
      <c r="E431" s="2">
        <v>7.2</v>
      </c>
      <c r="F431" s="2" t="s">
        <v>860</v>
      </c>
      <c r="G431" s="2" t="s">
        <v>861</v>
      </c>
    </row>
    <row r="432" spans="1:7" ht="240" x14ac:dyDescent="0.25">
      <c r="A432" s="2">
        <v>431</v>
      </c>
      <c r="B432" s="2">
        <v>80</v>
      </c>
      <c r="C432" s="2">
        <v>14.7</v>
      </c>
      <c r="D432" s="2">
        <v>1.4</v>
      </c>
      <c r="E432" s="2">
        <v>2.2000000000000002</v>
      </c>
      <c r="F432" s="2" t="s">
        <v>862</v>
      </c>
      <c r="G432" s="2" t="s">
        <v>863</v>
      </c>
    </row>
    <row r="433" spans="1:7" ht="150" x14ac:dyDescent="0.25">
      <c r="A433" s="2">
        <v>432</v>
      </c>
      <c r="B433" s="2">
        <v>417</v>
      </c>
      <c r="C433" s="2">
        <v>25.9</v>
      </c>
      <c r="D433" s="2">
        <v>19.399999999999999</v>
      </c>
      <c r="E433" s="2">
        <v>32</v>
      </c>
      <c r="F433" s="2" t="s">
        <v>864</v>
      </c>
      <c r="G433" s="2" t="s">
        <v>865</v>
      </c>
    </row>
    <row r="434" spans="1:7" ht="210" x14ac:dyDescent="0.25">
      <c r="A434" s="2">
        <v>433</v>
      </c>
      <c r="B434" s="2">
        <v>82</v>
      </c>
      <c r="C434" s="2">
        <v>6.7</v>
      </c>
      <c r="D434" s="2">
        <v>1</v>
      </c>
      <c r="E434" s="2">
        <v>10.9</v>
      </c>
      <c r="F434" s="2" t="s">
        <v>866</v>
      </c>
      <c r="G434" s="2" t="s">
        <v>867</v>
      </c>
    </row>
    <row r="435" spans="1:7" ht="135" x14ac:dyDescent="0.25">
      <c r="A435" s="2">
        <v>434</v>
      </c>
      <c r="B435" s="2">
        <v>66</v>
      </c>
      <c r="C435" s="2">
        <v>14</v>
      </c>
      <c r="D435" s="2">
        <v>0</v>
      </c>
      <c r="E435" s="2">
        <v>0</v>
      </c>
      <c r="F435" s="2" t="s">
        <v>868</v>
      </c>
      <c r="G435" s="2" t="s">
        <v>869</v>
      </c>
    </row>
    <row r="436" spans="1:7" ht="150" x14ac:dyDescent="0.25">
      <c r="A436" s="2">
        <v>435</v>
      </c>
      <c r="B436" s="2">
        <v>90</v>
      </c>
      <c r="C436" s="2">
        <v>14.9</v>
      </c>
      <c r="D436" s="2">
        <v>2.5</v>
      </c>
      <c r="E436" s="2">
        <v>2.1</v>
      </c>
      <c r="F436" s="2" t="s">
        <v>870</v>
      </c>
      <c r="G436" s="2" t="s">
        <v>871</v>
      </c>
    </row>
    <row r="437" spans="1:7" ht="150" x14ac:dyDescent="0.25">
      <c r="A437" s="2">
        <v>436</v>
      </c>
      <c r="B437" s="2">
        <v>88</v>
      </c>
      <c r="C437" s="2">
        <v>14.2</v>
      </c>
      <c r="D437" s="2">
        <v>0.7</v>
      </c>
      <c r="E437" s="2">
        <v>6.2</v>
      </c>
      <c r="F437" s="2" t="s">
        <v>872</v>
      </c>
      <c r="G437" s="2" t="s">
        <v>873</v>
      </c>
    </row>
    <row r="438" spans="1:7" ht="165" x14ac:dyDescent="0.25">
      <c r="A438" s="2">
        <v>437</v>
      </c>
      <c r="B438" s="2">
        <v>100</v>
      </c>
      <c r="C438" s="2">
        <v>14.7</v>
      </c>
      <c r="D438" s="2">
        <v>2.4</v>
      </c>
      <c r="E438" s="2">
        <v>4.9000000000000004</v>
      </c>
      <c r="F438" s="2" t="s">
        <v>874</v>
      </c>
      <c r="G438" s="2" t="s">
        <v>875</v>
      </c>
    </row>
    <row r="439" spans="1:7" ht="150" x14ac:dyDescent="0.25">
      <c r="A439" s="2">
        <v>438</v>
      </c>
      <c r="B439" s="2">
        <v>134</v>
      </c>
      <c r="C439" s="2">
        <v>25.5</v>
      </c>
      <c r="D439" s="2">
        <v>1.3</v>
      </c>
      <c r="E439" s="2">
        <v>5</v>
      </c>
      <c r="F439" s="2" t="s">
        <v>876</v>
      </c>
      <c r="G439" s="2" t="s">
        <v>877</v>
      </c>
    </row>
    <row r="440" spans="1:7" ht="150" x14ac:dyDescent="0.25">
      <c r="A440" s="2">
        <v>439</v>
      </c>
      <c r="B440" s="2">
        <v>204</v>
      </c>
      <c r="C440" s="2">
        <v>34.200000000000003</v>
      </c>
      <c r="D440" s="2">
        <v>5.6</v>
      </c>
      <c r="E440" s="2">
        <v>1.9</v>
      </c>
      <c r="F440" s="2" t="s">
        <v>878</v>
      </c>
      <c r="G440" s="2" t="s">
        <v>879</v>
      </c>
    </row>
    <row r="441" spans="1:7" ht="210" x14ac:dyDescent="0.25">
      <c r="A441" s="2">
        <v>440</v>
      </c>
      <c r="B441" s="2">
        <v>198</v>
      </c>
      <c r="C441" s="2">
        <v>36.5</v>
      </c>
      <c r="D441" s="2">
        <v>2.2000000000000002</v>
      </c>
      <c r="E441" s="2">
        <v>5.5</v>
      </c>
      <c r="F441" s="2" t="s">
        <v>880</v>
      </c>
      <c r="G441" s="2" t="s">
        <v>881</v>
      </c>
    </row>
    <row r="442" spans="1:7" ht="165" x14ac:dyDescent="0.25">
      <c r="A442" s="2">
        <v>441</v>
      </c>
      <c r="B442" s="2">
        <v>120</v>
      </c>
      <c r="C442" s="2">
        <v>11.3</v>
      </c>
      <c r="D442" s="2">
        <v>3.9</v>
      </c>
      <c r="E442" s="2">
        <v>10</v>
      </c>
      <c r="F442" s="2" t="s">
        <v>882</v>
      </c>
      <c r="G442" s="2" t="s">
        <v>883</v>
      </c>
    </row>
    <row r="443" spans="1:7" ht="165" x14ac:dyDescent="0.25">
      <c r="A443" s="2">
        <v>442</v>
      </c>
      <c r="B443" s="2">
        <v>116</v>
      </c>
      <c r="C443" s="2">
        <v>11.2</v>
      </c>
      <c r="D443" s="2">
        <v>1.2</v>
      </c>
      <c r="E443" s="2">
        <v>10.199999999999999</v>
      </c>
      <c r="F443" s="2" t="s">
        <v>884</v>
      </c>
      <c r="G443" s="2" t="s">
        <v>883</v>
      </c>
    </row>
    <row r="444" spans="1:7" ht="165" x14ac:dyDescent="0.25">
      <c r="A444" s="2">
        <v>443</v>
      </c>
      <c r="B444" s="2">
        <v>86</v>
      </c>
      <c r="C444" s="2">
        <v>10.199999999999999</v>
      </c>
      <c r="D444" s="2">
        <v>1.1000000000000001</v>
      </c>
      <c r="E444" s="2">
        <v>8.6999999999999993</v>
      </c>
      <c r="F444" s="2" t="s">
        <v>885</v>
      </c>
      <c r="G444" s="2" t="s">
        <v>883</v>
      </c>
    </row>
    <row r="445" spans="1:7" ht="165" x14ac:dyDescent="0.25">
      <c r="A445" s="2">
        <v>444</v>
      </c>
      <c r="B445" s="2">
        <v>107</v>
      </c>
      <c r="C445" s="2">
        <v>19.600000000000001</v>
      </c>
      <c r="D445" s="2">
        <v>0.7</v>
      </c>
      <c r="E445" s="2">
        <v>5.5</v>
      </c>
      <c r="F445" s="2" t="s">
        <v>886</v>
      </c>
      <c r="G445" s="2" t="s">
        <v>883</v>
      </c>
    </row>
    <row r="446" spans="1:7" ht="165" x14ac:dyDescent="0.25">
      <c r="A446" s="2">
        <v>445</v>
      </c>
      <c r="B446" s="2">
        <v>81</v>
      </c>
      <c r="C446" s="2">
        <v>11.4</v>
      </c>
      <c r="D446" s="2">
        <v>1.9</v>
      </c>
      <c r="E446" s="2">
        <v>3.8</v>
      </c>
      <c r="F446" s="2" t="s">
        <v>887</v>
      </c>
      <c r="G446" s="2" t="s">
        <v>888</v>
      </c>
    </row>
    <row r="447" spans="1:7" ht="120" x14ac:dyDescent="0.25">
      <c r="A447" s="2">
        <v>446</v>
      </c>
      <c r="B447" s="2">
        <v>101</v>
      </c>
      <c r="C447" s="2">
        <v>11.5</v>
      </c>
      <c r="D447" s="2">
        <v>4.0999999999999996</v>
      </c>
      <c r="E447" s="2">
        <v>4.5999999999999996</v>
      </c>
      <c r="F447" s="2" t="s">
        <v>889</v>
      </c>
      <c r="G447" s="2" t="s">
        <v>890</v>
      </c>
    </row>
    <row r="448" spans="1:7" ht="135" x14ac:dyDescent="0.25">
      <c r="A448" s="2">
        <v>447</v>
      </c>
      <c r="B448" s="2">
        <v>109</v>
      </c>
      <c r="C448" s="2">
        <v>17</v>
      </c>
      <c r="D448" s="2">
        <v>4</v>
      </c>
      <c r="E448" s="2">
        <v>0</v>
      </c>
      <c r="F448" s="2" t="s">
        <v>891</v>
      </c>
      <c r="G448" s="2" t="s">
        <v>892</v>
      </c>
    </row>
    <row r="449" spans="1:7" ht="135" x14ac:dyDescent="0.25">
      <c r="A449" s="2">
        <v>448</v>
      </c>
      <c r="B449" s="2">
        <v>261</v>
      </c>
      <c r="C449" s="2">
        <v>38.1</v>
      </c>
      <c r="D449" s="2">
        <v>2.2999999999999998</v>
      </c>
      <c r="E449" s="2">
        <v>21.9</v>
      </c>
      <c r="F449" s="2" t="s">
        <v>893</v>
      </c>
      <c r="G449" s="2" t="s">
        <v>894</v>
      </c>
    </row>
    <row r="450" spans="1:7" ht="120" x14ac:dyDescent="0.25">
      <c r="A450" s="2">
        <v>449</v>
      </c>
      <c r="B450" s="2">
        <v>292</v>
      </c>
      <c r="C450" s="2">
        <v>58</v>
      </c>
      <c r="D450" s="2">
        <v>4</v>
      </c>
      <c r="E450" s="2">
        <v>0</v>
      </c>
      <c r="F450" s="2" t="s">
        <v>895</v>
      </c>
      <c r="G450" s="2" t="s">
        <v>896</v>
      </c>
    </row>
    <row r="451" spans="1:7" ht="225" x14ac:dyDescent="0.25">
      <c r="A451" s="2">
        <v>450</v>
      </c>
      <c r="B451" s="2">
        <v>74</v>
      </c>
      <c r="C451" s="2">
        <v>25.2</v>
      </c>
      <c r="D451" s="2">
        <v>1.7</v>
      </c>
      <c r="E451" s="2">
        <v>0</v>
      </c>
      <c r="F451" s="2" t="s">
        <v>897</v>
      </c>
      <c r="G451" s="2" t="s">
        <v>898</v>
      </c>
    </row>
    <row r="452" spans="1:7" ht="120" x14ac:dyDescent="0.25">
      <c r="A452" s="2">
        <v>451</v>
      </c>
      <c r="B452" s="2">
        <v>267</v>
      </c>
      <c r="C452" s="2">
        <v>23.1</v>
      </c>
      <c r="D452" s="2">
        <v>19.399999999999999</v>
      </c>
      <c r="E452" s="2">
        <v>0.2</v>
      </c>
      <c r="F452" s="2" t="s">
        <v>899</v>
      </c>
      <c r="G452" s="2" t="s">
        <v>900</v>
      </c>
    </row>
    <row r="453" spans="1:7" ht="105" x14ac:dyDescent="0.25">
      <c r="A453" s="2">
        <v>452</v>
      </c>
      <c r="B453" s="2">
        <v>101</v>
      </c>
      <c r="C453" s="2">
        <v>10.3</v>
      </c>
      <c r="D453" s="2">
        <v>3.7</v>
      </c>
      <c r="E453" s="2">
        <v>6.7</v>
      </c>
      <c r="F453" s="2" t="s">
        <v>901</v>
      </c>
      <c r="G453" s="2" t="s">
        <v>902</v>
      </c>
    </row>
    <row r="454" spans="1:7" ht="120" x14ac:dyDescent="0.25">
      <c r="A454" s="2">
        <v>453</v>
      </c>
      <c r="B454" s="2">
        <v>298</v>
      </c>
      <c r="C454" s="2">
        <v>46.3</v>
      </c>
      <c r="D454" s="2">
        <v>3.6</v>
      </c>
      <c r="E454" s="2">
        <v>20.2</v>
      </c>
      <c r="F454" s="2" t="s">
        <v>903</v>
      </c>
      <c r="G454" s="2" t="s">
        <v>904</v>
      </c>
    </row>
    <row r="455" spans="1:7" ht="180" x14ac:dyDescent="0.25">
      <c r="A455" s="2">
        <v>454</v>
      </c>
      <c r="B455" s="2">
        <v>57</v>
      </c>
      <c r="C455" s="2">
        <v>10.7</v>
      </c>
      <c r="D455" s="2">
        <v>0.3</v>
      </c>
      <c r="E455" s="2">
        <v>2.2000000000000002</v>
      </c>
      <c r="F455" s="2" t="s">
        <v>905</v>
      </c>
      <c r="G455" s="2" t="s">
        <v>906</v>
      </c>
    </row>
    <row r="456" spans="1:7" ht="135" x14ac:dyDescent="0.25">
      <c r="A456" s="2">
        <v>455</v>
      </c>
      <c r="B456" s="2">
        <v>77</v>
      </c>
      <c r="C456" s="2">
        <v>15.6</v>
      </c>
      <c r="D456" s="2">
        <v>0.9</v>
      </c>
      <c r="E456" s="2">
        <v>1.6</v>
      </c>
      <c r="F456" s="2" t="s">
        <v>907</v>
      </c>
      <c r="G456" s="2" t="s">
        <v>908</v>
      </c>
    </row>
    <row r="457" spans="1:7" ht="285" x14ac:dyDescent="0.25">
      <c r="A457" s="2">
        <v>456</v>
      </c>
      <c r="B457" s="2">
        <v>92</v>
      </c>
      <c r="C457" s="2">
        <v>20</v>
      </c>
      <c r="D457" s="2">
        <v>0.7</v>
      </c>
      <c r="E457" s="2">
        <v>0</v>
      </c>
      <c r="F457" s="2" t="s">
        <v>909</v>
      </c>
      <c r="G457" s="2" t="s">
        <v>910</v>
      </c>
    </row>
    <row r="458" spans="1:7" ht="120" x14ac:dyDescent="0.25">
      <c r="A458" s="2">
        <v>457</v>
      </c>
      <c r="B458" s="2">
        <v>82</v>
      </c>
      <c r="C458" s="2">
        <v>11.4</v>
      </c>
      <c r="D458" s="2">
        <v>1.2</v>
      </c>
      <c r="E458" s="2">
        <v>6.4</v>
      </c>
      <c r="F458" s="2" t="s">
        <v>911</v>
      </c>
      <c r="G458" s="2" t="s">
        <v>912</v>
      </c>
    </row>
    <row r="459" spans="1:7" ht="180" x14ac:dyDescent="0.25">
      <c r="A459" s="2">
        <v>458</v>
      </c>
      <c r="B459" s="2">
        <v>132</v>
      </c>
      <c r="C459" s="2">
        <v>17</v>
      </c>
      <c r="D459" s="2">
        <v>6.7</v>
      </c>
      <c r="E459" s="2">
        <v>0.8</v>
      </c>
      <c r="F459" s="2" t="s">
        <v>913</v>
      </c>
      <c r="G459" s="2" t="s">
        <v>914</v>
      </c>
    </row>
    <row r="460" spans="1:7" ht="165" x14ac:dyDescent="0.25">
      <c r="A460" s="2">
        <v>459</v>
      </c>
      <c r="B460" s="2">
        <v>162</v>
      </c>
      <c r="C460" s="2">
        <v>31.7</v>
      </c>
      <c r="D460" s="2">
        <v>2.8</v>
      </c>
      <c r="E460" s="2">
        <v>0.3</v>
      </c>
      <c r="F460" s="2" t="s">
        <v>915</v>
      </c>
      <c r="G460" s="2" t="s">
        <v>916</v>
      </c>
    </row>
    <row r="461" spans="1:7" ht="150" x14ac:dyDescent="0.25">
      <c r="A461" s="2">
        <v>460</v>
      </c>
      <c r="B461" s="2">
        <v>110</v>
      </c>
      <c r="C461" s="2">
        <v>12.6</v>
      </c>
      <c r="D461" s="2">
        <v>4.2</v>
      </c>
      <c r="E461" s="2">
        <v>5.4</v>
      </c>
      <c r="F461" s="2" t="s">
        <v>917</v>
      </c>
      <c r="G461" s="2" t="s">
        <v>918</v>
      </c>
    </row>
    <row r="462" spans="1:7" ht="120" x14ac:dyDescent="0.25">
      <c r="A462" s="2">
        <v>461</v>
      </c>
      <c r="B462" s="2">
        <v>302</v>
      </c>
      <c r="C462" s="2">
        <v>70.7</v>
      </c>
      <c r="D462" s="2">
        <v>1.9</v>
      </c>
      <c r="E462" s="2">
        <v>0.4</v>
      </c>
      <c r="F462" s="2" t="s">
        <v>919</v>
      </c>
      <c r="G462" s="2" t="s">
        <v>920</v>
      </c>
    </row>
    <row r="463" spans="1:7" ht="240" x14ac:dyDescent="0.25">
      <c r="A463" s="2">
        <v>462</v>
      </c>
      <c r="B463" s="2">
        <v>103</v>
      </c>
      <c r="C463" s="2">
        <v>22</v>
      </c>
      <c r="D463" s="2">
        <v>1</v>
      </c>
      <c r="E463" s="2">
        <v>0</v>
      </c>
      <c r="F463" s="2" t="s">
        <v>921</v>
      </c>
      <c r="G463" s="2" t="s">
        <v>922</v>
      </c>
    </row>
    <row r="464" spans="1:7" ht="210" x14ac:dyDescent="0.25">
      <c r="A464" s="2">
        <v>463</v>
      </c>
      <c r="B464" s="2">
        <v>70</v>
      </c>
      <c r="C464" s="2">
        <v>10.8</v>
      </c>
      <c r="D464" s="2">
        <v>0.7</v>
      </c>
      <c r="E464" s="2">
        <v>5.2</v>
      </c>
      <c r="F464" s="2" t="s">
        <v>923</v>
      </c>
      <c r="G464" s="2" t="s">
        <v>924</v>
      </c>
    </row>
    <row r="465" spans="1:7" ht="195" x14ac:dyDescent="0.25">
      <c r="A465" s="2">
        <v>464</v>
      </c>
      <c r="B465" s="2">
        <v>147</v>
      </c>
      <c r="C465" s="2">
        <v>17.5</v>
      </c>
      <c r="D465" s="2">
        <v>6.5</v>
      </c>
      <c r="E465" s="2">
        <v>5.4</v>
      </c>
      <c r="F465" s="2" t="s">
        <v>925</v>
      </c>
      <c r="G465" s="2" t="s">
        <v>926</v>
      </c>
    </row>
    <row r="466" spans="1:7" ht="120" x14ac:dyDescent="0.25">
      <c r="A466" s="2">
        <v>465</v>
      </c>
      <c r="B466" s="2">
        <v>109</v>
      </c>
      <c r="C466" s="2">
        <v>22</v>
      </c>
      <c r="D466" s="2">
        <v>1.7</v>
      </c>
      <c r="E466" s="2">
        <v>0</v>
      </c>
      <c r="F466" s="2" t="s">
        <v>927</v>
      </c>
      <c r="G466" s="2" t="s">
        <v>928</v>
      </c>
    </row>
    <row r="467" spans="1:7" ht="105" x14ac:dyDescent="0.25">
      <c r="A467" s="2">
        <v>466</v>
      </c>
      <c r="B467" s="2">
        <v>82</v>
      </c>
      <c r="C467" s="2">
        <v>18</v>
      </c>
      <c r="D467" s="2">
        <v>1</v>
      </c>
      <c r="E467" s="2">
        <v>0.4</v>
      </c>
      <c r="F467" s="2" t="s">
        <v>929</v>
      </c>
      <c r="G467" s="2" t="s">
        <v>930</v>
      </c>
    </row>
    <row r="468" spans="1:7" ht="195" x14ac:dyDescent="0.25">
      <c r="A468" s="2">
        <v>467</v>
      </c>
      <c r="B468" s="2">
        <v>90</v>
      </c>
      <c r="C468" s="2">
        <v>20.399999999999999</v>
      </c>
      <c r="D468" s="2">
        <v>0.9</v>
      </c>
      <c r="E468" s="2">
        <v>0</v>
      </c>
      <c r="F468" s="2" t="s">
        <v>931</v>
      </c>
      <c r="G468" s="2" t="s">
        <v>932</v>
      </c>
    </row>
    <row r="469" spans="1:7" ht="165" x14ac:dyDescent="0.25">
      <c r="A469" s="2">
        <v>468</v>
      </c>
      <c r="B469" s="2">
        <v>252</v>
      </c>
      <c r="C469" s="2">
        <v>19.899999999999999</v>
      </c>
      <c r="D469" s="2">
        <v>19.100000000000001</v>
      </c>
      <c r="E469" s="2">
        <v>0</v>
      </c>
      <c r="F469" s="2" t="s">
        <v>933</v>
      </c>
      <c r="G469" s="2" t="s">
        <v>934</v>
      </c>
    </row>
    <row r="470" spans="1:7" ht="270" x14ac:dyDescent="0.25">
      <c r="A470" s="2">
        <v>469</v>
      </c>
      <c r="B470" s="2">
        <v>112</v>
      </c>
      <c r="C470" s="2">
        <v>20</v>
      </c>
      <c r="D470" s="2">
        <v>3</v>
      </c>
      <c r="E470" s="2">
        <v>0</v>
      </c>
      <c r="F470" s="2" t="s">
        <v>935</v>
      </c>
      <c r="G470" s="2" t="s">
        <v>936</v>
      </c>
    </row>
    <row r="471" spans="1:7" ht="165" x14ac:dyDescent="0.25">
      <c r="A471" s="2">
        <v>470</v>
      </c>
      <c r="B471" s="2">
        <v>104</v>
      </c>
      <c r="C471" s="2">
        <v>15.6</v>
      </c>
      <c r="D471" s="2">
        <v>3.2</v>
      </c>
      <c r="E471" s="2">
        <v>2</v>
      </c>
      <c r="F471" s="2" t="s">
        <v>937</v>
      </c>
      <c r="G471" s="2" t="s">
        <v>938</v>
      </c>
    </row>
    <row r="472" spans="1:7" ht="210" x14ac:dyDescent="0.25">
      <c r="A472" s="2">
        <v>471</v>
      </c>
      <c r="B472" s="2">
        <v>258</v>
      </c>
      <c r="C472" s="2">
        <v>40.299999999999997</v>
      </c>
      <c r="D472" s="2">
        <v>2.2999999999999998</v>
      </c>
      <c r="E472" s="2">
        <v>18.899999999999999</v>
      </c>
      <c r="F472" s="2" t="s">
        <v>939</v>
      </c>
      <c r="G472" s="2" t="s">
        <v>940</v>
      </c>
    </row>
    <row r="473" spans="1:7" ht="270" x14ac:dyDescent="0.25">
      <c r="A473" s="2">
        <v>472</v>
      </c>
      <c r="B473" s="2">
        <v>99</v>
      </c>
      <c r="C473" s="2">
        <v>20.6</v>
      </c>
      <c r="D473" s="2">
        <v>1.4</v>
      </c>
      <c r="E473" s="2">
        <v>0.9</v>
      </c>
      <c r="F473" s="2" t="s">
        <v>941</v>
      </c>
      <c r="G473" s="2" t="s">
        <v>942</v>
      </c>
    </row>
    <row r="474" spans="1:7" ht="165" x14ac:dyDescent="0.25">
      <c r="A474" s="2">
        <v>473</v>
      </c>
      <c r="B474" s="2">
        <v>86</v>
      </c>
      <c r="C474" s="2">
        <v>16</v>
      </c>
      <c r="D474" s="2">
        <v>2</v>
      </c>
      <c r="E474" s="2">
        <v>0</v>
      </c>
      <c r="F474" s="2" t="s">
        <v>943</v>
      </c>
      <c r="G474" s="2" t="s">
        <v>944</v>
      </c>
    </row>
    <row r="475" spans="1:7" ht="409.5" x14ac:dyDescent="0.25">
      <c r="A475" s="2">
        <v>474</v>
      </c>
      <c r="B475" s="2">
        <v>188</v>
      </c>
      <c r="C475" s="2">
        <v>19.3</v>
      </c>
      <c r="D475" s="2">
        <v>12.2</v>
      </c>
      <c r="E475" s="2">
        <v>0</v>
      </c>
      <c r="F475" s="2" t="s">
        <v>945</v>
      </c>
      <c r="G475" s="2" t="s">
        <v>946</v>
      </c>
    </row>
    <row r="476" spans="1:7" ht="165" x14ac:dyDescent="0.25">
      <c r="A476" s="2">
        <v>475</v>
      </c>
      <c r="B476" s="2">
        <v>209</v>
      </c>
      <c r="C476" s="2">
        <v>15.2</v>
      </c>
      <c r="D476" s="2">
        <v>11.3</v>
      </c>
      <c r="E476" s="2">
        <v>11.8</v>
      </c>
      <c r="F476" s="2" t="s">
        <v>947</v>
      </c>
      <c r="G476" s="2" t="s">
        <v>948</v>
      </c>
    </row>
    <row r="477" spans="1:7" ht="165" x14ac:dyDescent="0.25">
      <c r="A477" s="2">
        <v>476</v>
      </c>
      <c r="B477" s="2">
        <v>97</v>
      </c>
      <c r="C477" s="2">
        <v>17.899999999999999</v>
      </c>
      <c r="D477" s="2">
        <v>2</v>
      </c>
      <c r="E477" s="2">
        <v>0.4</v>
      </c>
      <c r="F477" s="2" t="s">
        <v>949</v>
      </c>
      <c r="G477" s="2" t="s">
        <v>950</v>
      </c>
    </row>
    <row r="478" spans="1:7" ht="225" x14ac:dyDescent="0.25">
      <c r="A478" s="2">
        <v>477</v>
      </c>
      <c r="B478" s="2">
        <v>598</v>
      </c>
      <c r="C478" s="2">
        <v>74.3</v>
      </c>
      <c r="D478" s="2">
        <v>26.9</v>
      </c>
      <c r="E478" s="2">
        <v>9.1999999999999993</v>
      </c>
      <c r="F478" s="2" t="s">
        <v>951</v>
      </c>
      <c r="G478" s="2" t="s">
        <v>646</v>
      </c>
    </row>
    <row r="479" spans="1:7" ht="225" x14ac:dyDescent="0.25">
      <c r="A479" s="2">
        <v>478</v>
      </c>
      <c r="B479" s="2">
        <v>582</v>
      </c>
      <c r="C479" s="2">
        <v>68.3</v>
      </c>
      <c r="D479" s="2">
        <v>15.2</v>
      </c>
      <c r="E479" s="2">
        <v>37.200000000000003</v>
      </c>
      <c r="F479" s="2" t="s">
        <v>952</v>
      </c>
      <c r="G479" s="2" t="s">
        <v>953</v>
      </c>
    </row>
    <row r="480" spans="1:7" ht="180" x14ac:dyDescent="0.25">
      <c r="A480" s="2">
        <v>479</v>
      </c>
      <c r="B480" s="2">
        <v>416</v>
      </c>
      <c r="C480" s="2">
        <v>46.9</v>
      </c>
      <c r="D480" s="2">
        <v>23.9</v>
      </c>
      <c r="E480" s="2">
        <v>0</v>
      </c>
      <c r="F480" s="2" t="s">
        <v>954</v>
      </c>
      <c r="G480" s="2" t="s">
        <v>955</v>
      </c>
    </row>
    <row r="481" spans="1:7" ht="135" x14ac:dyDescent="0.25">
      <c r="A481" s="2">
        <v>480</v>
      </c>
      <c r="B481" s="2">
        <v>121</v>
      </c>
      <c r="C481" s="2">
        <v>21.7</v>
      </c>
      <c r="D481" s="2">
        <v>2.8</v>
      </c>
      <c r="E481" s="2">
        <v>0.8</v>
      </c>
      <c r="F481" s="2" t="s">
        <v>956</v>
      </c>
      <c r="G481" s="2" t="s">
        <v>957</v>
      </c>
    </row>
    <row r="482" spans="1:7" ht="120" x14ac:dyDescent="0.25">
      <c r="A482" s="2">
        <v>481</v>
      </c>
      <c r="B482" s="2">
        <v>89</v>
      </c>
      <c r="C482" s="2">
        <v>18.7</v>
      </c>
      <c r="D482" s="2">
        <v>1</v>
      </c>
      <c r="E482" s="2">
        <v>0</v>
      </c>
      <c r="F482" s="2" t="s">
        <v>958</v>
      </c>
      <c r="G482" s="2" t="s">
        <v>959</v>
      </c>
    </row>
    <row r="483" spans="1:7" ht="300" x14ac:dyDescent="0.25">
      <c r="A483" s="2">
        <v>482</v>
      </c>
      <c r="B483" s="2">
        <v>154</v>
      </c>
      <c r="C483" s="2">
        <v>16.8</v>
      </c>
      <c r="D483" s="2">
        <v>5</v>
      </c>
      <c r="E483" s="2">
        <v>10.5</v>
      </c>
      <c r="F483" s="2" t="s">
        <v>960</v>
      </c>
      <c r="G483" s="2" t="s">
        <v>961</v>
      </c>
    </row>
    <row r="484" spans="1:7" ht="285" x14ac:dyDescent="0.25">
      <c r="A484" s="2">
        <v>483</v>
      </c>
      <c r="B484" s="2">
        <v>125</v>
      </c>
      <c r="C484" s="2">
        <v>21.3</v>
      </c>
      <c r="D484" s="2">
        <v>3.4</v>
      </c>
      <c r="E484" s="2">
        <v>2.2000000000000002</v>
      </c>
      <c r="F484" s="2" t="s">
        <v>962</v>
      </c>
      <c r="G484" s="2" t="s">
        <v>963</v>
      </c>
    </row>
    <row r="485" spans="1:7" ht="150" x14ac:dyDescent="0.25">
      <c r="A485" s="2">
        <v>484</v>
      </c>
      <c r="B485" s="2">
        <v>152</v>
      </c>
      <c r="C485" s="2">
        <v>17.600000000000001</v>
      </c>
      <c r="D485" s="2">
        <v>6.1</v>
      </c>
      <c r="E485" s="2">
        <v>6.7</v>
      </c>
      <c r="F485" s="2" t="s">
        <v>964</v>
      </c>
      <c r="G485" s="2" t="s">
        <v>965</v>
      </c>
    </row>
    <row r="486" spans="1:7" ht="270" x14ac:dyDescent="0.25">
      <c r="A486" s="2">
        <v>485</v>
      </c>
      <c r="B486" s="2">
        <v>120</v>
      </c>
      <c r="C486" s="2">
        <v>14.3</v>
      </c>
      <c r="D486" s="2">
        <v>4.9000000000000004</v>
      </c>
      <c r="E486" s="2">
        <v>4.5999999999999996</v>
      </c>
      <c r="F486" s="2" t="s">
        <v>966</v>
      </c>
      <c r="G486" s="2" t="s">
        <v>967</v>
      </c>
    </row>
    <row r="487" spans="1:7" ht="255" x14ac:dyDescent="0.25">
      <c r="A487" s="2">
        <v>486</v>
      </c>
      <c r="B487" s="2">
        <v>144</v>
      </c>
      <c r="C487" s="2">
        <v>17.5</v>
      </c>
      <c r="D487" s="2">
        <v>6.3</v>
      </c>
      <c r="E487" s="2">
        <v>4.3</v>
      </c>
      <c r="F487" s="2" t="s">
        <v>968</v>
      </c>
      <c r="G487" s="2" t="s">
        <v>969</v>
      </c>
    </row>
    <row r="488" spans="1:7" ht="240" x14ac:dyDescent="0.25">
      <c r="A488" s="2">
        <v>487</v>
      </c>
      <c r="B488" s="2">
        <v>132</v>
      </c>
      <c r="C488" s="2">
        <v>17</v>
      </c>
      <c r="D488" s="2">
        <v>6.6</v>
      </c>
      <c r="E488" s="2">
        <v>1.1000000000000001</v>
      </c>
      <c r="F488" s="2" t="s">
        <v>970</v>
      </c>
      <c r="G488" s="2" t="s">
        <v>971</v>
      </c>
    </row>
    <row r="489" spans="1:7" ht="300" x14ac:dyDescent="0.25">
      <c r="A489" s="2">
        <v>488</v>
      </c>
      <c r="B489" s="2">
        <v>156</v>
      </c>
      <c r="C489" s="2">
        <v>28</v>
      </c>
      <c r="D489" s="2">
        <v>4</v>
      </c>
      <c r="E489" s="2">
        <v>2</v>
      </c>
      <c r="F489" s="2" t="s">
        <v>972</v>
      </c>
      <c r="G489" s="2" t="s">
        <v>973</v>
      </c>
    </row>
    <row r="490" spans="1:7" ht="150" x14ac:dyDescent="0.25">
      <c r="A490" s="2">
        <v>489</v>
      </c>
      <c r="B490" s="2">
        <v>176</v>
      </c>
      <c r="C490" s="2">
        <v>32</v>
      </c>
      <c r="D490" s="2">
        <v>4.4000000000000004</v>
      </c>
      <c r="E490" s="2">
        <v>0</v>
      </c>
      <c r="F490" s="2" t="s">
        <v>974</v>
      </c>
      <c r="G490" s="2" t="s">
        <v>975</v>
      </c>
    </row>
    <row r="491" spans="1:7" ht="210" x14ac:dyDescent="0.25">
      <c r="A491" s="2">
        <v>490</v>
      </c>
      <c r="B491" s="2">
        <v>157</v>
      </c>
      <c r="C491" s="2">
        <v>28</v>
      </c>
      <c r="D491" s="2">
        <v>4.2</v>
      </c>
      <c r="E491" s="2">
        <v>1.8</v>
      </c>
      <c r="F491" s="2" t="s">
        <v>976</v>
      </c>
      <c r="G491" s="2" t="s">
        <v>977</v>
      </c>
    </row>
    <row r="492" spans="1:7" ht="270" x14ac:dyDescent="0.25">
      <c r="A492" s="2">
        <v>491</v>
      </c>
      <c r="B492" s="2">
        <v>170</v>
      </c>
      <c r="C492" s="2">
        <v>31</v>
      </c>
      <c r="D492" s="2">
        <v>4.2</v>
      </c>
      <c r="E492" s="2">
        <v>0</v>
      </c>
      <c r="F492" s="2" t="s">
        <v>978</v>
      </c>
      <c r="G492" s="2" t="s">
        <v>979</v>
      </c>
    </row>
    <row r="493" spans="1:7" ht="120" x14ac:dyDescent="0.25">
      <c r="A493" s="2">
        <v>492</v>
      </c>
      <c r="B493" s="2">
        <v>153</v>
      </c>
      <c r="C493" s="2">
        <v>30</v>
      </c>
      <c r="D493" s="2">
        <v>2.8</v>
      </c>
      <c r="E493" s="2">
        <v>0</v>
      </c>
      <c r="F493" s="2" t="s">
        <v>980</v>
      </c>
      <c r="G493" s="2" t="s">
        <v>981</v>
      </c>
    </row>
    <row r="494" spans="1:7" ht="135" x14ac:dyDescent="0.25">
      <c r="A494" s="2">
        <v>493</v>
      </c>
      <c r="B494" s="2">
        <v>142</v>
      </c>
      <c r="C494" s="2">
        <v>27</v>
      </c>
      <c r="D494" s="2">
        <v>3</v>
      </c>
      <c r="E494" s="2">
        <v>0</v>
      </c>
      <c r="F494" s="2" t="s">
        <v>982</v>
      </c>
      <c r="G494" s="2" t="s">
        <v>983</v>
      </c>
    </row>
    <row r="495" spans="1:7" ht="270" x14ac:dyDescent="0.25">
      <c r="A495" s="2">
        <v>494</v>
      </c>
      <c r="B495" s="2">
        <v>415</v>
      </c>
      <c r="C495" s="2">
        <v>61.3</v>
      </c>
      <c r="D495" s="2">
        <v>17.600000000000001</v>
      </c>
      <c r="E495" s="2">
        <v>2.9</v>
      </c>
      <c r="F495" s="2" t="s">
        <v>984</v>
      </c>
      <c r="G495" s="2" t="s">
        <v>985</v>
      </c>
    </row>
    <row r="496" spans="1:7" ht="150" x14ac:dyDescent="0.25">
      <c r="A496" s="2">
        <v>495</v>
      </c>
      <c r="B496" s="2">
        <v>534</v>
      </c>
      <c r="C496" s="2">
        <v>40.200000000000003</v>
      </c>
      <c r="D496" s="2">
        <v>39.299999999999997</v>
      </c>
      <c r="E496" s="2">
        <v>4.9000000000000004</v>
      </c>
      <c r="F496" s="2" t="s">
        <v>986</v>
      </c>
      <c r="G496" s="2" t="s">
        <v>987</v>
      </c>
    </row>
    <row r="497" spans="1:7" ht="120" x14ac:dyDescent="0.25">
      <c r="A497" s="2">
        <v>496</v>
      </c>
      <c r="B497" s="2">
        <v>284</v>
      </c>
      <c r="C497" s="2">
        <v>34.1</v>
      </c>
      <c r="D497" s="2">
        <v>9.9</v>
      </c>
      <c r="E497" s="2">
        <v>14.6</v>
      </c>
      <c r="F497" s="2" t="s">
        <v>988</v>
      </c>
      <c r="G497" s="2" t="s">
        <v>989</v>
      </c>
    </row>
    <row r="498" spans="1:7" ht="135" x14ac:dyDescent="0.25">
      <c r="A498" s="2">
        <v>497</v>
      </c>
      <c r="B498" s="2">
        <v>113</v>
      </c>
      <c r="C498" s="2">
        <v>13.9</v>
      </c>
      <c r="D498" s="2">
        <v>4.9000000000000004</v>
      </c>
      <c r="E498" s="2">
        <v>3.4</v>
      </c>
      <c r="F498" s="2" t="s">
        <v>990</v>
      </c>
      <c r="G498" s="2" t="s">
        <v>991</v>
      </c>
    </row>
    <row r="499" spans="1:7" ht="255" x14ac:dyDescent="0.25">
      <c r="A499" s="2">
        <v>498</v>
      </c>
      <c r="B499" s="2">
        <v>240</v>
      </c>
      <c r="C499" s="2">
        <v>21.7</v>
      </c>
      <c r="D499" s="2">
        <v>7.7</v>
      </c>
      <c r="E499" s="2">
        <v>20.7</v>
      </c>
      <c r="F499" s="2" t="s">
        <v>992</v>
      </c>
      <c r="G499" s="2" t="s">
        <v>993</v>
      </c>
    </row>
    <row r="500" spans="1:7" ht="150" x14ac:dyDescent="0.25">
      <c r="A500" s="2">
        <v>499</v>
      </c>
      <c r="B500" s="2">
        <v>109</v>
      </c>
      <c r="C500" s="2">
        <v>19.899999999999999</v>
      </c>
      <c r="D500" s="2">
        <v>1.8</v>
      </c>
      <c r="E500" s="2">
        <v>3.4</v>
      </c>
      <c r="F500" s="2" t="s">
        <v>994</v>
      </c>
      <c r="G500" s="2" t="s">
        <v>995</v>
      </c>
    </row>
    <row r="501" spans="1:7" ht="240" x14ac:dyDescent="0.25">
      <c r="A501" s="2">
        <v>500</v>
      </c>
      <c r="B501" s="2">
        <v>113</v>
      </c>
      <c r="C501" s="2">
        <v>17</v>
      </c>
      <c r="D501" s="2">
        <v>4.5</v>
      </c>
      <c r="E501" s="2">
        <v>0</v>
      </c>
      <c r="F501" s="2" t="s">
        <v>996</v>
      </c>
      <c r="G501" s="2" t="s">
        <v>997</v>
      </c>
    </row>
    <row r="502" spans="1:7" ht="225" x14ac:dyDescent="0.25">
      <c r="A502" s="2">
        <v>501</v>
      </c>
      <c r="B502" s="2">
        <v>194</v>
      </c>
      <c r="C502" s="2">
        <v>38</v>
      </c>
      <c r="D502" s="2">
        <v>3.5</v>
      </c>
      <c r="E502" s="2">
        <v>0</v>
      </c>
      <c r="F502" s="2" t="s">
        <v>998</v>
      </c>
      <c r="G502" s="2" t="s">
        <v>999</v>
      </c>
    </row>
    <row r="503" spans="1:7" ht="180" x14ac:dyDescent="0.25">
      <c r="A503" s="2">
        <v>502</v>
      </c>
      <c r="B503" s="2">
        <v>138</v>
      </c>
      <c r="C503" s="2">
        <v>27</v>
      </c>
      <c r="D503" s="2">
        <v>3.3</v>
      </c>
      <c r="E503" s="2">
        <v>0</v>
      </c>
      <c r="F503" s="2" t="s">
        <v>1000</v>
      </c>
      <c r="G503" s="2" t="s">
        <v>1001</v>
      </c>
    </row>
    <row r="504" spans="1:7" ht="270" x14ac:dyDescent="0.25">
      <c r="A504" s="2">
        <v>503</v>
      </c>
      <c r="B504" s="2">
        <v>100</v>
      </c>
      <c r="C504" s="2">
        <v>18.8</v>
      </c>
      <c r="D504" s="2">
        <v>2.2000000000000002</v>
      </c>
      <c r="E504" s="2">
        <v>0</v>
      </c>
      <c r="F504" s="2" t="s">
        <v>1002</v>
      </c>
      <c r="G504" s="2" t="s">
        <v>1003</v>
      </c>
    </row>
    <row r="505" spans="1:7" ht="165" x14ac:dyDescent="0.25">
      <c r="A505" s="2">
        <v>504</v>
      </c>
      <c r="B505" s="2">
        <v>289</v>
      </c>
      <c r="C505" s="2">
        <v>38</v>
      </c>
      <c r="D505" s="2">
        <v>14</v>
      </c>
      <c r="E505" s="2">
        <v>0</v>
      </c>
      <c r="F505" s="2" t="s">
        <v>1004</v>
      </c>
      <c r="G505" s="2" t="s">
        <v>1005</v>
      </c>
    </row>
    <row r="506" spans="1:7" ht="255" x14ac:dyDescent="0.25">
      <c r="A506" s="2">
        <v>505</v>
      </c>
      <c r="B506" s="2">
        <v>84</v>
      </c>
      <c r="C506" s="2">
        <v>15.2</v>
      </c>
      <c r="D506" s="2">
        <v>0.6</v>
      </c>
      <c r="E506" s="2">
        <v>4.7</v>
      </c>
      <c r="F506" s="2" t="s">
        <v>1006</v>
      </c>
      <c r="G506" s="2" t="s">
        <v>1007</v>
      </c>
    </row>
    <row r="507" spans="1:7" ht="135" x14ac:dyDescent="0.25">
      <c r="A507" s="2">
        <v>506</v>
      </c>
      <c r="B507" s="2">
        <v>81</v>
      </c>
      <c r="C507" s="2">
        <v>11.4</v>
      </c>
      <c r="D507" s="2">
        <v>1.9</v>
      </c>
      <c r="E507" s="2">
        <v>3.8</v>
      </c>
      <c r="F507" s="2" t="s">
        <v>1008</v>
      </c>
      <c r="G507" s="2" t="s">
        <v>208</v>
      </c>
    </row>
    <row r="508" spans="1:7" ht="105" x14ac:dyDescent="0.25">
      <c r="A508" s="2">
        <v>507</v>
      </c>
      <c r="B508" s="2">
        <v>199</v>
      </c>
      <c r="C508" s="2">
        <v>34.1</v>
      </c>
      <c r="D508" s="2">
        <v>3.8</v>
      </c>
      <c r="E508" s="2">
        <v>7.1</v>
      </c>
      <c r="F508" s="2" t="s">
        <v>1009</v>
      </c>
      <c r="G508" s="2" t="s">
        <v>1010</v>
      </c>
    </row>
    <row r="509" spans="1:7" ht="150" x14ac:dyDescent="0.25">
      <c r="A509" s="2">
        <v>508</v>
      </c>
      <c r="B509" s="2">
        <v>111</v>
      </c>
      <c r="C509" s="2">
        <v>13.3</v>
      </c>
      <c r="D509" s="2">
        <v>3.4</v>
      </c>
      <c r="E509" s="2">
        <v>6.7</v>
      </c>
      <c r="F509" s="2" t="s">
        <v>1011</v>
      </c>
      <c r="G509" s="2" t="s">
        <v>1012</v>
      </c>
    </row>
    <row r="510" spans="1:7" ht="135" x14ac:dyDescent="0.25">
      <c r="A510" s="2">
        <v>509</v>
      </c>
      <c r="B510" s="2">
        <v>88</v>
      </c>
      <c r="C510" s="2">
        <v>15.9</v>
      </c>
      <c r="D510" s="2">
        <v>0.9</v>
      </c>
      <c r="E510" s="2">
        <v>4.0999999999999996</v>
      </c>
      <c r="F510" s="2" t="s">
        <v>1013</v>
      </c>
      <c r="G510" s="2" t="s">
        <v>1014</v>
      </c>
    </row>
    <row r="511" spans="1:7" ht="165" x14ac:dyDescent="0.25">
      <c r="A511" s="2">
        <v>510</v>
      </c>
      <c r="B511" s="2">
        <v>96</v>
      </c>
      <c r="C511" s="2">
        <v>19.5</v>
      </c>
      <c r="D511" s="2">
        <v>1.1000000000000001</v>
      </c>
      <c r="E511" s="2">
        <v>2</v>
      </c>
      <c r="F511" s="2" t="s">
        <v>1015</v>
      </c>
      <c r="G511" s="2" t="s">
        <v>1016</v>
      </c>
    </row>
    <row r="512" spans="1:7" ht="409.5" x14ac:dyDescent="0.25">
      <c r="A512" s="2">
        <v>511</v>
      </c>
      <c r="B512" s="2">
        <v>95</v>
      </c>
      <c r="C512" s="2">
        <v>15.8</v>
      </c>
      <c r="D512" s="2">
        <v>0.7</v>
      </c>
      <c r="E512" s="2">
        <v>6.5</v>
      </c>
      <c r="F512" s="2" t="s">
        <v>1017</v>
      </c>
      <c r="G512" s="2" t="s">
        <v>1018</v>
      </c>
    </row>
    <row r="513" spans="1:7" ht="195" x14ac:dyDescent="0.25">
      <c r="A513" s="2">
        <v>512</v>
      </c>
      <c r="B513" s="2">
        <v>358</v>
      </c>
      <c r="C513" s="2">
        <v>20.7</v>
      </c>
      <c r="D513" s="2">
        <v>26.4</v>
      </c>
      <c r="E513" s="2">
        <v>9.4</v>
      </c>
      <c r="F513" s="2" t="s">
        <v>1019</v>
      </c>
      <c r="G513" s="2" t="s">
        <v>1020</v>
      </c>
    </row>
    <row r="514" spans="1:7" ht="225" x14ac:dyDescent="0.25">
      <c r="A514" s="2">
        <v>513</v>
      </c>
      <c r="B514" s="2">
        <v>204</v>
      </c>
      <c r="C514" s="2">
        <v>16</v>
      </c>
      <c r="D514" s="2">
        <v>15</v>
      </c>
      <c r="E514" s="2">
        <v>0</v>
      </c>
      <c r="F514" s="2" t="s">
        <v>1021</v>
      </c>
      <c r="G514" s="2" t="s">
        <v>1022</v>
      </c>
    </row>
    <row r="515" spans="1:7" ht="210" x14ac:dyDescent="0.25">
      <c r="A515" s="2">
        <v>514</v>
      </c>
      <c r="B515" s="2">
        <v>101</v>
      </c>
      <c r="C515" s="2">
        <v>15.1</v>
      </c>
      <c r="D515" s="2">
        <v>4.0999999999999996</v>
      </c>
      <c r="E515" s="2">
        <v>1</v>
      </c>
      <c r="F515" s="2" t="s">
        <v>1023</v>
      </c>
      <c r="G515" s="2" t="s">
        <v>1024</v>
      </c>
    </row>
    <row r="516" spans="1:7" ht="225" x14ac:dyDescent="0.25">
      <c r="A516" s="2">
        <v>515</v>
      </c>
      <c r="B516" s="2">
        <v>316</v>
      </c>
      <c r="C516" s="2">
        <v>60.1</v>
      </c>
      <c r="D516" s="2">
        <v>6.5</v>
      </c>
      <c r="E516" s="2">
        <v>22.4</v>
      </c>
      <c r="F516" s="2" t="s">
        <v>1025</v>
      </c>
      <c r="G516" s="2" t="s">
        <v>1026</v>
      </c>
    </row>
    <row r="517" spans="1:7" ht="409.5" x14ac:dyDescent="0.25">
      <c r="A517" s="2">
        <v>516</v>
      </c>
      <c r="B517" s="2">
        <v>98</v>
      </c>
      <c r="C517" s="2">
        <v>19.600000000000001</v>
      </c>
      <c r="D517" s="2">
        <v>1.7</v>
      </c>
      <c r="E517" s="2">
        <v>1</v>
      </c>
      <c r="F517" s="2" t="s">
        <v>1027</v>
      </c>
      <c r="G517" s="2" t="s">
        <v>1028</v>
      </c>
    </row>
    <row r="518" spans="1:7" ht="195" x14ac:dyDescent="0.25">
      <c r="A518" s="2">
        <v>517</v>
      </c>
      <c r="B518" s="2">
        <v>277</v>
      </c>
      <c r="C518" s="2">
        <v>60</v>
      </c>
      <c r="D518" s="2">
        <v>2.2999999999999998</v>
      </c>
      <c r="E518" s="2">
        <v>1.8</v>
      </c>
      <c r="F518" s="2" t="s">
        <v>1029</v>
      </c>
      <c r="G518" s="2" t="s">
        <v>1030</v>
      </c>
    </row>
    <row r="519" spans="1:7" ht="409.5" x14ac:dyDescent="0.25">
      <c r="A519" s="2">
        <v>518</v>
      </c>
      <c r="B519" s="2">
        <v>170</v>
      </c>
      <c r="C519" s="2">
        <v>33.4</v>
      </c>
      <c r="D519" s="2">
        <v>3</v>
      </c>
      <c r="E519" s="2">
        <v>0</v>
      </c>
      <c r="F519" s="2" t="s">
        <v>1031</v>
      </c>
      <c r="G519" s="2" t="s">
        <v>1032</v>
      </c>
    </row>
    <row r="520" spans="1:7" ht="135" x14ac:dyDescent="0.25">
      <c r="A520" s="2">
        <v>519</v>
      </c>
      <c r="B520" s="2">
        <v>331</v>
      </c>
      <c r="C520" s="2">
        <v>68.7</v>
      </c>
      <c r="D520" s="2">
        <v>4.2</v>
      </c>
      <c r="E520" s="2">
        <v>0</v>
      </c>
      <c r="F520" s="2" t="s">
        <v>1033</v>
      </c>
      <c r="G520" s="2" t="s">
        <v>1034</v>
      </c>
    </row>
    <row r="521" spans="1:7" ht="105" x14ac:dyDescent="0.25">
      <c r="A521" s="2">
        <v>520</v>
      </c>
      <c r="B521" s="2">
        <v>144</v>
      </c>
      <c r="C521" s="2">
        <v>32.5</v>
      </c>
      <c r="D521" s="2">
        <v>0.6</v>
      </c>
      <c r="E521" s="2">
        <v>0</v>
      </c>
      <c r="F521" s="2" t="s">
        <v>1035</v>
      </c>
      <c r="G521" s="2" t="s">
        <v>1036</v>
      </c>
    </row>
    <row r="522" spans="1:7" ht="225" x14ac:dyDescent="0.25">
      <c r="A522" s="2">
        <v>521</v>
      </c>
      <c r="B522" s="2">
        <v>74</v>
      </c>
      <c r="C522" s="2">
        <v>10.3</v>
      </c>
      <c r="D522" s="2">
        <v>1.4</v>
      </c>
      <c r="E522" s="2">
        <v>4.0999999999999996</v>
      </c>
      <c r="F522" s="2" t="s">
        <v>1037</v>
      </c>
      <c r="G522" s="2" t="s">
        <v>1038</v>
      </c>
    </row>
    <row r="523" spans="1:7" ht="120" x14ac:dyDescent="0.25">
      <c r="A523" s="2">
        <v>522</v>
      </c>
      <c r="B523" s="2">
        <v>347</v>
      </c>
      <c r="C523" s="2">
        <v>48.8</v>
      </c>
      <c r="D523" s="2">
        <v>6.4</v>
      </c>
      <c r="E523" s="2">
        <v>19.600000000000001</v>
      </c>
      <c r="F523" s="2" t="s">
        <v>1039</v>
      </c>
      <c r="G523" s="2" t="s">
        <v>1040</v>
      </c>
    </row>
    <row r="524" spans="1:7" ht="135" x14ac:dyDescent="0.25">
      <c r="A524" s="2">
        <v>523</v>
      </c>
      <c r="B524" s="2">
        <v>82</v>
      </c>
      <c r="C524" s="2">
        <v>17.399999999999999</v>
      </c>
      <c r="D524" s="2">
        <v>0.4</v>
      </c>
      <c r="E524" s="2">
        <v>2.2999999999999998</v>
      </c>
      <c r="F524" s="2" t="s">
        <v>1041</v>
      </c>
      <c r="G524" s="2" t="s">
        <v>1042</v>
      </c>
    </row>
    <row r="525" spans="1:7" ht="165" x14ac:dyDescent="0.25">
      <c r="A525" s="2">
        <v>524</v>
      </c>
      <c r="B525" s="2">
        <v>100</v>
      </c>
      <c r="C525" s="2">
        <v>13.7</v>
      </c>
      <c r="D525" s="2">
        <v>1.5</v>
      </c>
      <c r="E525" s="2">
        <v>8</v>
      </c>
      <c r="F525" s="2" t="s">
        <v>1043</v>
      </c>
      <c r="G525" s="2" t="s">
        <v>1044</v>
      </c>
    </row>
    <row r="526" spans="1:7" ht="105" x14ac:dyDescent="0.25">
      <c r="A526" s="2">
        <v>525</v>
      </c>
      <c r="B526" s="2">
        <v>96</v>
      </c>
      <c r="C526" s="2">
        <v>19.2</v>
      </c>
      <c r="D526" s="2">
        <v>2</v>
      </c>
      <c r="E526" s="2">
        <v>0.2</v>
      </c>
      <c r="F526" s="2" t="s">
        <v>1045</v>
      </c>
      <c r="G526" s="2" t="s">
        <v>1046</v>
      </c>
    </row>
    <row r="527" spans="1:7" ht="165" x14ac:dyDescent="0.25">
      <c r="A527" s="2">
        <v>526</v>
      </c>
      <c r="B527" s="2">
        <v>474</v>
      </c>
      <c r="C527" s="2">
        <v>7.6</v>
      </c>
      <c r="D527" s="2">
        <v>21.6</v>
      </c>
      <c r="E527" s="2">
        <v>62.3</v>
      </c>
      <c r="F527" s="2" t="s">
        <v>1047</v>
      </c>
      <c r="G527" s="2" t="s">
        <v>1048</v>
      </c>
    </row>
    <row r="528" spans="1:7" ht="360" x14ac:dyDescent="0.25">
      <c r="A528" s="2">
        <v>527</v>
      </c>
      <c r="B528" s="2">
        <v>496</v>
      </c>
      <c r="C528" s="2">
        <v>30.3</v>
      </c>
      <c r="D528" s="2">
        <v>33.5</v>
      </c>
      <c r="E528" s="2">
        <v>18.399999999999999</v>
      </c>
      <c r="F528" s="2" t="s">
        <v>1049</v>
      </c>
      <c r="G528" s="2" t="s">
        <v>1050</v>
      </c>
    </row>
    <row r="529" spans="1:7" ht="225" x14ac:dyDescent="0.25">
      <c r="A529" s="2">
        <v>528</v>
      </c>
      <c r="B529" s="2">
        <v>156</v>
      </c>
      <c r="C529" s="2">
        <v>2.7</v>
      </c>
      <c r="D529" s="2">
        <v>1.3</v>
      </c>
      <c r="E529" s="2">
        <v>33.299999999999997</v>
      </c>
      <c r="F529" s="2" t="s">
        <v>1051</v>
      </c>
      <c r="G529" s="2" t="s">
        <v>1052</v>
      </c>
    </row>
    <row r="530" spans="1:7" ht="165" x14ac:dyDescent="0.25">
      <c r="A530" s="2">
        <v>529</v>
      </c>
      <c r="B530" s="2">
        <v>361</v>
      </c>
      <c r="C530" s="2">
        <v>8.6999999999999993</v>
      </c>
      <c r="D530" s="2">
        <v>4.5</v>
      </c>
      <c r="E530" s="2">
        <v>72.400000000000006</v>
      </c>
      <c r="F530" s="2" t="s">
        <v>1053</v>
      </c>
      <c r="G530" s="2" t="s">
        <v>1054</v>
      </c>
    </row>
    <row r="531" spans="1:7" ht="240" x14ac:dyDescent="0.25">
      <c r="A531" s="2">
        <v>530</v>
      </c>
      <c r="B531" s="2">
        <v>129</v>
      </c>
      <c r="C531" s="2">
        <v>4.0999999999999996</v>
      </c>
      <c r="D531" s="2">
        <v>1.3</v>
      </c>
      <c r="E531" s="2">
        <v>30.3</v>
      </c>
      <c r="F531" s="2" t="s">
        <v>1055</v>
      </c>
      <c r="G531" s="2" t="s">
        <v>1056</v>
      </c>
    </row>
    <row r="532" spans="1:7" ht="405" x14ac:dyDescent="0.25">
      <c r="A532" s="2">
        <v>531</v>
      </c>
      <c r="B532" s="2">
        <v>307</v>
      </c>
      <c r="C532" s="2">
        <v>7.9</v>
      </c>
      <c r="D532" s="2">
        <v>3.4</v>
      </c>
      <c r="E532" s="2">
        <v>63.6</v>
      </c>
      <c r="F532" s="2" t="s">
        <v>1057</v>
      </c>
      <c r="G532" s="2" t="s">
        <v>1058</v>
      </c>
    </row>
    <row r="533" spans="1:7" ht="210" x14ac:dyDescent="0.25">
      <c r="A533" s="2">
        <v>532</v>
      </c>
      <c r="B533" s="2">
        <v>366</v>
      </c>
      <c r="C533" s="2">
        <v>9.8000000000000007</v>
      </c>
      <c r="D533" s="2">
        <v>7.3</v>
      </c>
      <c r="E533" s="2">
        <v>69.099999999999994</v>
      </c>
      <c r="F533" s="2" t="s">
        <v>1059</v>
      </c>
      <c r="G533" s="2" t="s">
        <v>1060</v>
      </c>
    </row>
    <row r="534" spans="1:7" ht="405" x14ac:dyDescent="0.25">
      <c r="A534" s="2">
        <v>533</v>
      </c>
      <c r="B534" s="2">
        <v>355</v>
      </c>
      <c r="C534" s="2">
        <v>9.1999999999999993</v>
      </c>
      <c r="D534" s="2">
        <v>3.9</v>
      </c>
      <c r="E534" s="2">
        <v>73.7</v>
      </c>
      <c r="F534" s="2" t="s">
        <v>1061</v>
      </c>
      <c r="G534" s="2" t="s">
        <v>1058</v>
      </c>
    </row>
    <row r="535" spans="1:7" ht="225" x14ac:dyDescent="0.25">
      <c r="A535" s="2">
        <v>534</v>
      </c>
      <c r="B535" s="2">
        <v>154</v>
      </c>
      <c r="C535" s="2">
        <v>3.8</v>
      </c>
      <c r="D535" s="2">
        <v>3.5</v>
      </c>
      <c r="E535" s="2">
        <v>28.4</v>
      </c>
      <c r="F535" s="2" t="s">
        <v>1062</v>
      </c>
      <c r="G535" s="2" t="s">
        <v>1063</v>
      </c>
    </row>
    <row r="536" spans="1:7" ht="375" x14ac:dyDescent="0.25">
      <c r="A536" s="2">
        <v>535</v>
      </c>
      <c r="B536" s="2">
        <v>140</v>
      </c>
      <c r="C536" s="2">
        <v>4.7</v>
      </c>
      <c r="D536" s="2">
        <v>1.3</v>
      </c>
      <c r="E536" s="2">
        <v>33.1</v>
      </c>
      <c r="F536" s="2" t="s">
        <v>1064</v>
      </c>
      <c r="G536" s="2" t="s">
        <v>1065</v>
      </c>
    </row>
    <row r="537" spans="1:7" ht="240" x14ac:dyDescent="0.25">
      <c r="A537" s="2">
        <v>536</v>
      </c>
      <c r="B537" s="2">
        <v>355</v>
      </c>
      <c r="C537" s="2">
        <v>9.1999999999999993</v>
      </c>
      <c r="D537" s="2">
        <v>3.9</v>
      </c>
      <c r="E537" s="2">
        <v>73.7</v>
      </c>
      <c r="F537" s="2" t="s">
        <v>1066</v>
      </c>
      <c r="G537" s="2" t="s">
        <v>1067</v>
      </c>
    </row>
    <row r="538" spans="1:7" ht="210" x14ac:dyDescent="0.25">
      <c r="A538" s="2">
        <v>537</v>
      </c>
      <c r="B538" s="2">
        <v>35</v>
      </c>
      <c r="C538" s="2">
        <v>2.2000000000000002</v>
      </c>
      <c r="D538" s="2">
        <v>0.1</v>
      </c>
      <c r="E538" s="2">
        <v>7.4</v>
      </c>
      <c r="F538" s="2" t="s">
        <v>1068</v>
      </c>
      <c r="G538" s="2" t="s">
        <v>1069</v>
      </c>
    </row>
    <row r="539" spans="1:7" ht="409.5" x14ac:dyDescent="0.25">
      <c r="A539" s="2">
        <v>538</v>
      </c>
      <c r="B539" s="2">
        <v>147</v>
      </c>
      <c r="C539" s="2">
        <v>5.0999999999999996</v>
      </c>
      <c r="D539" s="2">
        <v>0.7</v>
      </c>
      <c r="E539" s="2">
        <v>31.5</v>
      </c>
      <c r="F539" s="2" t="s">
        <v>1070</v>
      </c>
      <c r="G539" s="2" t="s">
        <v>1071</v>
      </c>
    </row>
    <row r="540" spans="1:7" ht="150" x14ac:dyDescent="0.25">
      <c r="A540" s="2">
        <v>539</v>
      </c>
      <c r="B540" s="2">
        <v>142</v>
      </c>
      <c r="C540" s="2">
        <v>5</v>
      </c>
      <c r="D540" s="2">
        <v>0.7</v>
      </c>
      <c r="E540" s="2">
        <v>30.3</v>
      </c>
      <c r="F540" s="2" t="s">
        <v>1072</v>
      </c>
      <c r="G540" s="2" t="s">
        <v>1073</v>
      </c>
    </row>
    <row r="541" spans="1:7" ht="150" x14ac:dyDescent="0.25">
      <c r="A541" s="2">
        <v>540</v>
      </c>
      <c r="B541" s="2">
        <v>367</v>
      </c>
      <c r="C541" s="2">
        <v>6.2</v>
      </c>
      <c r="D541" s="2">
        <v>5.0999999999999996</v>
      </c>
      <c r="E541" s="2">
        <v>76.2</v>
      </c>
      <c r="F541" s="2" t="s">
        <v>1074</v>
      </c>
      <c r="G541" s="2" t="s">
        <v>1075</v>
      </c>
    </row>
    <row r="542" spans="1:7" ht="150" x14ac:dyDescent="0.25">
      <c r="A542" s="2">
        <v>541</v>
      </c>
      <c r="B542" s="2">
        <v>368</v>
      </c>
      <c r="C542" s="2">
        <v>5.5</v>
      </c>
      <c r="D542" s="2">
        <v>4.5999999999999996</v>
      </c>
      <c r="E542" s="2">
        <v>78</v>
      </c>
      <c r="F542" s="2" t="s">
        <v>1076</v>
      </c>
      <c r="G542" s="2" t="s">
        <v>1077</v>
      </c>
    </row>
    <row r="543" spans="1:7" ht="135" x14ac:dyDescent="0.25">
      <c r="A543" s="2">
        <v>542</v>
      </c>
      <c r="B543" s="2">
        <v>361</v>
      </c>
      <c r="C543" s="2">
        <v>8.6999999999999993</v>
      </c>
      <c r="D543" s="2">
        <v>4.5</v>
      </c>
      <c r="E543" s="2">
        <v>72.400000000000006</v>
      </c>
      <c r="F543" s="2" t="s">
        <v>1078</v>
      </c>
      <c r="G543" s="2" t="s">
        <v>1079</v>
      </c>
    </row>
    <row r="544" spans="1:7" ht="240" x14ac:dyDescent="0.25">
      <c r="A544" s="2">
        <v>543</v>
      </c>
      <c r="B544" s="2">
        <v>129</v>
      </c>
      <c r="C544" s="2">
        <v>4.0999999999999996</v>
      </c>
      <c r="D544" s="2">
        <v>1.3</v>
      </c>
      <c r="E544" s="2">
        <v>30.3</v>
      </c>
      <c r="F544" s="2" t="s">
        <v>1080</v>
      </c>
      <c r="G544" s="2" t="s">
        <v>1081</v>
      </c>
    </row>
    <row r="545" spans="1:7" ht="135" x14ac:dyDescent="0.25">
      <c r="A545" s="2">
        <v>544</v>
      </c>
      <c r="B545" s="2">
        <v>307</v>
      </c>
      <c r="C545" s="2">
        <v>7.9</v>
      </c>
      <c r="D545" s="2">
        <v>3.4</v>
      </c>
      <c r="E545" s="2">
        <v>63.6</v>
      </c>
      <c r="F545" s="2" t="s">
        <v>1082</v>
      </c>
      <c r="G545" s="2" t="s">
        <v>1083</v>
      </c>
    </row>
    <row r="546" spans="1:7" ht="135" x14ac:dyDescent="0.25">
      <c r="A546" s="2">
        <v>545</v>
      </c>
      <c r="B546" s="2">
        <v>355</v>
      </c>
      <c r="C546" s="2">
        <v>9.1999999999999993</v>
      </c>
      <c r="D546" s="2">
        <v>3.9</v>
      </c>
      <c r="E546" s="2">
        <v>73.7</v>
      </c>
      <c r="F546" s="2" t="s">
        <v>1084</v>
      </c>
      <c r="G546" s="2" t="s">
        <v>1083</v>
      </c>
    </row>
    <row r="547" spans="1:7" ht="150" x14ac:dyDescent="0.25">
      <c r="A547" s="2">
        <v>546</v>
      </c>
      <c r="B547" s="2">
        <v>140</v>
      </c>
      <c r="C547" s="2">
        <v>4.7</v>
      </c>
      <c r="D547" s="2">
        <v>1.3</v>
      </c>
      <c r="E547" s="2">
        <v>33.1</v>
      </c>
      <c r="F547" s="2" t="s">
        <v>1085</v>
      </c>
      <c r="G547" s="2" t="s">
        <v>1086</v>
      </c>
    </row>
    <row r="548" spans="1:7" ht="225" x14ac:dyDescent="0.25">
      <c r="A548" s="2">
        <v>547</v>
      </c>
      <c r="B548" s="2">
        <v>175</v>
      </c>
      <c r="C548" s="2">
        <v>1.8</v>
      </c>
      <c r="D548" s="2">
        <v>1.8</v>
      </c>
      <c r="E548" s="2">
        <v>35</v>
      </c>
      <c r="F548" s="2" t="s">
        <v>1087</v>
      </c>
      <c r="G548" s="2" t="s">
        <v>1088</v>
      </c>
    </row>
    <row r="549" spans="1:7" ht="255" x14ac:dyDescent="0.25">
      <c r="A549" s="2">
        <v>548</v>
      </c>
      <c r="B549" s="2">
        <v>148.9</v>
      </c>
      <c r="C549" s="2">
        <v>10.4</v>
      </c>
      <c r="D549" s="2">
        <v>10.4</v>
      </c>
      <c r="E549" s="2">
        <v>20.100000000000001</v>
      </c>
      <c r="F549" s="2" t="s">
        <v>1089</v>
      </c>
      <c r="G549" s="2" t="s">
        <v>1090</v>
      </c>
    </row>
    <row r="550" spans="1:7" ht="285" x14ac:dyDescent="0.25">
      <c r="A550" s="2">
        <v>549</v>
      </c>
      <c r="B550" s="2">
        <v>374</v>
      </c>
      <c r="C550" s="2">
        <v>9.4</v>
      </c>
      <c r="D550" s="2">
        <v>2.2000000000000002</v>
      </c>
      <c r="E550" s="2">
        <v>79.099999999999994</v>
      </c>
      <c r="F550" s="2" t="s">
        <v>1091</v>
      </c>
      <c r="G550" s="2" t="s">
        <v>1092</v>
      </c>
    </row>
    <row r="551" spans="1:7" ht="409.5" x14ac:dyDescent="0.25">
      <c r="A551" s="2">
        <v>550</v>
      </c>
      <c r="B551" s="2">
        <v>51</v>
      </c>
      <c r="C551" s="2">
        <v>1.5</v>
      </c>
      <c r="D551" s="2">
        <v>1</v>
      </c>
      <c r="E551" s="2">
        <v>10.1</v>
      </c>
      <c r="F551" s="2" t="s">
        <v>1093</v>
      </c>
      <c r="G551" s="2" t="s">
        <v>1094</v>
      </c>
    </row>
    <row r="552" spans="1:7" ht="270" x14ac:dyDescent="0.25">
      <c r="A552" s="2">
        <v>551</v>
      </c>
      <c r="B552" s="2">
        <v>289</v>
      </c>
      <c r="C552" s="2">
        <v>11</v>
      </c>
      <c r="D552" s="2">
        <v>4</v>
      </c>
      <c r="E552" s="2">
        <v>61</v>
      </c>
      <c r="F552" s="2" t="s">
        <v>1095</v>
      </c>
      <c r="G552" s="2" t="s">
        <v>1096</v>
      </c>
    </row>
    <row r="553" spans="1:7" ht="135" x14ac:dyDescent="0.25">
      <c r="A553" s="2">
        <v>552</v>
      </c>
      <c r="B553" s="2">
        <v>239</v>
      </c>
      <c r="C553" s="2">
        <v>0.5</v>
      </c>
      <c r="D553" s="2">
        <v>0.6</v>
      </c>
      <c r="E553" s="2">
        <v>64.5</v>
      </c>
      <c r="F553" s="2" t="s">
        <v>1097</v>
      </c>
      <c r="G553" s="2" t="s">
        <v>1098</v>
      </c>
    </row>
    <row r="554" spans="1:7" ht="255" x14ac:dyDescent="0.25">
      <c r="A554" s="2">
        <v>553</v>
      </c>
      <c r="B554" s="2">
        <v>286</v>
      </c>
      <c r="C554" s="2">
        <v>48.5</v>
      </c>
      <c r="D554" s="2">
        <v>9.1999999999999993</v>
      </c>
      <c r="E554" s="2">
        <v>2.2999999999999998</v>
      </c>
      <c r="F554" s="2" t="s">
        <v>1099</v>
      </c>
      <c r="G554" s="2" t="s">
        <v>1100</v>
      </c>
    </row>
    <row r="555" spans="1:7" ht="285" x14ac:dyDescent="0.25">
      <c r="A555" s="2">
        <v>554</v>
      </c>
      <c r="B555" s="2">
        <v>46</v>
      </c>
      <c r="C555" s="2">
        <v>0.6</v>
      </c>
      <c r="D555" s="2">
        <v>0</v>
      </c>
      <c r="E555" s="2">
        <v>11.8</v>
      </c>
      <c r="F555" s="2" t="s">
        <v>1101</v>
      </c>
      <c r="G555" s="2" t="s">
        <v>1102</v>
      </c>
    </row>
    <row r="556" spans="1:7" ht="240" x14ac:dyDescent="0.25">
      <c r="A556" s="2">
        <v>555</v>
      </c>
      <c r="B556" s="2">
        <v>49</v>
      </c>
      <c r="C556" s="2">
        <v>0.9</v>
      </c>
      <c r="D556" s="2">
        <v>0.3</v>
      </c>
      <c r="E556" s="2">
        <v>12.2</v>
      </c>
      <c r="F556" s="2" t="s">
        <v>1103</v>
      </c>
      <c r="G556" s="2" t="s">
        <v>1104</v>
      </c>
    </row>
    <row r="557" spans="1:7" ht="240" x14ac:dyDescent="0.25">
      <c r="A557" s="2">
        <v>556</v>
      </c>
      <c r="B557" s="2">
        <v>61</v>
      </c>
      <c r="C557" s="2">
        <v>0.9</v>
      </c>
      <c r="D557" s="2">
        <v>0.3</v>
      </c>
      <c r="E557" s="2">
        <v>15.4</v>
      </c>
      <c r="F557" s="2" t="s">
        <v>1105</v>
      </c>
      <c r="G557" s="2" t="s">
        <v>1106</v>
      </c>
    </row>
    <row r="558" spans="1:7" ht="240" x14ac:dyDescent="0.25">
      <c r="A558" s="2">
        <v>557</v>
      </c>
      <c r="B558" s="2">
        <v>56</v>
      </c>
      <c r="C558" s="2">
        <v>0.6</v>
      </c>
      <c r="D558" s="2">
        <v>0.3</v>
      </c>
      <c r="E558" s="2">
        <v>14.2</v>
      </c>
      <c r="F558" s="2" t="s">
        <v>1107</v>
      </c>
      <c r="G558" s="2" t="s">
        <v>1108</v>
      </c>
    </row>
    <row r="559" spans="1:7" ht="285" x14ac:dyDescent="0.25">
      <c r="A559" s="2">
        <v>558</v>
      </c>
      <c r="B559" s="2">
        <v>64</v>
      </c>
      <c r="C559" s="2">
        <v>0.7</v>
      </c>
      <c r="D559" s="2">
        <v>0.6</v>
      </c>
      <c r="E559" s="2">
        <v>15.8</v>
      </c>
      <c r="F559" s="2" t="s">
        <v>1109</v>
      </c>
      <c r="G559" s="2" t="s">
        <v>1110</v>
      </c>
    </row>
    <row r="560" spans="1:7" ht="255" x14ac:dyDescent="0.25">
      <c r="A560" s="2">
        <v>559</v>
      </c>
      <c r="B560" s="2">
        <v>350</v>
      </c>
      <c r="C560" s="2">
        <v>6.2</v>
      </c>
      <c r="D560" s="2">
        <v>1.4</v>
      </c>
      <c r="E560" s="2">
        <v>78.2</v>
      </c>
      <c r="F560" s="2" t="s">
        <v>1111</v>
      </c>
      <c r="G560" s="2" t="s">
        <v>1112</v>
      </c>
    </row>
    <row r="561" spans="1:7" ht="345" x14ac:dyDescent="0.25">
      <c r="A561" s="2">
        <v>560</v>
      </c>
      <c r="B561" s="2">
        <v>45</v>
      </c>
      <c r="C561" s="2">
        <v>2.5</v>
      </c>
      <c r="D561" s="2">
        <v>3.9</v>
      </c>
      <c r="E561" s="2">
        <v>0</v>
      </c>
      <c r="F561" s="2" t="s">
        <v>1113</v>
      </c>
      <c r="G561" s="2" t="s">
        <v>1114</v>
      </c>
    </row>
    <row r="562" spans="1:7" ht="150" x14ac:dyDescent="0.25">
      <c r="A562" s="2">
        <v>561</v>
      </c>
      <c r="B562" s="2">
        <v>296</v>
      </c>
      <c r="C562" s="2">
        <v>9.4</v>
      </c>
      <c r="D562" s="2">
        <v>1.1000000000000001</v>
      </c>
      <c r="E562" s="2">
        <v>62</v>
      </c>
      <c r="F562" s="2" t="s">
        <v>1115</v>
      </c>
      <c r="G562" s="2" t="s">
        <v>1116</v>
      </c>
    </row>
    <row r="563" spans="1:7" ht="240" x14ac:dyDescent="0.25">
      <c r="A563" s="2">
        <v>562</v>
      </c>
      <c r="B563" s="2">
        <v>294</v>
      </c>
      <c r="C563" s="2">
        <v>16</v>
      </c>
      <c r="D563" s="2">
        <v>0.9</v>
      </c>
      <c r="E563" s="2">
        <v>64.599999999999994</v>
      </c>
      <c r="F563" s="2" t="s">
        <v>1117</v>
      </c>
      <c r="G563" s="2" t="s">
        <v>1118</v>
      </c>
    </row>
    <row r="564" spans="1:7" ht="285" x14ac:dyDescent="0.25">
      <c r="A564" s="2">
        <v>563</v>
      </c>
      <c r="B564" s="2">
        <v>21</v>
      </c>
      <c r="C564" s="2">
        <v>3.8</v>
      </c>
      <c r="D564" s="2">
        <v>0.6</v>
      </c>
      <c r="E564" s="2">
        <v>0.9</v>
      </c>
      <c r="F564" s="2" t="s">
        <v>1119</v>
      </c>
      <c r="G564" s="2" t="s">
        <v>1120</v>
      </c>
    </row>
    <row r="565" spans="1:7" ht="240" x14ac:dyDescent="0.25">
      <c r="A565" s="2">
        <v>564</v>
      </c>
      <c r="B565" s="2">
        <v>30</v>
      </c>
      <c r="C565" s="2">
        <v>3.5</v>
      </c>
      <c r="D565" s="2">
        <v>0.2</v>
      </c>
      <c r="E565" s="2">
        <v>4</v>
      </c>
      <c r="F565" s="2" t="s">
        <v>1121</v>
      </c>
      <c r="G565" s="2" t="s">
        <v>1122</v>
      </c>
    </row>
    <row r="566" spans="1:7" ht="150" x14ac:dyDescent="0.25">
      <c r="A566" s="2">
        <v>565</v>
      </c>
      <c r="B566" s="2">
        <v>48</v>
      </c>
      <c r="C566" s="2">
        <v>2.8</v>
      </c>
      <c r="D566" s="2">
        <v>4.0999999999999996</v>
      </c>
      <c r="E566" s="2">
        <v>2.9</v>
      </c>
      <c r="F566" s="2" t="s">
        <v>1123</v>
      </c>
      <c r="G566" s="2" t="s">
        <v>1124</v>
      </c>
    </row>
    <row r="567" spans="1:7" ht="180" x14ac:dyDescent="0.25">
      <c r="A567" s="2">
        <v>566</v>
      </c>
      <c r="B567" s="2">
        <v>48</v>
      </c>
      <c r="C567" s="2">
        <v>1.9</v>
      </c>
      <c r="D567" s="2">
        <v>3.2</v>
      </c>
      <c r="E567" s="2">
        <v>2.8</v>
      </c>
      <c r="F567" s="2" t="s">
        <v>1125</v>
      </c>
      <c r="G567" s="2" t="s">
        <v>1126</v>
      </c>
    </row>
    <row r="568" spans="1:7" ht="225" x14ac:dyDescent="0.25">
      <c r="A568" s="2">
        <v>567</v>
      </c>
      <c r="B568" s="2">
        <v>30</v>
      </c>
      <c r="C568" s="2">
        <v>1.9</v>
      </c>
      <c r="D568" s="2">
        <v>0.1</v>
      </c>
      <c r="E568" s="2">
        <v>5.5</v>
      </c>
      <c r="F568" s="2" t="s">
        <v>1127</v>
      </c>
      <c r="G568" s="2" t="s">
        <v>1128</v>
      </c>
    </row>
    <row r="569" spans="1:7" ht="150" x14ac:dyDescent="0.25">
      <c r="A569" s="2">
        <v>568</v>
      </c>
      <c r="B569" s="2">
        <v>107</v>
      </c>
      <c r="C569" s="2">
        <v>5.3</v>
      </c>
      <c r="D569" s="2">
        <v>2.2000000000000002</v>
      </c>
      <c r="E569" s="2">
        <v>16.5</v>
      </c>
      <c r="F569" s="2" t="s">
        <v>1129</v>
      </c>
      <c r="G569" s="2" t="s">
        <v>1130</v>
      </c>
    </row>
    <row r="570" spans="1:7" ht="240" x14ac:dyDescent="0.25">
      <c r="A570" s="2">
        <v>569</v>
      </c>
      <c r="B570" s="2">
        <v>31</v>
      </c>
      <c r="C570" s="2">
        <v>1.2</v>
      </c>
      <c r="D570" s="2">
        <v>0.3</v>
      </c>
      <c r="E570" s="2">
        <v>7.1</v>
      </c>
      <c r="F570" s="2" t="s">
        <v>1131</v>
      </c>
      <c r="G570" s="2" t="s">
        <v>1132</v>
      </c>
    </row>
    <row r="571" spans="1:7" ht="135" x14ac:dyDescent="0.25">
      <c r="A571" s="2">
        <v>570</v>
      </c>
      <c r="B571" s="2">
        <v>500</v>
      </c>
      <c r="C571" s="2">
        <v>1.2</v>
      </c>
      <c r="D571" s="2">
        <v>25.1</v>
      </c>
      <c r="E571" s="2">
        <v>67.3</v>
      </c>
      <c r="F571" s="2" t="s">
        <v>1133</v>
      </c>
      <c r="G571" s="2" t="s">
        <v>1134</v>
      </c>
    </row>
    <row r="572" spans="1:7" ht="240" x14ac:dyDescent="0.25">
      <c r="A572" s="2">
        <v>571</v>
      </c>
      <c r="B572" s="2">
        <v>48</v>
      </c>
      <c r="C572" s="2">
        <v>2.5</v>
      </c>
      <c r="D572" s="2">
        <v>4.2</v>
      </c>
      <c r="E572" s="2">
        <v>0</v>
      </c>
      <c r="F572" s="2" t="s">
        <v>1135</v>
      </c>
      <c r="G572" s="2" t="s">
        <v>1136</v>
      </c>
    </row>
    <row r="573" spans="1:7" ht="210" x14ac:dyDescent="0.25">
      <c r="A573" s="2">
        <v>572</v>
      </c>
      <c r="B573" s="2">
        <v>334</v>
      </c>
      <c r="C573" s="2">
        <v>9.6999999999999993</v>
      </c>
      <c r="D573" s="2">
        <v>3.5</v>
      </c>
      <c r="E573" s="2">
        <v>73.400000000000006</v>
      </c>
      <c r="F573" s="2" t="s">
        <v>1137</v>
      </c>
      <c r="G573" s="2" t="s">
        <v>1138</v>
      </c>
    </row>
    <row r="574" spans="1:7" ht="225" x14ac:dyDescent="0.25">
      <c r="A574" s="2">
        <v>573</v>
      </c>
      <c r="B574" s="2">
        <v>381.7</v>
      </c>
      <c r="C574" s="2">
        <v>9.5</v>
      </c>
      <c r="D574" s="2">
        <v>9.5</v>
      </c>
      <c r="E574" s="2">
        <v>65.8</v>
      </c>
      <c r="F574" s="2" t="s">
        <v>1139</v>
      </c>
      <c r="G574" s="2" t="s">
        <v>1140</v>
      </c>
    </row>
    <row r="575" spans="1:7" ht="240" x14ac:dyDescent="0.25">
      <c r="A575" s="2">
        <v>574</v>
      </c>
      <c r="B575" s="2">
        <v>192</v>
      </c>
      <c r="C575" s="2">
        <v>5.4</v>
      </c>
      <c r="D575" s="2">
        <v>0.3</v>
      </c>
      <c r="E575" s="2">
        <v>40.700000000000003</v>
      </c>
      <c r="F575" s="2" t="s">
        <v>1141</v>
      </c>
      <c r="G575" s="2" t="s">
        <v>1142</v>
      </c>
    </row>
    <row r="576" spans="1:7" ht="285" x14ac:dyDescent="0.25">
      <c r="A576" s="2">
        <v>575</v>
      </c>
      <c r="B576" s="2">
        <v>48</v>
      </c>
      <c r="C576" s="2">
        <v>0.6</v>
      </c>
      <c r="D576" s="2">
        <v>0.2</v>
      </c>
      <c r="E576" s="2">
        <v>12.4</v>
      </c>
      <c r="F576" s="2" t="s">
        <v>1143</v>
      </c>
      <c r="G576" s="2" t="s">
        <v>1144</v>
      </c>
    </row>
    <row r="577" spans="1:7" ht="240" x14ac:dyDescent="0.25">
      <c r="A577" s="2">
        <v>576</v>
      </c>
      <c r="B577" s="2">
        <v>61</v>
      </c>
      <c r="C577" s="2">
        <v>0.8</v>
      </c>
      <c r="D577" s="2">
        <v>0.2</v>
      </c>
      <c r="E577" s="2">
        <v>14.1</v>
      </c>
      <c r="F577" s="2" t="s">
        <v>1145</v>
      </c>
      <c r="G577" s="2" t="s">
        <v>1146</v>
      </c>
    </row>
    <row r="578" spans="1:7" ht="165" x14ac:dyDescent="0.25">
      <c r="A578" s="2">
        <v>577</v>
      </c>
      <c r="B578" s="2">
        <v>44</v>
      </c>
      <c r="C578" s="2">
        <v>0.8</v>
      </c>
      <c r="D578" s="2">
        <v>0.3</v>
      </c>
      <c r="E578" s="2">
        <v>10.9</v>
      </c>
      <c r="F578" s="2" t="s">
        <v>1147</v>
      </c>
      <c r="G578" s="2" t="s">
        <v>1148</v>
      </c>
    </row>
    <row r="579" spans="1:7" ht="195" x14ac:dyDescent="0.25">
      <c r="A579" s="2">
        <v>578</v>
      </c>
      <c r="B579" s="2">
        <v>39</v>
      </c>
      <c r="C579" s="2">
        <v>0.3</v>
      </c>
      <c r="D579" s="2">
        <v>0.3</v>
      </c>
      <c r="E579" s="2">
        <v>8.9</v>
      </c>
      <c r="F579" s="2" t="s">
        <v>1149</v>
      </c>
      <c r="G579" s="2" t="s">
        <v>1150</v>
      </c>
    </row>
    <row r="580" spans="1:7" ht="210" x14ac:dyDescent="0.25">
      <c r="A580" s="2">
        <v>579</v>
      </c>
      <c r="B580" s="2">
        <v>45</v>
      </c>
      <c r="C580" s="2">
        <v>0.9</v>
      </c>
      <c r="D580" s="2">
        <v>0.2</v>
      </c>
      <c r="E580" s="2">
        <v>11.2</v>
      </c>
      <c r="F580" s="2" t="s">
        <v>1151</v>
      </c>
      <c r="G580" s="2" t="s">
        <v>1152</v>
      </c>
    </row>
    <row r="581" spans="1:7" ht="150" x14ac:dyDescent="0.25">
      <c r="A581" s="2">
        <v>580</v>
      </c>
      <c r="B581" s="2">
        <v>37</v>
      </c>
      <c r="C581" s="2">
        <v>0.8</v>
      </c>
      <c r="D581" s="2">
        <v>0.1</v>
      </c>
      <c r="E581" s="2">
        <v>12.3</v>
      </c>
      <c r="F581" s="2" t="s">
        <v>1153</v>
      </c>
      <c r="G581" s="2" t="s">
        <v>1154</v>
      </c>
    </row>
    <row r="582" spans="1:7" ht="225" x14ac:dyDescent="0.25">
      <c r="A582" s="2">
        <v>581</v>
      </c>
      <c r="B582" s="2">
        <v>49</v>
      </c>
      <c r="C582" s="2">
        <v>0.7</v>
      </c>
      <c r="D582" s="2">
        <v>0.2</v>
      </c>
      <c r="E582" s="2">
        <v>11.1</v>
      </c>
      <c r="F582" s="2" t="s">
        <v>1155</v>
      </c>
      <c r="G582" s="2" t="s">
        <v>1156</v>
      </c>
    </row>
    <row r="583" spans="1:7" ht="180" x14ac:dyDescent="0.25">
      <c r="A583" s="2">
        <v>582</v>
      </c>
      <c r="B583" s="2">
        <v>32</v>
      </c>
      <c r="C583" s="2">
        <v>1.9</v>
      </c>
      <c r="D583" s="2">
        <v>0.3</v>
      </c>
      <c r="E583" s="2">
        <v>7.1</v>
      </c>
      <c r="F583" s="2" t="s">
        <v>1157</v>
      </c>
      <c r="G583" s="2" t="s">
        <v>1158</v>
      </c>
    </row>
    <row r="584" spans="1:7" ht="210" x14ac:dyDescent="0.25">
      <c r="A584" s="2">
        <v>583</v>
      </c>
      <c r="B584" s="2">
        <v>15</v>
      </c>
      <c r="C584" s="2">
        <v>15.2</v>
      </c>
      <c r="D584" s="2">
        <v>4.3</v>
      </c>
      <c r="E584" s="2">
        <v>8.8000000000000007</v>
      </c>
      <c r="F584" s="2" t="s">
        <v>1159</v>
      </c>
      <c r="G584" s="2" t="s">
        <v>1160</v>
      </c>
    </row>
    <row r="585" spans="1:7" ht="210" x14ac:dyDescent="0.25">
      <c r="A585" s="2">
        <v>584</v>
      </c>
      <c r="B585" s="2">
        <v>130</v>
      </c>
      <c r="C585" s="2">
        <v>6.7</v>
      </c>
      <c r="D585" s="2">
        <v>0.3</v>
      </c>
      <c r="E585" s="2">
        <v>25.2</v>
      </c>
      <c r="F585" s="2" t="s">
        <v>1161</v>
      </c>
      <c r="G585" s="2" t="s">
        <v>1162</v>
      </c>
    </row>
    <row r="586" spans="1:7" ht="165" x14ac:dyDescent="0.25">
      <c r="A586" s="2">
        <v>585</v>
      </c>
      <c r="B586" s="2">
        <v>133</v>
      </c>
      <c r="C586" s="2">
        <v>1</v>
      </c>
      <c r="D586" s="2">
        <v>0.2</v>
      </c>
      <c r="E586" s="2">
        <v>32.200000000000003</v>
      </c>
      <c r="F586" s="2" t="s">
        <v>1163</v>
      </c>
      <c r="G586" s="2" t="s">
        <v>1164</v>
      </c>
    </row>
    <row r="587" spans="1:7" ht="409.5" x14ac:dyDescent="0.25">
      <c r="A587" s="2">
        <v>586</v>
      </c>
      <c r="B587" s="2">
        <v>250</v>
      </c>
      <c r="C587" s="2">
        <v>2.6</v>
      </c>
      <c r="D587" s="2">
        <v>2.5</v>
      </c>
      <c r="E587" s="2">
        <v>35.4</v>
      </c>
      <c r="F587" s="2" t="s">
        <v>1165</v>
      </c>
      <c r="G587" s="2" t="s">
        <v>1166</v>
      </c>
    </row>
    <row r="588" spans="1:7" ht="195" x14ac:dyDescent="0.25">
      <c r="A588" s="2">
        <v>587</v>
      </c>
      <c r="B588" s="2">
        <v>356</v>
      </c>
      <c r="C588" s="2">
        <v>20.5</v>
      </c>
      <c r="D588" s="2">
        <v>4.0999999999999996</v>
      </c>
      <c r="E588" s="2">
        <v>61.6</v>
      </c>
      <c r="F588" s="2" t="s">
        <v>1167</v>
      </c>
      <c r="G588" s="2" t="s">
        <v>1168</v>
      </c>
    </row>
    <row r="589" spans="1:7" ht="300" x14ac:dyDescent="0.25">
      <c r="A589" s="2">
        <v>588</v>
      </c>
      <c r="B589" s="2">
        <v>330</v>
      </c>
      <c r="C589" s="2">
        <v>23.8</v>
      </c>
      <c r="D589" s="2">
        <v>1.4</v>
      </c>
      <c r="E589" s="2">
        <v>60.2</v>
      </c>
      <c r="F589" s="2" t="s">
        <v>1169</v>
      </c>
      <c r="G589" s="2" t="s">
        <v>1170</v>
      </c>
    </row>
    <row r="590" spans="1:7" ht="240" x14ac:dyDescent="0.25">
      <c r="A590" s="2">
        <v>589</v>
      </c>
      <c r="B590" s="2">
        <v>533</v>
      </c>
      <c r="C590" s="2">
        <v>27.8</v>
      </c>
      <c r="D590" s="2">
        <v>38.1</v>
      </c>
      <c r="E590" s="2">
        <v>28.8</v>
      </c>
      <c r="F590" s="2" t="s">
        <v>1171</v>
      </c>
      <c r="G590" s="2" t="s">
        <v>1172</v>
      </c>
    </row>
    <row r="591" spans="1:7" ht="375" x14ac:dyDescent="0.25">
      <c r="A591" s="2">
        <v>590</v>
      </c>
      <c r="B591" s="2">
        <v>341</v>
      </c>
      <c r="C591" s="2">
        <v>30.4</v>
      </c>
      <c r="D591" s="2">
        <v>3.2</v>
      </c>
      <c r="E591" s="2">
        <v>51.3</v>
      </c>
      <c r="F591" s="2" t="s">
        <v>1173</v>
      </c>
      <c r="G591" s="2" t="s">
        <v>1174</v>
      </c>
    </row>
    <row r="592" spans="1:7" ht="180" x14ac:dyDescent="0.25">
      <c r="A592" s="2">
        <v>591</v>
      </c>
      <c r="B592" s="2">
        <v>400</v>
      </c>
      <c r="C592" s="2">
        <v>34.4</v>
      </c>
      <c r="D592" s="2">
        <v>16.899999999999999</v>
      </c>
      <c r="E592" s="2">
        <v>34.1</v>
      </c>
      <c r="F592" s="2" t="s">
        <v>1175</v>
      </c>
      <c r="G592" s="2" t="s">
        <v>1176</v>
      </c>
    </row>
    <row r="593" spans="1:7" ht="409.5" x14ac:dyDescent="0.25">
      <c r="A593" s="2">
        <v>592</v>
      </c>
      <c r="B593" s="2">
        <v>204</v>
      </c>
      <c r="C593" s="2">
        <v>16.899999999999999</v>
      </c>
      <c r="D593" s="2">
        <v>8.8000000000000007</v>
      </c>
      <c r="E593" s="2">
        <v>17.5</v>
      </c>
      <c r="F593" s="2" t="s">
        <v>1177</v>
      </c>
      <c r="G593" s="2" t="s">
        <v>1178</v>
      </c>
    </row>
    <row r="594" spans="1:7" ht="240" x14ac:dyDescent="0.25">
      <c r="A594" s="2">
        <v>593</v>
      </c>
      <c r="B594" s="2">
        <v>212</v>
      </c>
      <c r="C594" s="2">
        <v>17.5</v>
      </c>
      <c r="D594" s="2">
        <v>10</v>
      </c>
      <c r="E594" s="2">
        <v>12.9</v>
      </c>
      <c r="F594" s="2" t="s">
        <v>1179</v>
      </c>
      <c r="G594" s="2" t="s">
        <v>1180</v>
      </c>
    </row>
    <row r="595" spans="1:7" ht="135" x14ac:dyDescent="0.25">
      <c r="A595" s="2">
        <v>594</v>
      </c>
      <c r="B595" s="2">
        <v>118</v>
      </c>
      <c r="C595" s="2">
        <v>4.4000000000000004</v>
      </c>
      <c r="D595" s="2">
        <v>1.5</v>
      </c>
      <c r="E595" s="2">
        <v>21.6</v>
      </c>
      <c r="F595" s="2" t="s">
        <v>1181</v>
      </c>
      <c r="G595" s="2" t="s">
        <v>1182</v>
      </c>
    </row>
    <row r="596" spans="1:7" ht="240" x14ac:dyDescent="0.25">
      <c r="A596" s="2">
        <v>595</v>
      </c>
      <c r="B596" s="2">
        <v>479</v>
      </c>
      <c r="C596" s="2">
        <v>12.7</v>
      </c>
      <c r="D596" s="2">
        <v>23.2</v>
      </c>
      <c r="E596" s="2">
        <v>58.9</v>
      </c>
      <c r="F596" s="2" t="s">
        <v>1183</v>
      </c>
      <c r="G596" s="2" t="s">
        <v>1184</v>
      </c>
    </row>
    <row r="597" spans="1:7" ht="135" x14ac:dyDescent="0.25">
      <c r="A597" s="2">
        <v>596</v>
      </c>
      <c r="B597" s="2">
        <v>370</v>
      </c>
      <c r="C597" s="2">
        <v>16</v>
      </c>
      <c r="D597" s="2">
        <v>6</v>
      </c>
      <c r="E597" s="2">
        <v>65</v>
      </c>
      <c r="F597" s="2" t="s">
        <v>1185</v>
      </c>
      <c r="G597" s="2" t="s">
        <v>1186</v>
      </c>
    </row>
    <row r="598" spans="1:7" ht="105" x14ac:dyDescent="0.25">
      <c r="A598" s="2">
        <v>597</v>
      </c>
      <c r="B598" s="2">
        <v>161</v>
      </c>
      <c r="C598" s="2">
        <v>7.7</v>
      </c>
      <c r="D598" s="2">
        <v>2.8</v>
      </c>
      <c r="E598" s="2">
        <v>27.1</v>
      </c>
      <c r="F598" s="2" t="s">
        <v>1187</v>
      </c>
      <c r="G598" s="2" t="s">
        <v>1188</v>
      </c>
    </row>
    <row r="599" spans="1:7" ht="210" x14ac:dyDescent="0.25">
      <c r="A599" s="2">
        <v>598</v>
      </c>
      <c r="B599" s="2">
        <v>165</v>
      </c>
      <c r="C599" s="2">
        <v>7.7</v>
      </c>
      <c r="D599" s="2">
        <v>3.1</v>
      </c>
      <c r="E599" s="2">
        <v>27.4</v>
      </c>
      <c r="F599" s="2" t="s">
        <v>1189</v>
      </c>
      <c r="G599" s="2" t="s">
        <v>1190</v>
      </c>
    </row>
    <row r="600" spans="1:7" ht="240" x14ac:dyDescent="0.25">
      <c r="A600" s="2">
        <v>599</v>
      </c>
      <c r="B600" s="2">
        <v>331</v>
      </c>
      <c r="C600" s="2">
        <v>25</v>
      </c>
      <c r="D600" s="2">
        <v>1</v>
      </c>
      <c r="E600" s="2">
        <v>58</v>
      </c>
      <c r="F600" s="2" t="s">
        <v>1191</v>
      </c>
      <c r="G600" s="2" t="s">
        <v>1192</v>
      </c>
    </row>
    <row r="601" spans="1:7" ht="165" x14ac:dyDescent="0.25">
      <c r="A601" s="2">
        <v>600</v>
      </c>
      <c r="B601" s="2">
        <v>129</v>
      </c>
      <c r="C601" s="2">
        <v>12.4</v>
      </c>
      <c r="D601" s="2">
        <v>0.7</v>
      </c>
      <c r="E601" s="2">
        <v>18.3</v>
      </c>
      <c r="F601" s="2" t="s">
        <v>1193</v>
      </c>
      <c r="G601" s="2" t="s">
        <v>1194</v>
      </c>
    </row>
    <row r="602" spans="1:7" ht="270" x14ac:dyDescent="0.25">
      <c r="A602" s="2">
        <v>601</v>
      </c>
      <c r="B602" s="2">
        <v>336</v>
      </c>
      <c r="C602" s="2">
        <v>23.1</v>
      </c>
      <c r="D602" s="2">
        <v>1.7</v>
      </c>
      <c r="E602" s="2">
        <v>59.5</v>
      </c>
      <c r="F602" s="2" t="s">
        <v>1195</v>
      </c>
      <c r="G602" s="2" t="s">
        <v>1196</v>
      </c>
    </row>
    <row r="603" spans="1:7" ht="195" x14ac:dyDescent="0.25">
      <c r="A603" s="2">
        <v>602</v>
      </c>
      <c r="B603" s="2">
        <v>516</v>
      </c>
      <c r="C603" s="2">
        <v>14.7</v>
      </c>
      <c r="D603" s="2">
        <v>31.1</v>
      </c>
      <c r="E603" s="2">
        <v>44.4</v>
      </c>
      <c r="F603" s="2" t="s">
        <v>1197</v>
      </c>
      <c r="G603" s="2" t="s">
        <v>1198</v>
      </c>
    </row>
    <row r="604" spans="1:7" ht="165" x14ac:dyDescent="0.25">
      <c r="A604" s="2">
        <v>603</v>
      </c>
      <c r="B604" s="2">
        <v>336</v>
      </c>
      <c r="C604" s="2">
        <v>20.7</v>
      </c>
      <c r="D604" s="2">
        <v>1.4</v>
      </c>
      <c r="E604" s="2">
        <v>62</v>
      </c>
      <c r="F604" s="2" t="s">
        <v>1199</v>
      </c>
      <c r="G604" s="2" t="s">
        <v>1200</v>
      </c>
    </row>
    <row r="605" spans="1:7" ht="120" x14ac:dyDescent="0.25">
      <c r="A605" s="2">
        <v>604</v>
      </c>
      <c r="B605" s="2">
        <v>316</v>
      </c>
      <c r="C605" s="2">
        <v>20.7</v>
      </c>
      <c r="D605" s="2">
        <v>1</v>
      </c>
      <c r="E605" s="2">
        <v>58</v>
      </c>
      <c r="F605" s="2" t="s">
        <v>1201</v>
      </c>
      <c r="G605" s="2" t="s">
        <v>1202</v>
      </c>
    </row>
    <row r="606" spans="1:7" ht="150" x14ac:dyDescent="0.25">
      <c r="A606" s="2">
        <v>605</v>
      </c>
      <c r="B606" s="2">
        <v>114</v>
      </c>
      <c r="C606" s="2">
        <v>7</v>
      </c>
      <c r="D606" s="2">
        <v>0.6</v>
      </c>
      <c r="E606" s="2">
        <v>20.8</v>
      </c>
      <c r="F606" s="2" t="s">
        <v>1203</v>
      </c>
      <c r="G606" s="2" t="s">
        <v>1204</v>
      </c>
    </row>
    <row r="607" spans="1:7" ht="300" x14ac:dyDescent="0.25">
      <c r="A607" s="2">
        <v>606</v>
      </c>
      <c r="B607" s="2">
        <v>123</v>
      </c>
      <c r="C607" s="2">
        <v>8.4</v>
      </c>
      <c r="D607" s="2">
        <v>0.6</v>
      </c>
      <c r="E607" s="2">
        <v>1.8</v>
      </c>
      <c r="F607" s="2" t="s">
        <v>1205</v>
      </c>
      <c r="G607" s="2" t="s">
        <v>1206</v>
      </c>
    </row>
    <row r="608" spans="1:7" ht="270" x14ac:dyDescent="0.25">
      <c r="A608" s="2">
        <v>607</v>
      </c>
      <c r="B608" s="2">
        <v>147</v>
      </c>
      <c r="C608" s="2">
        <v>9</v>
      </c>
      <c r="D608" s="2">
        <v>0.5</v>
      </c>
      <c r="E608" s="2">
        <v>27.5</v>
      </c>
      <c r="F608" s="2" t="s">
        <v>1207</v>
      </c>
      <c r="G608" s="2" t="s">
        <v>1208</v>
      </c>
    </row>
    <row r="609" spans="1:7" ht="120" x14ac:dyDescent="0.25">
      <c r="A609" s="2">
        <v>608</v>
      </c>
      <c r="B609" s="2">
        <v>323</v>
      </c>
      <c r="C609" s="2">
        <v>22.9</v>
      </c>
      <c r="D609" s="2">
        <v>1.5</v>
      </c>
      <c r="E609" s="2">
        <v>56.8</v>
      </c>
      <c r="F609" s="2" t="s">
        <v>1209</v>
      </c>
      <c r="G609" s="2" t="s">
        <v>1210</v>
      </c>
    </row>
    <row r="610" spans="1:7" ht="300" x14ac:dyDescent="0.25">
      <c r="A610" s="2">
        <v>609</v>
      </c>
      <c r="B610" s="2">
        <v>109</v>
      </c>
      <c r="C610" s="2">
        <v>8.6999999999999993</v>
      </c>
      <c r="D610" s="2">
        <v>0.5</v>
      </c>
      <c r="E610" s="2">
        <v>18.3</v>
      </c>
      <c r="F610" s="2" t="s">
        <v>1211</v>
      </c>
      <c r="G610" s="2" t="s">
        <v>1212</v>
      </c>
    </row>
    <row r="611" spans="1:7" ht="210" x14ac:dyDescent="0.25">
      <c r="A611" s="2">
        <v>610</v>
      </c>
      <c r="B611" s="2">
        <v>350</v>
      </c>
      <c r="C611" s="2">
        <v>17.100000000000001</v>
      </c>
      <c r="D611" s="2">
        <v>1.8</v>
      </c>
      <c r="E611" s="2">
        <v>70.7</v>
      </c>
      <c r="F611" s="2" t="s">
        <v>1213</v>
      </c>
      <c r="G611" s="2" t="s">
        <v>1214</v>
      </c>
    </row>
    <row r="612" spans="1:7" ht="255" x14ac:dyDescent="0.25">
      <c r="A612" s="2">
        <v>611</v>
      </c>
      <c r="B612" s="2">
        <v>339</v>
      </c>
      <c r="C612" s="2">
        <v>20.8</v>
      </c>
      <c r="D612" s="2">
        <v>2.1</v>
      </c>
      <c r="E612" s="2">
        <v>64.599999999999994</v>
      </c>
      <c r="F612" s="2" t="s">
        <v>1215</v>
      </c>
      <c r="G612" s="2" t="s">
        <v>1216</v>
      </c>
    </row>
    <row r="613" spans="1:7" ht="225" x14ac:dyDescent="0.25">
      <c r="A613" s="2">
        <v>612</v>
      </c>
      <c r="B613" s="2">
        <v>346</v>
      </c>
      <c r="C613" s="2">
        <v>16.600000000000001</v>
      </c>
      <c r="D613" s="2">
        <v>1.7</v>
      </c>
      <c r="E613" s="2">
        <v>66.099999999999994</v>
      </c>
      <c r="F613" s="2" t="s">
        <v>1217</v>
      </c>
      <c r="G613" s="2" t="s">
        <v>1218</v>
      </c>
    </row>
    <row r="614" spans="1:7" ht="405" x14ac:dyDescent="0.25">
      <c r="A614" s="2">
        <v>613</v>
      </c>
      <c r="B614" s="2">
        <v>345</v>
      </c>
      <c r="C614" s="2">
        <v>22.2</v>
      </c>
      <c r="D614" s="2">
        <v>1.2</v>
      </c>
      <c r="E614" s="2">
        <v>62.9</v>
      </c>
      <c r="F614" s="2" t="s">
        <v>1219</v>
      </c>
      <c r="G614" s="2" t="s">
        <v>1220</v>
      </c>
    </row>
    <row r="615" spans="1:7" ht="120" x14ac:dyDescent="0.25">
      <c r="A615" s="2">
        <v>614</v>
      </c>
      <c r="B615" s="2">
        <v>445</v>
      </c>
      <c r="C615" s="2">
        <v>11</v>
      </c>
      <c r="D615" s="2">
        <v>11</v>
      </c>
      <c r="E615" s="2">
        <v>65.5</v>
      </c>
      <c r="F615" s="2" t="s">
        <v>1221</v>
      </c>
      <c r="G615" s="2" t="s">
        <v>1222</v>
      </c>
    </row>
    <row r="616" spans="1:7" ht="135" x14ac:dyDescent="0.25">
      <c r="A616" s="2">
        <v>615</v>
      </c>
      <c r="B616" s="2">
        <v>98</v>
      </c>
      <c r="C616" s="2">
        <v>6.7</v>
      </c>
      <c r="D616" s="2">
        <v>0.4</v>
      </c>
      <c r="E616" s="2">
        <v>17.7</v>
      </c>
      <c r="F616" s="2" t="s">
        <v>1223</v>
      </c>
      <c r="G616" s="2" t="s">
        <v>1224</v>
      </c>
    </row>
    <row r="617" spans="1:7" ht="135" x14ac:dyDescent="0.25">
      <c r="A617" s="2">
        <v>616</v>
      </c>
      <c r="B617" s="2">
        <v>286</v>
      </c>
      <c r="C617" s="2">
        <v>30.2</v>
      </c>
      <c r="D617" s="2">
        <v>15.6</v>
      </c>
      <c r="E617" s="2">
        <v>30.1</v>
      </c>
      <c r="F617" s="2" t="s">
        <v>1225</v>
      </c>
      <c r="G617" s="2" t="s">
        <v>1226</v>
      </c>
    </row>
    <row r="618" spans="1:7" ht="240" x14ac:dyDescent="0.25">
      <c r="A618" s="2">
        <v>617</v>
      </c>
      <c r="B618" s="2">
        <v>521</v>
      </c>
      <c r="C618" s="2">
        <v>32.200000000000003</v>
      </c>
      <c r="D618" s="2">
        <v>37.700000000000003</v>
      </c>
      <c r="E618" s="2">
        <v>22.9</v>
      </c>
      <c r="F618" s="2" t="s">
        <v>1227</v>
      </c>
      <c r="G618" s="2" t="s">
        <v>1228</v>
      </c>
    </row>
    <row r="619" spans="1:7" ht="225" x14ac:dyDescent="0.25">
      <c r="A619" s="2">
        <v>618</v>
      </c>
      <c r="B619" s="2">
        <v>381</v>
      </c>
      <c r="C619" s="2">
        <v>40.4</v>
      </c>
      <c r="D619" s="2">
        <v>16.7</v>
      </c>
      <c r="E619" s="2">
        <v>24.9</v>
      </c>
      <c r="F619" s="2" t="s">
        <v>1229</v>
      </c>
      <c r="G619" s="2" t="s">
        <v>1230</v>
      </c>
    </row>
    <row r="620" spans="1:7" ht="150" x14ac:dyDescent="0.25">
      <c r="A620" s="2">
        <v>619</v>
      </c>
      <c r="B620" s="2">
        <v>75</v>
      </c>
      <c r="C620" s="2">
        <v>4.0999999999999996</v>
      </c>
      <c r="D620" s="2">
        <v>2.1</v>
      </c>
      <c r="E620" s="2">
        <v>10.7</v>
      </c>
      <c r="F620" s="2" t="s">
        <v>1231</v>
      </c>
      <c r="G620" s="2" t="s">
        <v>1232</v>
      </c>
    </row>
    <row r="621" spans="1:7" ht="165" x14ac:dyDescent="0.25">
      <c r="A621" s="2">
        <v>620</v>
      </c>
      <c r="B621" s="2">
        <v>189</v>
      </c>
      <c r="C621" s="2">
        <v>20.2</v>
      </c>
      <c r="D621" s="2">
        <v>8.1999999999999993</v>
      </c>
      <c r="E621" s="2">
        <v>12.7</v>
      </c>
      <c r="F621" s="2" t="s">
        <v>1233</v>
      </c>
      <c r="G621" s="2" t="s">
        <v>1234</v>
      </c>
    </row>
    <row r="622" spans="1:7" ht="300" x14ac:dyDescent="0.25">
      <c r="A622" s="2">
        <v>621</v>
      </c>
      <c r="B622" s="2">
        <v>286</v>
      </c>
      <c r="C622" s="2">
        <v>30.2</v>
      </c>
      <c r="D622" s="2">
        <v>15.6</v>
      </c>
      <c r="E622" s="2">
        <v>30.1</v>
      </c>
      <c r="F622" s="2" t="s">
        <v>1235</v>
      </c>
      <c r="G622" s="2" t="s">
        <v>1236</v>
      </c>
    </row>
    <row r="623" spans="1:7" ht="75" x14ac:dyDescent="0.25">
      <c r="A623" s="2">
        <v>622</v>
      </c>
      <c r="B623" s="2">
        <v>327</v>
      </c>
      <c r="C623" s="2">
        <v>16.399999999999999</v>
      </c>
      <c r="D623" s="2">
        <v>4.3</v>
      </c>
      <c r="E623" s="2">
        <v>55.8</v>
      </c>
      <c r="F623" s="2" t="s">
        <v>1237</v>
      </c>
      <c r="G623" s="2" t="s">
        <v>1238</v>
      </c>
    </row>
    <row r="624" spans="1:7" ht="165" x14ac:dyDescent="0.25">
      <c r="A624" s="2">
        <v>623</v>
      </c>
      <c r="B624" s="2">
        <v>355</v>
      </c>
      <c r="C624" s="2">
        <v>17</v>
      </c>
      <c r="D624" s="2">
        <v>2.5</v>
      </c>
      <c r="E624" s="2">
        <v>66</v>
      </c>
      <c r="F624" s="2" t="s">
        <v>1239</v>
      </c>
      <c r="G624" s="2" t="s">
        <v>1240</v>
      </c>
    </row>
    <row r="625" spans="1:7" ht="270" x14ac:dyDescent="0.25">
      <c r="A625" s="2">
        <v>624</v>
      </c>
      <c r="B625" s="2">
        <v>346</v>
      </c>
      <c r="C625" s="2">
        <v>16.5</v>
      </c>
      <c r="D625" s="2">
        <v>1.5</v>
      </c>
      <c r="E625" s="2">
        <v>66.599999999999994</v>
      </c>
      <c r="F625" s="2" t="s">
        <v>1241</v>
      </c>
      <c r="G625" s="2" t="s">
        <v>1242</v>
      </c>
    </row>
    <row r="626" spans="1:7" ht="345" x14ac:dyDescent="0.25">
      <c r="A626" s="2">
        <v>625</v>
      </c>
      <c r="B626" s="2">
        <v>22</v>
      </c>
      <c r="C626" s="2">
        <v>1.1000000000000001</v>
      </c>
      <c r="D626" s="2">
        <v>1</v>
      </c>
      <c r="E626" s="2">
        <v>3.4</v>
      </c>
      <c r="F626" s="2" t="s">
        <v>1243</v>
      </c>
      <c r="G626" s="2" t="s">
        <v>1244</v>
      </c>
    </row>
    <row r="627" spans="1:7" ht="255" x14ac:dyDescent="0.25">
      <c r="A627" s="2">
        <v>626</v>
      </c>
      <c r="B627" s="2">
        <v>344</v>
      </c>
      <c r="C627" s="2">
        <v>16.7</v>
      </c>
      <c r="D627" s="2">
        <v>2.1</v>
      </c>
      <c r="E627" s="2">
        <v>64.599999999999994</v>
      </c>
      <c r="F627" s="2" t="s">
        <v>1245</v>
      </c>
      <c r="G627" s="2" t="s">
        <v>1246</v>
      </c>
    </row>
    <row r="628" spans="1:7" ht="270" x14ac:dyDescent="0.25">
      <c r="A628" s="2">
        <v>627</v>
      </c>
      <c r="B628" s="2">
        <v>336</v>
      </c>
      <c r="C628" s="2">
        <v>23.1</v>
      </c>
      <c r="D628" s="2">
        <v>1.7</v>
      </c>
      <c r="E628" s="2">
        <v>59.5</v>
      </c>
      <c r="F628" s="2" t="s">
        <v>1247</v>
      </c>
      <c r="G628" s="2" t="s">
        <v>1248</v>
      </c>
    </row>
    <row r="629" spans="1:7" ht="135" x14ac:dyDescent="0.25">
      <c r="A629" s="2">
        <v>628</v>
      </c>
      <c r="B629" s="2">
        <v>350</v>
      </c>
      <c r="C629" s="2">
        <v>13.9</v>
      </c>
      <c r="D629" s="2">
        <v>3</v>
      </c>
      <c r="E629" s="2">
        <v>66.900000000000006</v>
      </c>
      <c r="F629" s="2" t="s">
        <v>1249</v>
      </c>
      <c r="G629" s="2" t="s">
        <v>1250</v>
      </c>
    </row>
    <row r="630" spans="1:7" ht="240" x14ac:dyDescent="0.25">
      <c r="A630" s="2">
        <v>629</v>
      </c>
      <c r="B630" s="2">
        <v>314</v>
      </c>
      <c r="C630" s="2">
        <v>22.1</v>
      </c>
      <c r="D630" s="2">
        <v>1.1000000000000001</v>
      </c>
      <c r="E630" s="2">
        <v>56.2</v>
      </c>
      <c r="F630" s="2" t="s">
        <v>1251</v>
      </c>
      <c r="G630" s="2" t="s">
        <v>1252</v>
      </c>
    </row>
    <row r="631" spans="1:7" ht="240" x14ac:dyDescent="0.25">
      <c r="A631" s="2">
        <v>630</v>
      </c>
      <c r="B631" s="2">
        <v>158</v>
      </c>
      <c r="C631" s="2">
        <v>10.3</v>
      </c>
      <c r="D631" s="2">
        <v>0.9</v>
      </c>
      <c r="E631" s="2">
        <v>28.2</v>
      </c>
      <c r="F631" s="2" t="s">
        <v>1253</v>
      </c>
      <c r="G631" s="2" t="s">
        <v>1254</v>
      </c>
    </row>
    <row r="632" spans="1:7" ht="225" x14ac:dyDescent="0.25">
      <c r="A632" s="2">
        <v>631</v>
      </c>
      <c r="B632" s="2">
        <v>171</v>
      </c>
      <c r="C632" s="2">
        <v>11</v>
      </c>
      <c r="D632" s="2">
        <v>2.2000000000000002</v>
      </c>
      <c r="E632" s="2">
        <v>28</v>
      </c>
      <c r="F632" s="2" t="s">
        <v>1255</v>
      </c>
      <c r="G632" s="2" t="s">
        <v>1256</v>
      </c>
    </row>
    <row r="633" spans="1:7" ht="409.5" x14ac:dyDescent="0.25">
      <c r="A633" s="2">
        <v>632</v>
      </c>
      <c r="B633" s="2">
        <v>144</v>
      </c>
      <c r="C633" s="2">
        <v>10</v>
      </c>
      <c r="D633" s="2">
        <v>1</v>
      </c>
      <c r="E633" s="2">
        <v>24.7</v>
      </c>
      <c r="F633" s="2" t="s">
        <v>1257</v>
      </c>
      <c r="G633" s="2" t="s">
        <v>1258</v>
      </c>
    </row>
    <row r="634" spans="1:7" ht="135" x14ac:dyDescent="0.25">
      <c r="A634" s="2">
        <v>633</v>
      </c>
      <c r="B634" s="2">
        <v>280</v>
      </c>
      <c r="C634" s="2">
        <v>16.7</v>
      </c>
      <c r="D634" s="2">
        <v>1.6</v>
      </c>
      <c r="E634" s="2">
        <v>63.2</v>
      </c>
      <c r="F634" s="2" t="s">
        <v>1259</v>
      </c>
      <c r="G634" s="2" t="s">
        <v>1260</v>
      </c>
    </row>
    <row r="635" spans="1:7" ht="270" x14ac:dyDescent="0.25">
      <c r="A635" s="2">
        <v>634</v>
      </c>
      <c r="B635" s="2">
        <v>629</v>
      </c>
      <c r="C635" s="2">
        <v>20.399999999999999</v>
      </c>
      <c r="D635" s="2">
        <v>56.3</v>
      </c>
      <c r="E635" s="2">
        <v>19.8</v>
      </c>
      <c r="F635" s="2" t="s">
        <v>1261</v>
      </c>
      <c r="G635" s="2" t="s">
        <v>1262</v>
      </c>
    </row>
    <row r="636" spans="1:7" ht="195" x14ac:dyDescent="0.25">
      <c r="A636" s="2">
        <v>635</v>
      </c>
      <c r="B636" s="2">
        <v>616</v>
      </c>
      <c r="C636" s="2">
        <v>16.3</v>
      </c>
      <c r="D636" s="2">
        <v>48.4</v>
      </c>
      <c r="E636" s="2">
        <v>28.7</v>
      </c>
      <c r="F636" s="2" t="s">
        <v>1263</v>
      </c>
      <c r="G636" s="2" t="s">
        <v>1264</v>
      </c>
    </row>
    <row r="637" spans="1:7" ht="285" x14ac:dyDescent="0.25">
      <c r="A637" s="2">
        <v>636</v>
      </c>
      <c r="B637" s="2">
        <v>480</v>
      </c>
      <c r="C637" s="2">
        <v>18.399999999999999</v>
      </c>
      <c r="D637" s="2">
        <v>19.100000000000001</v>
      </c>
      <c r="E637" s="2">
        <v>58.5</v>
      </c>
      <c r="F637" s="2" t="s">
        <v>1265</v>
      </c>
      <c r="G637" s="2" t="s">
        <v>1266</v>
      </c>
    </row>
    <row r="638" spans="1:7" ht="315" x14ac:dyDescent="0.25">
      <c r="A638" s="2">
        <v>637</v>
      </c>
      <c r="B638" s="2">
        <v>44</v>
      </c>
      <c r="C638" s="2">
        <v>2.7</v>
      </c>
      <c r="D638" s="2">
        <v>0.3</v>
      </c>
      <c r="E638" s="2">
        <v>7.8</v>
      </c>
      <c r="F638" s="2" t="s">
        <v>1267</v>
      </c>
      <c r="G638" s="2" t="s">
        <v>1268</v>
      </c>
    </row>
    <row r="639" spans="1:7" ht="120" x14ac:dyDescent="0.25">
      <c r="A639" s="2">
        <v>638</v>
      </c>
      <c r="B639" s="2">
        <v>357</v>
      </c>
      <c r="C639" s="2">
        <v>17.3</v>
      </c>
      <c r="D639" s="2">
        <v>1.5</v>
      </c>
      <c r="E639" s="2">
        <v>70</v>
      </c>
      <c r="F639" s="2" t="s">
        <v>1269</v>
      </c>
      <c r="G639" s="2" t="s">
        <v>1270</v>
      </c>
    </row>
    <row r="640" spans="1:7" ht="210" x14ac:dyDescent="0.25">
      <c r="A640" s="2">
        <v>639</v>
      </c>
      <c r="B640" s="2">
        <v>39</v>
      </c>
      <c r="C640" s="2">
        <v>3</v>
      </c>
      <c r="D640" s="2">
        <v>0.6</v>
      </c>
      <c r="E640" s="2">
        <v>7.6</v>
      </c>
      <c r="F640" s="2" t="s">
        <v>1271</v>
      </c>
      <c r="G640" s="2" t="s">
        <v>1272</v>
      </c>
    </row>
    <row r="641" spans="1:7" ht="240" x14ac:dyDescent="0.25">
      <c r="A641" s="2">
        <v>640</v>
      </c>
      <c r="B641" s="2">
        <v>150</v>
      </c>
      <c r="C641" s="2">
        <v>2.5</v>
      </c>
      <c r="D641" s="2">
        <v>12.5</v>
      </c>
      <c r="E641" s="2">
        <v>7</v>
      </c>
      <c r="F641" s="2" t="s">
        <v>1273</v>
      </c>
      <c r="G641" s="2" t="s">
        <v>1274</v>
      </c>
    </row>
    <row r="642" spans="1:7" ht="135" x14ac:dyDescent="0.25">
      <c r="A642" s="2">
        <v>641</v>
      </c>
      <c r="B642" s="2">
        <v>37</v>
      </c>
      <c r="C642" s="2">
        <v>3.1</v>
      </c>
      <c r="D642" s="2">
        <v>0.2</v>
      </c>
      <c r="E642" s="2">
        <v>7.9</v>
      </c>
      <c r="F642" s="2" t="s">
        <v>1275</v>
      </c>
      <c r="G642" s="2" t="s">
        <v>1276</v>
      </c>
    </row>
    <row r="643" spans="1:7" ht="165" x14ac:dyDescent="0.25">
      <c r="A643" s="2">
        <v>642</v>
      </c>
      <c r="B643" s="2">
        <v>484</v>
      </c>
      <c r="C643" s="2">
        <v>8.8000000000000007</v>
      </c>
      <c r="D643" s="2">
        <v>26.1</v>
      </c>
      <c r="E643" s="2">
        <v>57.7</v>
      </c>
      <c r="F643" s="2" t="s">
        <v>1277</v>
      </c>
      <c r="G643" s="2" t="s">
        <v>1278</v>
      </c>
    </row>
    <row r="644" spans="1:7" ht="120" x14ac:dyDescent="0.25">
      <c r="A644" s="2">
        <v>643</v>
      </c>
      <c r="B644" s="2">
        <v>488</v>
      </c>
      <c r="C644" s="2">
        <v>25.6</v>
      </c>
      <c r="D644" s="2">
        <v>25.6</v>
      </c>
      <c r="E644" s="2">
        <v>59.6</v>
      </c>
      <c r="F644" s="2" t="s">
        <v>1279</v>
      </c>
      <c r="G644" s="2" t="s">
        <v>1280</v>
      </c>
    </row>
    <row r="645" spans="1:7" ht="165" x14ac:dyDescent="0.25">
      <c r="A645" s="2">
        <v>644</v>
      </c>
      <c r="B645" s="2">
        <v>535</v>
      </c>
      <c r="C645" s="2">
        <v>27.8</v>
      </c>
      <c r="D645" s="2">
        <v>38.1</v>
      </c>
      <c r="E645" s="2">
        <v>28.8</v>
      </c>
      <c r="F645" s="2" t="s">
        <v>1281</v>
      </c>
      <c r="G645" s="2" t="s">
        <v>1282</v>
      </c>
    </row>
    <row r="646" spans="1:7" ht="105" x14ac:dyDescent="0.25">
      <c r="A646" s="2">
        <v>645</v>
      </c>
      <c r="B646" s="2">
        <v>564</v>
      </c>
      <c r="C646" s="2">
        <v>25.5</v>
      </c>
      <c r="D646" s="2">
        <v>44.4</v>
      </c>
      <c r="E646" s="2">
        <v>25.5</v>
      </c>
      <c r="F646" s="2" t="s">
        <v>1283</v>
      </c>
      <c r="G646" s="2" t="s">
        <v>1284</v>
      </c>
    </row>
    <row r="647" spans="1:7" ht="165" x14ac:dyDescent="0.25">
      <c r="A647" s="2">
        <v>646</v>
      </c>
      <c r="B647" s="2">
        <v>561</v>
      </c>
      <c r="C647" s="2">
        <v>25.5</v>
      </c>
      <c r="D647" s="2">
        <v>43.8</v>
      </c>
      <c r="E647" s="2">
        <v>26</v>
      </c>
      <c r="F647" s="2" t="s">
        <v>1285</v>
      </c>
      <c r="G647" s="2" t="s">
        <v>1286</v>
      </c>
    </row>
    <row r="648" spans="1:7" ht="225" x14ac:dyDescent="0.25">
      <c r="A648" s="2">
        <v>647</v>
      </c>
      <c r="B648" s="2">
        <v>525</v>
      </c>
      <c r="C648" s="2">
        <v>27.9</v>
      </c>
      <c r="D648" s="2">
        <v>42.7</v>
      </c>
      <c r="E648" s="2">
        <v>17.399999999999999</v>
      </c>
      <c r="F648" s="2" t="s">
        <v>1287</v>
      </c>
      <c r="G648" s="2" t="s">
        <v>1288</v>
      </c>
    </row>
    <row r="649" spans="1:7" ht="150" x14ac:dyDescent="0.25">
      <c r="A649" s="2">
        <v>648</v>
      </c>
      <c r="B649" s="2">
        <v>385</v>
      </c>
      <c r="C649" s="2">
        <v>14</v>
      </c>
      <c r="D649" s="2">
        <v>31</v>
      </c>
      <c r="E649" s="2">
        <v>13</v>
      </c>
      <c r="F649" s="2" t="s">
        <v>1289</v>
      </c>
      <c r="G649" s="2" t="s">
        <v>1290</v>
      </c>
    </row>
    <row r="650" spans="1:7" ht="150" x14ac:dyDescent="0.25">
      <c r="A650" s="2">
        <v>649</v>
      </c>
      <c r="B650" s="2">
        <v>360</v>
      </c>
      <c r="C650" s="2">
        <v>13.5</v>
      </c>
      <c r="D650" s="2">
        <v>31.2</v>
      </c>
      <c r="E650" s="2">
        <v>12.8</v>
      </c>
      <c r="F650" s="2" t="s">
        <v>1291</v>
      </c>
      <c r="G650" s="2" t="s">
        <v>1292</v>
      </c>
    </row>
    <row r="651" spans="1:7" ht="300" x14ac:dyDescent="0.25">
      <c r="A651" s="2">
        <v>650</v>
      </c>
      <c r="B651" s="2">
        <v>513</v>
      </c>
      <c r="C651" s="2">
        <v>17.5</v>
      </c>
      <c r="D651" s="2">
        <v>32.5</v>
      </c>
      <c r="E651" s="2">
        <v>44.3</v>
      </c>
      <c r="F651" s="2" t="s">
        <v>1293</v>
      </c>
      <c r="G651" s="2" t="s">
        <v>1294</v>
      </c>
    </row>
    <row r="652" spans="1:7" ht="180" x14ac:dyDescent="0.25">
      <c r="A652" s="2">
        <v>651</v>
      </c>
      <c r="B652" s="2">
        <v>569</v>
      </c>
      <c r="C652" s="2">
        <v>28.8</v>
      </c>
      <c r="D652" s="2">
        <v>48.4</v>
      </c>
      <c r="E652" s="2">
        <v>15.8</v>
      </c>
      <c r="F652" s="2" t="s">
        <v>1295</v>
      </c>
      <c r="G652" s="2" t="s">
        <v>1296</v>
      </c>
    </row>
    <row r="653" spans="1:7" ht="180" x14ac:dyDescent="0.25">
      <c r="A653" s="2">
        <v>652</v>
      </c>
      <c r="B653" s="2">
        <v>559</v>
      </c>
      <c r="C653" s="2">
        <v>26.9</v>
      </c>
      <c r="D653" s="2">
        <v>44.2</v>
      </c>
      <c r="E653" s="2">
        <v>23.6</v>
      </c>
      <c r="F653" s="2" t="s">
        <v>1297</v>
      </c>
      <c r="G653" s="2" t="s">
        <v>1298</v>
      </c>
    </row>
    <row r="654" spans="1:7" ht="195" x14ac:dyDescent="0.25">
      <c r="A654" s="2">
        <v>653</v>
      </c>
      <c r="B654" s="2">
        <v>561</v>
      </c>
      <c r="C654" s="2">
        <v>25.5</v>
      </c>
      <c r="D654" s="2">
        <v>43.8</v>
      </c>
      <c r="E654" s="2">
        <v>26</v>
      </c>
      <c r="F654" s="2" t="s">
        <v>1299</v>
      </c>
      <c r="G654" s="2" t="s">
        <v>1300</v>
      </c>
    </row>
    <row r="655" spans="1:7" ht="150" x14ac:dyDescent="0.25">
      <c r="A655" s="2">
        <v>654</v>
      </c>
      <c r="B655" s="2">
        <v>748</v>
      </c>
      <c r="C655" s="2">
        <v>20.8</v>
      </c>
      <c r="D655" s="2">
        <v>20.8</v>
      </c>
      <c r="E655" s="2">
        <v>124.8</v>
      </c>
      <c r="F655" s="2" t="s">
        <v>1301</v>
      </c>
      <c r="G655" s="2" t="s">
        <v>1302</v>
      </c>
    </row>
    <row r="656" spans="1:7" ht="135" x14ac:dyDescent="0.25">
      <c r="A656" s="2">
        <v>655</v>
      </c>
      <c r="B656" s="2">
        <v>331</v>
      </c>
      <c r="C656" s="2">
        <v>24.4</v>
      </c>
      <c r="D656" s="2">
        <v>1.9</v>
      </c>
      <c r="E656" s="2">
        <v>56.6</v>
      </c>
      <c r="F656" s="2" t="s">
        <v>1303</v>
      </c>
      <c r="G656" s="2" t="s">
        <v>1304</v>
      </c>
    </row>
    <row r="657" spans="1:7" ht="285" x14ac:dyDescent="0.25">
      <c r="A657" s="2">
        <v>656</v>
      </c>
      <c r="B657" s="2">
        <v>138</v>
      </c>
      <c r="C657" s="2">
        <v>10.7</v>
      </c>
      <c r="D657" s="2">
        <v>1.1000000000000001</v>
      </c>
      <c r="E657" s="2">
        <v>22.6</v>
      </c>
      <c r="F657" s="2" t="s">
        <v>1305</v>
      </c>
      <c r="G657" s="2" t="s">
        <v>1306</v>
      </c>
    </row>
    <row r="658" spans="1:7" ht="255" x14ac:dyDescent="0.25">
      <c r="A658" s="2">
        <v>657</v>
      </c>
      <c r="B658" s="2">
        <v>342</v>
      </c>
      <c r="C658" s="2">
        <v>22.9</v>
      </c>
      <c r="D658" s="2">
        <v>1.4</v>
      </c>
      <c r="E658" s="2">
        <v>61.6</v>
      </c>
      <c r="F658" s="2" t="s">
        <v>1307</v>
      </c>
      <c r="G658" s="2" t="s">
        <v>1308</v>
      </c>
    </row>
    <row r="659" spans="1:7" ht="120" x14ac:dyDescent="0.25">
      <c r="A659" s="2">
        <v>658</v>
      </c>
      <c r="B659" s="2">
        <v>138</v>
      </c>
      <c r="C659" s="2">
        <v>10.7</v>
      </c>
      <c r="D659" s="2">
        <v>1.1000000000000001</v>
      </c>
      <c r="E659" s="2">
        <v>22.6</v>
      </c>
      <c r="F659" s="2" t="s">
        <v>1309</v>
      </c>
      <c r="G659" s="2" t="s">
        <v>1310</v>
      </c>
    </row>
    <row r="660" spans="1:7" ht="255" x14ac:dyDescent="0.25">
      <c r="A660" s="2">
        <v>659</v>
      </c>
      <c r="B660" s="2">
        <v>451</v>
      </c>
      <c r="C660" s="2">
        <v>11.2</v>
      </c>
      <c r="D660" s="2">
        <v>20.2</v>
      </c>
      <c r="E660" s="2">
        <v>59.7</v>
      </c>
      <c r="F660" s="2" t="s">
        <v>1311</v>
      </c>
      <c r="G660" s="2" t="s">
        <v>1312</v>
      </c>
    </row>
    <row r="661" spans="1:7" ht="135" x14ac:dyDescent="0.25">
      <c r="A661" s="2">
        <v>660</v>
      </c>
      <c r="B661" s="2">
        <v>351</v>
      </c>
      <c r="C661" s="2">
        <v>12.2</v>
      </c>
      <c r="D661" s="2">
        <v>1.2</v>
      </c>
      <c r="E661" s="2">
        <v>72.900000000000006</v>
      </c>
      <c r="F661" s="2" t="s">
        <v>1313</v>
      </c>
      <c r="G661" s="2" t="s">
        <v>1314</v>
      </c>
    </row>
    <row r="662" spans="1:7" ht="225" x14ac:dyDescent="0.25">
      <c r="A662" s="2">
        <v>661</v>
      </c>
      <c r="B662" s="2">
        <v>358</v>
      </c>
      <c r="C662" s="2">
        <v>23.4</v>
      </c>
      <c r="D662" s="2">
        <v>2.4</v>
      </c>
      <c r="E662" s="2">
        <v>60.6</v>
      </c>
      <c r="F662" s="2" t="s">
        <v>1315</v>
      </c>
      <c r="G662" s="2" t="s">
        <v>1316</v>
      </c>
    </row>
    <row r="663" spans="1:7" ht="120" x14ac:dyDescent="0.25">
      <c r="A663" s="2">
        <v>662</v>
      </c>
      <c r="B663" s="2">
        <v>354</v>
      </c>
      <c r="C663" s="2">
        <v>12.8</v>
      </c>
      <c r="D663" s="2">
        <v>1.8</v>
      </c>
      <c r="E663" s="2">
        <v>69.3</v>
      </c>
      <c r="F663" s="2" t="s">
        <v>1317</v>
      </c>
      <c r="G663" s="2" t="s">
        <v>1318</v>
      </c>
    </row>
    <row r="664" spans="1:7" ht="315" x14ac:dyDescent="0.25">
      <c r="A664" s="2">
        <v>663</v>
      </c>
      <c r="B664" s="2">
        <v>110</v>
      </c>
      <c r="C664" s="2">
        <v>4.5</v>
      </c>
      <c r="D664" s="2">
        <v>6.9</v>
      </c>
      <c r="E664" s="2">
        <v>7.1</v>
      </c>
      <c r="F664" s="2" t="s">
        <v>1319</v>
      </c>
      <c r="G664" s="2" t="s">
        <v>1320</v>
      </c>
    </row>
    <row r="665" spans="1:7" ht="300" x14ac:dyDescent="0.25">
      <c r="A665" s="2">
        <v>664</v>
      </c>
      <c r="B665" s="2">
        <v>413</v>
      </c>
      <c r="C665" s="2">
        <v>28.7</v>
      </c>
      <c r="D665" s="2">
        <v>19.8</v>
      </c>
      <c r="E665" s="2">
        <v>29.8</v>
      </c>
      <c r="F665" s="2" t="s">
        <v>1321</v>
      </c>
      <c r="G665" s="2" t="s">
        <v>1322</v>
      </c>
    </row>
    <row r="666" spans="1:7" ht="285" x14ac:dyDescent="0.25">
      <c r="A666" s="2">
        <v>665</v>
      </c>
      <c r="B666" s="2">
        <v>92</v>
      </c>
      <c r="C666" s="2">
        <v>20</v>
      </c>
      <c r="D666" s="2">
        <v>0.7</v>
      </c>
      <c r="E666" s="2">
        <v>0</v>
      </c>
      <c r="F666" s="2" t="s">
        <v>1323</v>
      </c>
      <c r="G666" s="2" t="s">
        <v>910</v>
      </c>
    </row>
    <row r="667" spans="1:7" ht="165" x14ac:dyDescent="0.25">
      <c r="A667" s="2">
        <v>666</v>
      </c>
      <c r="B667" s="2">
        <v>66</v>
      </c>
      <c r="C667" s="2">
        <v>2.8</v>
      </c>
      <c r="D667" s="2">
        <v>6.8</v>
      </c>
      <c r="E667" s="2">
        <v>3.4</v>
      </c>
      <c r="F667" s="2" t="s">
        <v>1324</v>
      </c>
      <c r="G667" s="2" t="s">
        <v>1325</v>
      </c>
    </row>
    <row r="668" spans="1:7" ht="150" x14ac:dyDescent="0.25">
      <c r="A668" s="2">
        <v>667</v>
      </c>
      <c r="B668" s="2">
        <v>163</v>
      </c>
      <c r="C668" s="2">
        <v>16.5</v>
      </c>
      <c r="D668" s="2">
        <v>9</v>
      </c>
      <c r="E668" s="2">
        <v>4.0999999999999996</v>
      </c>
      <c r="F668" s="2" t="s">
        <v>1326</v>
      </c>
      <c r="G668" s="2" t="s">
        <v>1327</v>
      </c>
    </row>
    <row r="669" spans="1:7" ht="240" x14ac:dyDescent="0.25">
      <c r="A669" s="2">
        <v>668</v>
      </c>
      <c r="B669" s="2">
        <v>122</v>
      </c>
      <c r="C669" s="2">
        <v>13.8</v>
      </c>
      <c r="D669" s="2">
        <v>5.7</v>
      </c>
      <c r="E669" s="2">
        <v>3.9</v>
      </c>
      <c r="F669" s="2" t="s">
        <v>1328</v>
      </c>
      <c r="G669" s="2" t="s">
        <v>1329</v>
      </c>
    </row>
    <row r="670" spans="1:7" ht="165" x14ac:dyDescent="0.25">
      <c r="A670" s="2">
        <v>669</v>
      </c>
      <c r="B670" s="2">
        <v>157</v>
      </c>
      <c r="C670" s="2">
        <v>8.1</v>
      </c>
      <c r="D670" s="2">
        <v>8.8000000000000007</v>
      </c>
      <c r="E670" s="2">
        <v>11.4</v>
      </c>
      <c r="F670" s="2" t="s">
        <v>1330</v>
      </c>
      <c r="G670" s="2" t="s">
        <v>1331</v>
      </c>
    </row>
    <row r="671" spans="1:7" ht="210" x14ac:dyDescent="0.25">
      <c r="A671" s="2">
        <v>670</v>
      </c>
      <c r="B671" s="2">
        <v>193</v>
      </c>
      <c r="C671" s="2">
        <v>10.6</v>
      </c>
      <c r="D671" s="2">
        <v>12.4</v>
      </c>
      <c r="E671" s="2">
        <v>9.6999999999999993</v>
      </c>
      <c r="F671" s="2" t="s">
        <v>1332</v>
      </c>
      <c r="G671" s="2" t="s">
        <v>1333</v>
      </c>
    </row>
    <row r="672" spans="1:7" ht="150" x14ac:dyDescent="0.25">
      <c r="A672" s="2">
        <v>671</v>
      </c>
      <c r="B672" s="2">
        <v>149</v>
      </c>
      <c r="C672" s="2">
        <v>16.600000000000001</v>
      </c>
      <c r="D672" s="2">
        <v>9.1999999999999993</v>
      </c>
      <c r="E672" s="2">
        <v>0</v>
      </c>
      <c r="F672" s="2" t="s">
        <v>1334</v>
      </c>
      <c r="G672" s="2" t="s">
        <v>1335</v>
      </c>
    </row>
    <row r="673" spans="1:7" ht="210" x14ac:dyDescent="0.25">
      <c r="A673" s="2">
        <v>672</v>
      </c>
      <c r="B673" s="2">
        <v>164</v>
      </c>
      <c r="C673" s="2">
        <v>3</v>
      </c>
      <c r="D673" s="2">
        <v>2.4</v>
      </c>
      <c r="E673" s="2">
        <v>32.6</v>
      </c>
      <c r="F673" s="2" t="s">
        <v>1336</v>
      </c>
      <c r="G673" s="2" t="s">
        <v>1337</v>
      </c>
    </row>
    <row r="674" spans="1:7" ht="240" x14ac:dyDescent="0.25">
      <c r="A674" s="2">
        <v>673</v>
      </c>
      <c r="B674" s="2">
        <v>29</v>
      </c>
      <c r="C674" s="2">
        <v>3</v>
      </c>
      <c r="D674" s="2">
        <v>0.3</v>
      </c>
      <c r="E674" s="2">
        <v>5.4</v>
      </c>
      <c r="F674" s="2" t="s">
        <v>1338</v>
      </c>
      <c r="G674" s="2" t="s">
        <v>1339</v>
      </c>
    </row>
    <row r="675" spans="1:7" ht="409.5" x14ac:dyDescent="0.25">
      <c r="A675" s="2">
        <v>674</v>
      </c>
      <c r="B675" s="2">
        <v>30</v>
      </c>
      <c r="C675" s="2">
        <v>3.2</v>
      </c>
      <c r="D675" s="2">
        <v>0.7</v>
      </c>
      <c r="E675" s="2">
        <v>4.7</v>
      </c>
      <c r="F675" s="2" t="s">
        <v>1340</v>
      </c>
      <c r="G675" s="2" t="s">
        <v>1341</v>
      </c>
    </row>
    <row r="676" spans="1:7" ht="409.5" x14ac:dyDescent="0.25">
      <c r="A676" s="2">
        <v>675</v>
      </c>
      <c r="B676" s="2">
        <v>22</v>
      </c>
      <c r="C676" s="2">
        <v>2.5</v>
      </c>
      <c r="D676" s="2">
        <v>0.6</v>
      </c>
      <c r="E676" s="2">
        <v>3.1</v>
      </c>
      <c r="F676" s="2" t="s">
        <v>1342</v>
      </c>
      <c r="G676" s="2" t="s">
        <v>1343</v>
      </c>
    </row>
    <row r="677" spans="1:7" ht="135" x14ac:dyDescent="0.25">
      <c r="A677" s="2">
        <v>676</v>
      </c>
      <c r="B677" s="2">
        <v>43</v>
      </c>
      <c r="C677" s="2">
        <v>1.8</v>
      </c>
      <c r="D677" s="2">
        <v>0.2</v>
      </c>
      <c r="E677" s="2">
        <v>8.4</v>
      </c>
      <c r="F677" s="2" t="s">
        <v>1344</v>
      </c>
      <c r="G677" s="2" t="s">
        <v>1345</v>
      </c>
    </row>
    <row r="678" spans="1:7" ht="240" x14ac:dyDescent="0.25">
      <c r="A678" s="2">
        <v>677</v>
      </c>
      <c r="B678" s="2">
        <v>52</v>
      </c>
      <c r="C678" s="2">
        <v>1.8</v>
      </c>
      <c r="D678" s="2">
        <v>3.6</v>
      </c>
      <c r="E678" s="2">
        <v>3</v>
      </c>
      <c r="F678" s="2" t="s">
        <v>1346</v>
      </c>
      <c r="G678" s="2" t="s">
        <v>1347</v>
      </c>
    </row>
    <row r="679" spans="1:7" ht="150" x14ac:dyDescent="0.25">
      <c r="A679" s="2">
        <v>678</v>
      </c>
      <c r="B679" s="2">
        <v>38</v>
      </c>
      <c r="C679" s="2">
        <v>2.4</v>
      </c>
      <c r="D679" s="2">
        <v>2</v>
      </c>
      <c r="E679" s="2">
        <v>2.6</v>
      </c>
      <c r="F679" s="2" t="s">
        <v>1348</v>
      </c>
      <c r="G679" s="2" t="s">
        <v>1349</v>
      </c>
    </row>
    <row r="680" spans="1:7" ht="409.5" x14ac:dyDescent="0.25">
      <c r="A680" s="2">
        <v>679</v>
      </c>
      <c r="B680" s="2">
        <v>42</v>
      </c>
      <c r="C680" s="2">
        <v>3.3</v>
      </c>
      <c r="D680" s="2">
        <v>0.2</v>
      </c>
      <c r="E680" s="2">
        <v>9.6</v>
      </c>
      <c r="F680" s="2" t="s">
        <v>1350</v>
      </c>
      <c r="G680" s="2" t="s">
        <v>1351</v>
      </c>
    </row>
    <row r="681" spans="1:7" ht="135" x14ac:dyDescent="0.25">
      <c r="A681" s="2">
        <v>680</v>
      </c>
      <c r="B681" s="2">
        <v>41</v>
      </c>
      <c r="C681" s="2">
        <v>2</v>
      </c>
      <c r="D681" s="2">
        <v>0.3</v>
      </c>
      <c r="E681" s="2">
        <v>7.8</v>
      </c>
      <c r="F681" s="2" t="s">
        <v>1352</v>
      </c>
      <c r="G681" s="2" t="s">
        <v>1353</v>
      </c>
    </row>
    <row r="682" spans="1:7" ht="120" x14ac:dyDescent="0.25">
      <c r="A682" s="2">
        <v>681</v>
      </c>
      <c r="B682" s="2">
        <v>158</v>
      </c>
      <c r="C682" s="2">
        <v>4.4000000000000004</v>
      </c>
      <c r="D682" s="2">
        <v>3.2</v>
      </c>
      <c r="E682" s="2">
        <v>27.8</v>
      </c>
      <c r="F682" s="2" t="s">
        <v>1354</v>
      </c>
      <c r="G682" s="2" t="s">
        <v>1355</v>
      </c>
    </row>
    <row r="683" spans="1:7" ht="285" x14ac:dyDescent="0.25">
      <c r="A683" s="2">
        <v>682</v>
      </c>
      <c r="B683" s="2">
        <v>25</v>
      </c>
      <c r="C683" s="2">
        <v>2.2999999999999998</v>
      </c>
      <c r="D683" s="2">
        <v>0.2</v>
      </c>
      <c r="E683" s="2">
        <v>3.5</v>
      </c>
      <c r="F683" s="2" t="s">
        <v>1356</v>
      </c>
      <c r="G683" s="2" t="s">
        <v>1357</v>
      </c>
    </row>
    <row r="684" spans="1:7" ht="240" x14ac:dyDescent="0.25">
      <c r="A684" s="2">
        <v>683</v>
      </c>
      <c r="B684" s="2">
        <v>146.69999999999999</v>
      </c>
      <c r="C684" s="2">
        <v>5.9</v>
      </c>
      <c r="D684" s="2">
        <v>5.9</v>
      </c>
      <c r="E684" s="2">
        <v>19.7</v>
      </c>
      <c r="F684" s="2" t="s">
        <v>1358</v>
      </c>
      <c r="G684" s="2" t="s">
        <v>1359</v>
      </c>
    </row>
    <row r="685" spans="1:7" ht="240" x14ac:dyDescent="0.25">
      <c r="A685" s="2">
        <v>684</v>
      </c>
      <c r="B685" s="2">
        <v>92</v>
      </c>
      <c r="C685" s="2">
        <v>2.2000000000000002</v>
      </c>
      <c r="D685" s="2">
        <v>3.3</v>
      </c>
      <c r="E685" s="2">
        <v>14.1</v>
      </c>
      <c r="F685" s="2" t="s">
        <v>1360</v>
      </c>
      <c r="G685" s="2" t="s">
        <v>1361</v>
      </c>
    </row>
    <row r="686" spans="1:7" ht="225" x14ac:dyDescent="0.25">
      <c r="A686" s="2">
        <v>685</v>
      </c>
      <c r="B686" s="2">
        <v>292</v>
      </c>
      <c r="C686" s="2">
        <v>11.2</v>
      </c>
      <c r="D686" s="2">
        <v>11.2</v>
      </c>
      <c r="E686" s="2">
        <v>2.8</v>
      </c>
      <c r="F686" s="2" t="s">
        <v>1362</v>
      </c>
      <c r="G686" s="2" t="s">
        <v>1363</v>
      </c>
    </row>
    <row r="687" spans="1:7" ht="405" x14ac:dyDescent="0.25">
      <c r="A687" s="2">
        <v>686</v>
      </c>
      <c r="B687" s="2">
        <v>73</v>
      </c>
      <c r="C687" s="2">
        <v>16.399999999999999</v>
      </c>
      <c r="D687" s="2">
        <v>0.3</v>
      </c>
      <c r="E687" s="2">
        <v>0</v>
      </c>
      <c r="F687" s="2" t="s">
        <v>1364</v>
      </c>
      <c r="G687" s="2" t="s">
        <v>1365</v>
      </c>
    </row>
    <row r="688" spans="1:7" ht="270" x14ac:dyDescent="0.25">
      <c r="A688" s="2">
        <v>687</v>
      </c>
      <c r="B688" s="2">
        <v>275</v>
      </c>
      <c r="C688" s="2">
        <v>12.6</v>
      </c>
      <c r="D688" s="2">
        <v>14.8</v>
      </c>
      <c r="E688" s="2">
        <v>54.6</v>
      </c>
      <c r="F688" s="2" t="s">
        <v>1366</v>
      </c>
      <c r="G688" s="2" t="s">
        <v>1367</v>
      </c>
    </row>
    <row r="689" spans="1:7" ht="135" x14ac:dyDescent="0.25">
      <c r="A689" s="2">
        <v>688</v>
      </c>
      <c r="B689" s="2">
        <v>356</v>
      </c>
      <c r="C689" s="2">
        <v>9</v>
      </c>
      <c r="D689" s="2">
        <v>8.5</v>
      </c>
      <c r="E689" s="2">
        <v>64.5</v>
      </c>
      <c r="F689" s="2" t="s">
        <v>1368</v>
      </c>
      <c r="G689" s="2" t="s">
        <v>1369</v>
      </c>
    </row>
    <row r="690" spans="1:7" ht="120" x14ac:dyDescent="0.25">
      <c r="A690" s="2">
        <v>689</v>
      </c>
      <c r="B690" s="2">
        <v>120</v>
      </c>
      <c r="C690" s="2">
        <v>3.5</v>
      </c>
      <c r="D690" s="2">
        <v>2.5</v>
      </c>
      <c r="E690" s="2">
        <v>20.8</v>
      </c>
      <c r="F690" s="2" t="s">
        <v>1370</v>
      </c>
      <c r="G690" s="2" t="s">
        <v>1371</v>
      </c>
    </row>
    <row r="691" spans="1:7" ht="225" x14ac:dyDescent="0.25">
      <c r="A691" s="2">
        <v>690</v>
      </c>
      <c r="B691" s="2">
        <v>46</v>
      </c>
      <c r="C691" s="2">
        <v>5.7</v>
      </c>
      <c r="D691" s="2">
        <v>1.3</v>
      </c>
      <c r="E691" s="2">
        <v>9</v>
      </c>
      <c r="F691" s="2" t="s">
        <v>1372</v>
      </c>
      <c r="G691" s="2" t="s">
        <v>1373</v>
      </c>
    </row>
    <row r="692" spans="1:7" ht="210" x14ac:dyDescent="0.25">
      <c r="A692" s="2">
        <v>691</v>
      </c>
      <c r="B692" s="2">
        <v>464</v>
      </c>
      <c r="C692" s="2">
        <v>1.2</v>
      </c>
      <c r="D692" s="2">
        <v>18.600000000000001</v>
      </c>
      <c r="E692" s="2">
        <v>73</v>
      </c>
      <c r="F692" s="2" t="s">
        <v>1374</v>
      </c>
      <c r="G692" s="2" t="s">
        <v>1375</v>
      </c>
    </row>
    <row r="693" spans="1:7" ht="285" x14ac:dyDescent="0.25">
      <c r="A693" s="2">
        <v>692</v>
      </c>
      <c r="B693" s="2">
        <v>405</v>
      </c>
      <c r="C693" s="2">
        <v>32.799999999999997</v>
      </c>
      <c r="D693" s="2">
        <v>17</v>
      </c>
      <c r="E693" s="2">
        <v>36.5</v>
      </c>
      <c r="F693" s="2" t="s">
        <v>1376</v>
      </c>
      <c r="G693" s="2" t="s">
        <v>1377</v>
      </c>
    </row>
    <row r="694" spans="1:7" ht="135" x14ac:dyDescent="0.25">
      <c r="A694" s="2">
        <v>693</v>
      </c>
      <c r="B694" s="2">
        <v>35</v>
      </c>
      <c r="C694" s="2">
        <v>2.9</v>
      </c>
      <c r="D694" s="2">
        <v>0.2</v>
      </c>
      <c r="E694" s="2">
        <v>0.8</v>
      </c>
      <c r="F694" s="2" t="s">
        <v>1378</v>
      </c>
      <c r="G694" s="2" t="s">
        <v>1379</v>
      </c>
    </row>
    <row r="695" spans="1:7" ht="225" x14ac:dyDescent="0.25">
      <c r="A695" s="2">
        <v>694</v>
      </c>
      <c r="B695" s="2">
        <v>32</v>
      </c>
      <c r="C695" s="2">
        <v>2.9</v>
      </c>
      <c r="D695" s="2">
        <v>0.2</v>
      </c>
      <c r="E695" s="2">
        <v>5.8</v>
      </c>
      <c r="F695" s="2" t="s">
        <v>1380</v>
      </c>
      <c r="G695" s="2" t="s">
        <v>1381</v>
      </c>
    </row>
    <row r="696" spans="1:7" ht="210" x14ac:dyDescent="0.25">
      <c r="A696" s="2">
        <v>695</v>
      </c>
      <c r="B696" s="2">
        <v>34</v>
      </c>
      <c r="C696" s="2">
        <v>0.9</v>
      </c>
      <c r="D696" s="2">
        <v>1</v>
      </c>
      <c r="E696" s="2">
        <v>6.7</v>
      </c>
      <c r="F696" s="2" t="s">
        <v>1382</v>
      </c>
      <c r="G696" s="2" t="s">
        <v>1383</v>
      </c>
    </row>
    <row r="697" spans="1:7" ht="225" x14ac:dyDescent="0.25">
      <c r="A697" s="2">
        <v>696</v>
      </c>
      <c r="B697" s="2">
        <v>47</v>
      </c>
      <c r="C697" s="2">
        <v>0.5</v>
      </c>
      <c r="D697" s="2">
        <v>0.2</v>
      </c>
      <c r="E697" s="2">
        <v>10.4</v>
      </c>
      <c r="F697" s="2" t="s">
        <v>1384</v>
      </c>
      <c r="G697" s="2" t="s">
        <v>1385</v>
      </c>
    </row>
    <row r="698" spans="1:7" ht="255" x14ac:dyDescent="0.25">
      <c r="A698" s="2">
        <v>697</v>
      </c>
      <c r="B698" s="2">
        <v>326</v>
      </c>
      <c r="C698" s="2">
        <v>22.8</v>
      </c>
      <c r="D698" s="2">
        <v>20.3</v>
      </c>
      <c r="E698" s="2">
        <v>13.1</v>
      </c>
      <c r="F698" s="2" t="s">
        <v>1386</v>
      </c>
      <c r="G698" s="2" t="s">
        <v>1387</v>
      </c>
    </row>
    <row r="699" spans="1:7" ht="405" x14ac:dyDescent="0.25">
      <c r="A699" s="2">
        <v>698</v>
      </c>
      <c r="B699" s="2">
        <v>590</v>
      </c>
      <c r="C699" s="2">
        <v>27</v>
      </c>
      <c r="D699" s="2">
        <v>49</v>
      </c>
      <c r="E699" s="2">
        <v>20.9</v>
      </c>
      <c r="F699" s="2" t="s">
        <v>1388</v>
      </c>
      <c r="G699" s="2" t="s">
        <v>1389</v>
      </c>
    </row>
    <row r="700" spans="1:7" ht="120" x14ac:dyDescent="0.25">
      <c r="A700" s="2">
        <v>699</v>
      </c>
      <c r="B700" s="2">
        <v>623</v>
      </c>
      <c r="C700" s="2">
        <v>2</v>
      </c>
      <c r="D700" s="2">
        <v>52.1</v>
      </c>
      <c r="E700" s="2">
        <v>36.5</v>
      </c>
      <c r="F700" s="2" t="s">
        <v>1390</v>
      </c>
      <c r="G700" s="2" t="s">
        <v>1391</v>
      </c>
    </row>
    <row r="701" spans="1:7" ht="270" x14ac:dyDescent="0.25">
      <c r="A701" s="2">
        <v>700</v>
      </c>
      <c r="B701" s="2">
        <v>17</v>
      </c>
      <c r="C701" s="2">
        <v>0.2</v>
      </c>
      <c r="D701" s="2">
        <v>0.1</v>
      </c>
      <c r="E701" s="2">
        <v>3.8</v>
      </c>
      <c r="F701" s="2" t="s">
        <v>1392</v>
      </c>
      <c r="G701" s="2" t="s">
        <v>1393</v>
      </c>
    </row>
    <row r="702" spans="1:7" ht="255" x14ac:dyDescent="0.25">
      <c r="A702" s="2">
        <v>701</v>
      </c>
      <c r="B702" s="2">
        <v>68</v>
      </c>
      <c r="C702" s="2">
        <v>1</v>
      </c>
      <c r="D702" s="2">
        <v>0.9</v>
      </c>
      <c r="E702" s="2">
        <v>14</v>
      </c>
      <c r="F702" s="2" t="s">
        <v>1394</v>
      </c>
      <c r="G702" s="2" t="s">
        <v>1395</v>
      </c>
    </row>
    <row r="703" spans="1:7" ht="165" x14ac:dyDescent="0.25">
      <c r="A703" s="2">
        <v>702</v>
      </c>
      <c r="B703" s="2">
        <v>180</v>
      </c>
      <c r="C703" s="2">
        <v>4</v>
      </c>
      <c r="D703" s="2">
        <v>15</v>
      </c>
      <c r="E703" s="2">
        <v>10</v>
      </c>
      <c r="F703" s="2" t="s">
        <v>1396</v>
      </c>
      <c r="G703" s="2" t="s">
        <v>1397</v>
      </c>
    </row>
    <row r="704" spans="1:7" ht="195" x14ac:dyDescent="0.25">
      <c r="A704" s="2">
        <v>703</v>
      </c>
      <c r="B704" s="2">
        <v>359</v>
      </c>
      <c r="C704" s="2">
        <v>3.4</v>
      </c>
      <c r="D704" s="2">
        <v>34.700000000000003</v>
      </c>
      <c r="E704" s="2">
        <v>14</v>
      </c>
      <c r="F704" s="2" t="s">
        <v>1398</v>
      </c>
      <c r="G704" s="2" t="s">
        <v>1399</v>
      </c>
    </row>
    <row r="705" spans="1:7" ht="210" x14ac:dyDescent="0.25">
      <c r="A705" s="2">
        <v>704</v>
      </c>
      <c r="B705" s="2">
        <v>214</v>
      </c>
      <c r="C705" s="2">
        <v>5.4</v>
      </c>
      <c r="D705" s="2">
        <v>5.4</v>
      </c>
      <c r="E705" s="2">
        <v>40.200000000000003</v>
      </c>
      <c r="F705" s="2" t="s">
        <v>1400</v>
      </c>
      <c r="G705" s="2" t="s">
        <v>1401</v>
      </c>
    </row>
    <row r="706" spans="1:7" ht="180" x14ac:dyDescent="0.25">
      <c r="A706" s="2">
        <v>705</v>
      </c>
      <c r="B706" s="2">
        <v>111</v>
      </c>
      <c r="C706" s="2">
        <v>1.5</v>
      </c>
      <c r="D706" s="2">
        <v>0.3</v>
      </c>
      <c r="E706" s="2">
        <v>27.2</v>
      </c>
      <c r="F706" s="2" t="s">
        <v>1402</v>
      </c>
      <c r="G706" s="2" t="s">
        <v>1403</v>
      </c>
    </row>
    <row r="707" spans="1:7" ht="409.5" x14ac:dyDescent="0.25">
      <c r="A707" s="2">
        <v>706</v>
      </c>
      <c r="B707" s="2">
        <v>142</v>
      </c>
      <c r="C707" s="2">
        <v>16.899999999999999</v>
      </c>
      <c r="D707" s="2">
        <v>7.8</v>
      </c>
      <c r="E707" s="2">
        <v>0</v>
      </c>
      <c r="F707" s="2" t="s">
        <v>1404</v>
      </c>
      <c r="G707" s="2" t="s">
        <v>1405</v>
      </c>
    </row>
    <row r="708" spans="1:7" ht="135" x14ac:dyDescent="0.25">
      <c r="A708" s="2">
        <v>707</v>
      </c>
      <c r="B708" s="2">
        <v>48</v>
      </c>
      <c r="C708" s="2">
        <v>1</v>
      </c>
      <c r="D708" s="2">
        <v>0.2</v>
      </c>
      <c r="E708" s="2">
        <v>11.9</v>
      </c>
      <c r="F708" s="2" t="s">
        <v>1406</v>
      </c>
      <c r="G708" s="2" t="s">
        <v>1407</v>
      </c>
    </row>
    <row r="709" spans="1:7" ht="225" x14ac:dyDescent="0.25">
      <c r="A709" s="2">
        <v>708</v>
      </c>
      <c r="B709" s="2">
        <v>380</v>
      </c>
      <c r="C709" s="2">
        <v>48.9</v>
      </c>
      <c r="D709" s="2">
        <v>13.8</v>
      </c>
      <c r="E709" s="2">
        <v>23.3</v>
      </c>
      <c r="F709" s="2" t="s">
        <v>1408</v>
      </c>
      <c r="G709" s="2" t="s">
        <v>1409</v>
      </c>
    </row>
    <row r="710" spans="1:7" ht="240" x14ac:dyDescent="0.25">
      <c r="A710" s="2">
        <v>709</v>
      </c>
      <c r="B710" s="2">
        <v>44</v>
      </c>
      <c r="C710" s="2">
        <v>1.8</v>
      </c>
      <c r="D710" s="2">
        <v>0.6</v>
      </c>
      <c r="E710" s="2">
        <v>9.6</v>
      </c>
      <c r="F710" s="2" t="s">
        <v>1410</v>
      </c>
      <c r="G710" s="2" t="s">
        <v>1411</v>
      </c>
    </row>
    <row r="711" spans="1:7" ht="285" x14ac:dyDescent="0.25">
      <c r="A711" s="2">
        <v>710</v>
      </c>
      <c r="B711" s="2">
        <v>636</v>
      </c>
      <c r="C711" s="2">
        <v>19</v>
      </c>
      <c r="D711" s="2">
        <v>63</v>
      </c>
      <c r="E711" s="2">
        <v>8</v>
      </c>
      <c r="F711" s="2" t="s">
        <v>1412</v>
      </c>
      <c r="G711" s="2" t="s">
        <v>1413</v>
      </c>
    </row>
    <row r="712" spans="1:7" ht="210" x14ac:dyDescent="0.25">
      <c r="A712" s="2">
        <v>711</v>
      </c>
      <c r="B712" s="2">
        <v>657</v>
      </c>
      <c r="C712" s="2">
        <v>15</v>
      </c>
      <c r="D712" s="2">
        <v>66</v>
      </c>
      <c r="E712" s="2">
        <v>13</v>
      </c>
      <c r="F712" s="2" t="s">
        <v>1414</v>
      </c>
      <c r="G712" s="2" t="s">
        <v>1415</v>
      </c>
    </row>
    <row r="713" spans="1:7" ht="120" x14ac:dyDescent="0.25">
      <c r="A713" s="2">
        <v>712</v>
      </c>
      <c r="B713" s="2">
        <v>616</v>
      </c>
      <c r="C713" s="2">
        <v>13.9</v>
      </c>
      <c r="D713" s="2">
        <v>56.2</v>
      </c>
      <c r="E713" s="2">
        <v>13.7</v>
      </c>
      <c r="F713" s="2" t="s">
        <v>1416</v>
      </c>
      <c r="G713" s="2" t="s">
        <v>1417</v>
      </c>
    </row>
    <row r="714" spans="1:7" ht="409.5" x14ac:dyDescent="0.25">
      <c r="A714" s="2">
        <v>713</v>
      </c>
      <c r="B714" s="2">
        <v>83</v>
      </c>
      <c r="C714" s="2">
        <v>2</v>
      </c>
      <c r="D714" s="2">
        <v>0.1</v>
      </c>
      <c r="E714" s="2">
        <v>19.100000000000001</v>
      </c>
      <c r="F714" s="2" t="s">
        <v>1418</v>
      </c>
      <c r="G714" s="2" t="s">
        <v>1419</v>
      </c>
    </row>
    <row r="715" spans="1:7" ht="135" x14ac:dyDescent="0.25">
      <c r="A715" s="2">
        <v>714</v>
      </c>
      <c r="B715" s="2">
        <v>142</v>
      </c>
      <c r="C715" s="2">
        <v>0.9</v>
      </c>
      <c r="D715" s="2">
        <v>0.4</v>
      </c>
      <c r="E715" s="2">
        <v>33.700000000000003</v>
      </c>
      <c r="F715" s="2" t="s">
        <v>1420</v>
      </c>
      <c r="G715" s="2" t="s">
        <v>1421</v>
      </c>
    </row>
    <row r="716" spans="1:7" ht="150" x14ac:dyDescent="0.25">
      <c r="A716" s="2">
        <v>715</v>
      </c>
      <c r="B716" s="2">
        <v>64</v>
      </c>
      <c r="C716" s="2">
        <v>12</v>
      </c>
      <c r="D716" s="2">
        <v>1</v>
      </c>
      <c r="E716" s="2">
        <v>2</v>
      </c>
      <c r="F716" s="2" t="s">
        <v>1422</v>
      </c>
      <c r="G716" s="2" t="s">
        <v>1423</v>
      </c>
    </row>
    <row r="717" spans="1:7" ht="165" x14ac:dyDescent="0.25">
      <c r="A717" s="2">
        <v>716</v>
      </c>
      <c r="B717" s="2">
        <v>204</v>
      </c>
      <c r="C717" s="2">
        <v>2.6</v>
      </c>
      <c r="D717" s="2">
        <v>20</v>
      </c>
      <c r="E717" s="2">
        <v>4</v>
      </c>
      <c r="F717" s="2" t="s">
        <v>1424</v>
      </c>
      <c r="G717" s="2" t="s">
        <v>1425</v>
      </c>
    </row>
    <row r="718" spans="1:7" ht="210" x14ac:dyDescent="0.25">
      <c r="A718" s="2">
        <v>717</v>
      </c>
      <c r="B718" s="2">
        <v>151</v>
      </c>
      <c r="C718" s="2">
        <v>13.8</v>
      </c>
      <c r="D718" s="2">
        <v>3.8</v>
      </c>
      <c r="E718" s="2">
        <v>14.1</v>
      </c>
      <c r="F718" s="2" t="s">
        <v>1426</v>
      </c>
      <c r="G718" s="2" t="s">
        <v>1427</v>
      </c>
    </row>
    <row r="719" spans="1:7" ht="195" x14ac:dyDescent="0.25">
      <c r="A719" s="2">
        <v>718</v>
      </c>
      <c r="B719" s="2">
        <v>59</v>
      </c>
      <c r="C719" s="2">
        <v>18</v>
      </c>
      <c r="D719" s="2">
        <v>1.1000000000000001</v>
      </c>
      <c r="E719" s="2">
        <v>3.6</v>
      </c>
      <c r="F719" s="2" t="s">
        <v>1428</v>
      </c>
      <c r="G719" s="2" t="s">
        <v>1429</v>
      </c>
    </row>
    <row r="720" spans="1:7" ht="180" x14ac:dyDescent="0.25">
      <c r="A720" s="2">
        <v>719</v>
      </c>
      <c r="B720" s="2">
        <v>393</v>
      </c>
      <c r="C720" s="2">
        <v>38.9</v>
      </c>
      <c r="D720" s="2">
        <v>13.3</v>
      </c>
      <c r="E720" s="2">
        <v>29.4</v>
      </c>
      <c r="F720" s="2" t="s">
        <v>1430</v>
      </c>
      <c r="G720" s="2" t="s">
        <v>1431</v>
      </c>
    </row>
    <row r="721" spans="1:7" ht="240" x14ac:dyDescent="0.25">
      <c r="A721" s="2">
        <v>720</v>
      </c>
      <c r="B721" s="2">
        <v>357</v>
      </c>
      <c r="C721" s="2">
        <v>41.1</v>
      </c>
      <c r="D721" s="2">
        <v>10</v>
      </c>
      <c r="E721" s="2">
        <v>25.6</v>
      </c>
      <c r="F721" s="2" t="s">
        <v>1432</v>
      </c>
      <c r="G721" s="2" t="s">
        <v>1433</v>
      </c>
    </row>
    <row r="722" spans="1:7" ht="135" x14ac:dyDescent="0.25">
      <c r="A722" s="2">
        <v>721</v>
      </c>
      <c r="B722" s="2">
        <v>79</v>
      </c>
      <c r="C722" s="2">
        <v>18.7</v>
      </c>
      <c r="D722" s="2">
        <v>0.5</v>
      </c>
      <c r="E722" s="2">
        <v>0</v>
      </c>
      <c r="F722" s="2" t="s">
        <v>1434</v>
      </c>
      <c r="G722" s="2" t="s">
        <v>1435</v>
      </c>
    </row>
    <row r="723" spans="1:7" ht="345" x14ac:dyDescent="0.25">
      <c r="A723" s="2">
        <v>722</v>
      </c>
      <c r="B723" s="2">
        <v>475</v>
      </c>
      <c r="C723" s="2">
        <v>1.6</v>
      </c>
      <c r="D723" s="2">
        <v>25.5</v>
      </c>
      <c r="E723" s="2">
        <v>64.400000000000006</v>
      </c>
      <c r="F723" s="2" t="s">
        <v>1436</v>
      </c>
      <c r="G723" s="2" t="s">
        <v>1437</v>
      </c>
    </row>
    <row r="724" spans="1:7" ht="225" x14ac:dyDescent="0.25">
      <c r="A724" s="2">
        <v>723</v>
      </c>
      <c r="B724" s="2">
        <v>137</v>
      </c>
      <c r="C724" s="2">
        <v>1.3</v>
      </c>
      <c r="D724" s="2">
        <v>1.1000000000000001</v>
      </c>
      <c r="E724" s="2">
        <v>29.8</v>
      </c>
      <c r="F724" s="2" t="s">
        <v>1438</v>
      </c>
      <c r="G724" s="2" t="s">
        <v>1439</v>
      </c>
    </row>
    <row r="725" spans="1:7" ht="240" x14ac:dyDescent="0.25">
      <c r="A725" s="2">
        <v>724</v>
      </c>
      <c r="B725" s="2">
        <v>586</v>
      </c>
      <c r="C725" s="2">
        <v>4.9000000000000004</v>
      </c>
      <c r="D725" s="2">
        <v>40.6</v>
      </c>
      <c r="E725" s="2">
        <v>50.2</v>
      </c>
      <c r="F725" s="2" t="s">
        <v>1440</v>
      </c>
      <c r="G725" s="2" t="s">
        <v>1441</v>
      </c>
    </row>
    <row r="726" spans="1:7" ht="180" x14ac:dyDescent="0.25">
      <c r="A726" s="2">
        <v>725</v>
      </c>
      <c r="B726" s="2">
        <v>446</v>
      </c>
      <c r="C726" s="2">
        <v>2.8</v>
      </c>
      <c r="D726" s="2">
        <v>14.5</v>
      </c>
      <c r="E726" s="2">
        <v>76</v>
      </c>
      <c r="F726" s="2" t="s">
        <v>1442</v>
      </c>
      <c r="G726" s="2" t="s">
        <v>1443</v>
      </c>
    </row>
    <row r="727" spans="1:7" ht="240" x14ac:dyDescent="0.25">
      <c r="A727" s="2">
        <v>726</v>
      </c>
      <c r="B727" s="2">
        <v>448</v>
      </c>
      <c r="C727" s="2">
        <v>2.7</v>
      </c>
      <c r="D727" s="2">
        <v>18.8</v>
      </c>
      <c r="E727" s="2">
        <v>67.099999999999994</v>
      </c>
      <c r="F727" s="2" t="s">
        <v>1444</v>
      </c>
      <c r="G727" s="2" t="s">
        <v>1445</v>
      </c>
    </row>
    <row r="728" spans="1:7" ht="270" x14ac:dyDescent="0.25">
      <c r="A728" s="2">
        <v>727</v>
      </c>
      <c r="B728" s="2">
        <v>485</v>
      </c>
      <c r="C728" s="2">
        <v>1.7</v>
      </c>
      <c r="D728" s="2">
        <v>22.2</v>
      </c>
      <c r="E728" s="2">
        <v>69.7</v>
      </c>
      <c r="F728" s="2" t="s">
        <v>1446</v>
      </c>
      <c r="G728" s="2" t="s">
        <v>1447</v>
      </c>
    </row>
    <row r="729" spans="1:7" ht="270" x14ac:dyDescent="0.25">
      <c r="A729" s="2">
        <v>728</v>
      </c>
      <c r="B729" s="2">
        <v>598</v>
      </c>
      <c r="C729" s="2">
        <v>8.3000000000000007</v>
      </c>
      <c r="D729" s="2">
        <v>43.8</v>
      </c>
      <c r="E729" s="2">
        <v>42.6</v>
      </c>
      <c r="F729" s="2" t="s">
        <v>1448</v>
      </c>
      <c r="G729" s="2" t="s">
        <v>1449</v>
      </c>
    </row>
    <row r="730" spans="1:7" ht="285" x14ac:dyDescent="0.25">
      <c r="A730" s="2">
        <v>729</v>
      </c>
      <c r="B730" s="2">
        <v>478</v>
      </c>
      <c r="C730" s="2">
        <v>0.9</v>
      </c>
      <c r="D730" s="2">
        <v>20.7</v>
      </c>
      <c r="E730" s="2">
        <v>72</v>
      </c>
      <c r="F730" s="2" t="s">
        <v>1450</v>
      </c>
      <c r="G730" s="2" t="s">
        <v>1451</v>
      </c>
    </row>
    <row r="731" spans="1:7" ht="180" x14ac:dyDescent="0.25">
      <c r="A731" s="2">
        <v>730</v>
      </c>
      <c r="B731" s="2">
        <v>481</v>
      </c>
      <c r="C731" s="2">
        <v>2.2000000000000002</v>
      </c>
      <c r="D731" s="2">
        <v>19.7</v>
      </c>
      <c r="E731" s="2">
        <v>73.599999999999994</v>
      </c>
      <c r="F731" s="2" t="s">
        <v>1452</v>
      </c>
      <c r="G731" s="2" t="s">
        <v>1453</v>
      </c>
    </row>
    <row r="732" spans="1:7" ht="165" x14ac:dyDescent="0.25">
      <c r="A732" s="2">
        <v>731</v>
      </c>
      <c r="B732" s="2">
        <v>581</v>
      </c>
      <c r="C732" s="2">
        <v>12.1</v>
      </c>
      <c r="D732" s="2">
        <v>40.6</v>
      </c>
      <c r="E732" s="2">
        <v>41.7</v>
      </c>
      <c r="F732" s="2" t="s">
        <v>1454</v>
      </c>
      <c r="G732" s="2" t="s">
        <v>1455</v>
      </c>
    </row>
    <row r="733" spans="1:7" ht="135" x14ac:dyDescent="0.25">
      <c r="A733" s="2">
        <v>732</v>
      </c>
      <c r="B733" s="2">
        <v>542</v>
      </c>
      <c r="C733" s="2">
        <v>40.299999999999997</v>
      </c>
      <c r="D733" s="2">
        <v>42.4</v>
      </c>
      <c r="E733" s="2">
        <v>11.6</v>
      </c>
      <c r="F733" s="2" t="s">
        <v>1456</v>
      </c>
      <c r="G733" s="2" t="s">
        <v>1457</v>
      </c>
    </row>
    <row r="734" spans="1:7" ht="105" x14ac:dyDescent="0.25">
      <c r="A734" s="2">
        <v>733</v>
      </c>
      <c r="B734" s="2">
        <v>510</v>
      </c>
      <c r="C734" s="2">
        <v>12.3</v>
      </c>
      <c r="D734" s="2">
        <v>27.9</v>
      </c>
      <c r="E734" s="2">
        <v>52.4</v>
      </c>
      <c r="F734" s="2" t="s">
        <v>1458</v>
      </c>
      <c r="G734" s="2" t="s">
        <v>1459</v>
      </c>
    </row>
    <row r="735" spans="1:7" ht="135" x14ac:dyDescent="0.25">
      <c r="A735" s="2">
        <v>734</v>
      </c>
      <c r="B735" s="2">
        <v>529</v>
      </c>
      <c r="C735" s="2">
        <v>20.8</v>
      </c>
      <c r="D735" s="2">
        <v>31.7</v>
      </c>
      <c r="E735" s="2">
        <v>40.200000000000003</v>
      </c>
      <c r="F735" s="2" t="s">
        <v>1460</v>
      </c>
      <c r="G735" s="2" t="s">
        <v>1461</v>
      </c>
    </row>
    <row r="736" spans="1:7" ht="180" x14ac:dyDescent="0.25">
      <c r="A736" s="2">
        <v>735</v>
      </c>
      <c r="B736" s="2">
        <v>486</v>
      </c>
      <c r="C736" s="2">
        <v>0.2</v>
      </c>
      <c r="D736" s="2">
        <v>23.9</v>
      </c>
      <c r="E736" s="2">
        <v>67.599999999999994</v>
      </c>
      <c r="F736" s="2" t="s">
        <v>1462</v>
      </c>
      <c r="G736" s="2" t="s">
        <v>1463</v>
      </c>
    </row>
    <row r="737" spans="1:7" ht="285" x14ac:dyDescent="0.25">
      <c r="A737" s="2">
        <v>736</v>
      </c>
      <c r="B737" s="2">
        <v>26</v>
      </c>
      <c r="C737" s="2">
        <v>1.7</v>
      </c>
      <c r="D737" s="2">
        <v>0.4</v>
      </c>
      <c r="E737" s="2">
        <v>3.8</v>
      </c>
      <c r="F737" s="2" t="s">
        <v>1464</v>
      </c>
      <c r="G737" s="2" t="s">
        <v>1465</v>
      </c>
    </row>
    <row r="738" spans="1:7" ht="135" x14ac:dyDescent="0.25">
      <c r="A738" s="2">
        <v>737</v>
      </c>
      <c r="B738" s="2">
        <v>350</v>
      </c>
      <c r="C738" s="2">
        <v>0.5</v>
      </c>
      <c r="D738" s="2">
        <v>0.2</v>
      </c>
      <c r="E738" s="2">
        <v>85.9</v>
      </c>
      <c r="F738" s="2" t="s">
        <v>1466</v>
      </c>
      <c r="G738" s="2" t="s">
        <v>1467</v>
      </c>
    </row>
    <row r="739" spans="1:7" ht="150" x14ac:dyDescent="0.25">
      <c r="A739" s="2">
        <v>738</v>
      </c>
      <c r="B739" s="2">
        <v>444</v>
      </c>
      <c r="C739" s="2">
        <v>6.9</v>
      </c>
      <c r="D739" s="2">
        <v>14.6</v>
      </c>
      <c r="E739" s="2">
        <v>71.3</v>
      </c>
      <c r="F739" s="2" t="s">
        <v>1468</v>
      </c>
      <c r="G739" s="2" t="s">
        <v>1469</v>
      </c>
    </row>
    <row r="740" spans="1:7" ht="315" x14ac:dyDescent="0.25">
      <c r="A740" s="2">
        <v>739</v>
      </c>
      <c r="B740" s="2">
        <v>342</v>
      </c>
      <c r="C740" s="2">
        <v>16</v>
      </c>
      <c r="D740" s="2">
        <v>0.4</v>
      </c>
      <c r="E740" s="2">
        <v>65.599999999999994</v>
      </c>
      <c r="F740" s="2" t="s">
        <v>1470</v>
      </c>
      <c r="G740" s="2" t="s">
        <v>1471</v>
      </c>
    </row>
    <row r="741" spans="1:7" ht="270" x14ac:dyDescent="0.25">
      <c r="A741" s="2">
        <v>740</v>
      </c>
      <c r="B741" s="2">
        <v>325</v>
      </c>
      <c r="C741" s="2">
        <v>1.8</v>
      </c>
      <c r="D741" s="2">
        <v>0.4</v>
      </c>
      <c r="E741" s="2">
        <v>78.5</v>
      </c>
      <c r="F741" s="2" t="s">
        <v>1472</v>
      </c>
      <c r="G741" s="2" t="s">
        <v>1473</v>
      </c>
    </row>
    <row r="742" spans="1:7" ht="240" x14ac:dyDescent="0.25">
      <c r="A742" s="2">
        <v>741</v>
      </c>
      <c r="B742" s="2">
        <v>504</v>
      </c>
      <c r="C742" s="2">
        <v>5.6</v>
      </c>
      <c r="D742" s="2">
        <v>28.1</v>
      </c>
      <c r="E742" s="2">
        <v>57.1</v>
      </c>
      <c r="F742" s="2" t="s">
        <v>1474</v>
      </c>
      <c r="G742" s="2" t="s">
        <v>1475</v>
      </c>
    </row>
    <row r="743" spans="1:7" ht="285" x14ac:dyDescent="0.25">
      <c r="A743" s="2">
        <v>742</v>
      </c>
      <c r="B743" s="2">
        <v>356</v>
      </c>
      <c r="C743" s="2">
        <v>9.6999999999999993</v>
      </c>
      <c r="D743" s="2">
        <v>1.1000000000000001</v>
      </c>
      <c r="E743" s="2">
        <v>76.900000000000006</v>
      </c>
      <c r="F743" s="2" t="s">
        <v>1476</v>
      </c>
      <c r="G743" s="2" t="s">
        <v>1477</v>
      </c>
    </row>
    <row r="744" spans="1:7" ht="240" x14ac:dyDescent="0.25">
      <c r="A744" s="2">
        <v>743</v>
      </c>
      <c r="B744" s="2">
        <v>422</v>
      </c>
      <c r="C744" s="2">
        <v>83</v>
      </c>
      <c r="D744" s="2">
        <v>4</v>
      </c>
      <c r="E744" s="2">
        <v>0</v>
      </c>
      <c r="F744" s="2" t="s">
        <v>1478</v>
      </c>
      <c r="G744" s="2" t="s">
        <v>1479</v>
      </c>
    </row>
    <row r="745" spans="1:7" ht="105" x14ac:dyDescent="0.25">
      <c r="A745" s="2">
        <v>744</v>
      </c>
      <c r="B745" s="2">
        <v>345</v>
      </c>
      <c r="C745" s="2">
        <v>12</v>
      </c>
      <c r="D745" s="2">
        <v>1.5</v>
      </c>
      <c r="E745" s="2">
        <v>71.5</v>
      </c>
      <c r="F745" s="2" t="s">
        <v>1480</v>
      </c>
      <c r="G745" s="2" t="s">
        <v>1481</v>
      </c>
    </row>
    <row r="746" spans="1:7" ht="255" x14ac:dyDescent="0.25">
      <c r="A746" s="2">
        <v>745</v>
      </c>
      <c r="B746" s="2">
        <v>431</v>
      </c>
      <c r="C746" s="2">
        <v>11.1</v>
      </c>
      <c r="D746" s="2">
        <v>16.2</v>
      </c>
      <c r="E746" s="2">
        <v>63</v>
      </c>
      <c r="F746" s="2" t="s">
        <v>1482</v>
      </c>
      <c r="G746" s="2" t="s">
        <v>1483</v>
      </c>
    </row>
    <row r="747" spans="1:7" ht="255" x14ac:dyDescent="0.25">
      <c r="A747" s="2">
        <v>746</v>
      </c>
      <c r="B747" s="2">
        <v>439</v>
      </c>
      <c r="C747" s="2">
        <v>10</v>
      </c>
      <c r="D747" s="2">
        <v>16.399999999999999</v>
      </c>
      <c r="E747" s="2">
        <v>65.7</v>
      </c>
      <c r="F747" s="2" t="s">
        <v>1484</v>
      </c>
      <c r="G747" s="2" t="s">
        <v>1483</v>
      </c>
    </row>
    <row r="748" spans="1:7" ht="255" x14ac:dyDescent="0.25">
      <c r="A748" s="2">
        <v>747</v>
      </c>
      <c r="B748" s="2">
        <v>485</v>
      </c>
      <c r="C748" s="2">
        <v>11.5</v>
      </c>
      <c r="D748" s="2">
        <v>24.5</v>
      </c>
      <c r="E748" s="2">
        <v>59.1</v>
      </c>
      <c r="F748" s="2" t="s">
        <v>1485</v>
      </c>
      <c r="G748" s="2" t="s">
        <v>1483</v>
      </c>
    </row>
    <row r="749" spans="1:7" ht="135" x14ac:dyDescent="0.25">
      <c r="A749" s="2">
        <v>748</v>
      </c>
      <c r="B749" s="2">
        <v>476</v>
      </c>
      <c r="C749" s="2">
        <v>0.1</v>
      </c>
      <c r="D749" s="2">
        <v>21.1</v>
      </c>
      <c r="E749" s="2">
        <v>71.3</v>
      </c>
      <c r="F749" s="2" t="s">
        <v>1486</v>
      </c>
      <c r="G749" s="2" t="s">
        <v>1487</v>
      </c>
    </row>
    <row r="750" spans="1:7" ht="150" x14ac:dyDescent="0.25">
      <c r="A750" s="2">
        <v>749</v>
      </c>
      <c r="B750" s="2">
        <v>46.7</v>
      </c>
      <c r="C750" s="2">
        <v>17.3</v>
      </c>
      <c r="D750" s="2">
        <v>17.3</v>
      </c>
      <c r="E750" s="2">
        <v>81.3</v>
      </c>
      <c r="F750" s="2" t="s">
        <v>1488</v>
      </c>
      <c r="G750" s="2" t="s">
        <v>1489</v>
      </c>
    </row>
    <row r="751" spans="1:7" ht="409.5" x14ac:dyDescent="0.25">
      <c r="A751" s="2">
        <v>750</v>
      </c>
      <c r="B751" s="2">
        <v>340</v>
      </c>
      <c r="C751" s="2">
        <v>30</v>
      </c>
      <c r="D751" s="2">
        <v>30</v>
      </c>
      <c r="E751" s="2">
        <v>52</v>
      </c>
      <c r="F751" s="2" t="s">
        <v>1490</v>
      </c>
      <c r="G751" s="2" t="s">
        <v>1491</v>
      </c>
    </row>
    <row r="752" spans="1:7" ht="375" x14ac:dyDescent="0.25">
      <c r="A752" s="2">
        <v>751</v>
      </c>
      <c r="B752" s="2">
        <v>359</v>
      </c>
      <c r="C752" s="2">
        <v>17.2</v>
      </c>
      <c r="D752" s="2">
        <v>68.2</v>
      </c>
      <c r="E752" s="2">
        <v>332</v>
      </c>
      <c r="F752" s="2" t="s">
        <v>1492</v>
      </c>
      <c r="G752" s="2" t="s">
        <v>1493</v>
      </c>
    </row>
    <row r="753" spans="1:7" ht="240" x14ac:dyDescent="0.25">
      <c r="A753" s="2">
        <v>752</v>
      </c>
      <c r="B753" s="2">
        <v>477</v>
      </c>
      <c r="C753" s="2">
        <v>4.7</v>
      </c>
      <c r="D753" s="2">
        <v>20.5</v>
      </c>
      <c r="E753" s="2">
        <v>68.5</v>
      </c>
      <c r="F753" s="2" t="s">
        <v>1494</v>
      </c>
      <c r="G753" s="2" t="s">
        <v>1495</v>
      </c>
    </row>
    <row r="754" spans="1:7" ht="195" x14ac:dyDescent="0.25">
      <c r="A754" s="2">
        <v>753</v>
      </c>
      <c r="B754" s="2">
        <v>588</v>
      </c>
      <c r="C754" s="2">
        <v>53.7</v>
      </c>
      <c r="D754" s="2">
        <v>40.9</v>
      </c>
      <c r="E754" s="2">
        <v>1.2</v>
      </c>
      <c r="F754" s="2" t="s">
        <v>1496</v>
      </c>
      <c r="G754" s="2" t="s">
        <v>1497</v>
      </c>
    </row>
    <row r="755" spans="1:7" ht="285" x14ac:dyDescent="0.25">
      <c r="A755" s="2">
        <v>754</v>
      </c>
      <c r="B755" s="2">
        <v>78</v>
      </c>
      <c r="C755" s="2">
        <v>0.8</v>
      </c>
      <c r="D755" s="2">
        <v>0.4</v>
      </c>
      <c r="E755" s="2">
        <v>20</v>
      </c>
      <c r="F755" s="2" t="s">
        <v>1498</v>
      </c>
      <c r="G755" s="2" t="s">
        <v>1499</v>
      </c>
    </row>
    <row r="756" spans="1:7" ht="240" x14ac:dyDescent="0.25">
      <c r="A756" s="2">
        <v>755</v>
      </c>
      <c r="B756" s="2">
        <v>181</v>
      </c>
      <c r="C756" s="2">
        <v>4</v>
      </c>
      <c r="D756" s="2">
        <v>1.2</v>
      </c>
      <c r="E756" s="2">
        <v>37.299999999999997</v>
      </c>
      <c r="F756" s="2" t="s">
        <v>1500</v>
      </c>
      <c r="G756" s="2" t="s">
        <v>1501</v>
      </c>
    </row>
    <row r="757" spans="1:7" ht="150" x14ac:dyDescent="0.25">
      <c r="A757" s="2">
        <v>756</v>
      </c>
      <c r="B757" s="2">
        <v>163</v>
      </c>
      <c r="C757" s="2">
        <v>3</v>
      </c>
      <c r="D757" s="2">
        <v>0.4</v>
      </c>
      <c r="E757" s="2">
        <v>35.700000000000003</v>
      </c>
      <c r="F757" s="2" t="s">
        <v>1502</v>
      </c>
      <c r="G757" s="2" t="s">
        <v>1503</v>
      </c>
    </row>
    <row r="758" spans="1:7" ht="409.5" x14ac:dyDescent="0.25">
      <c r="A758" s="2">
        <v>757</v>
      </c>
      <c r="B758" s="2">
        <v>340</v>
      </c>
      <c r="C758" s="2">
        <v>11</v>
      </c>
      <c r="D758" s="2">
        <v>11</v>
      </c>
      <c r="E758" s="2">
        <v>54</v>
      </c>
      <c r="F758" s="2" t="s">
        <v>1504</v>
      </c>
      <c r="G758" s="2" t="s">
        <v>1505</v>
      </c>
    </row>
    <row r="759" spans="1:7" ht="120" x14ac:dyDescent="0.25">
      <c r="A759" s="2">
        <v>758</v>
      </c>
      <c r="B759" s="2">
        <v>157</v>
      </c>
      <c r="C759" s="2">
        <v>0.8</v>
      </c>
      <c r="D759" s="2">
        <v>0.3</v>
      </c>
      <c r="E759" s="2">
        <v>37.9</v>
      </c>
      <c r="F759" s="2" t="s">
        <v>1506</v>
      </c>
      <c r="G759" s="2" t="s">
        <v>1507</v>
      </c>
    </row>
    <row r="760" spans="1:7" ht="120" x14ac:dyDescent="0.25">
      <c r="A760" s="2">
        <v>759</v>
      </c>
      <c r="B760" s="2">
        <v>154</v>
      </c>
      <c r="C760" s="2">
        <v>1</v>
      </c>
      <c r="D760" s="2">
        <v>0.3</v>
      </c>
      <c r="E760" s="2">
        <v>36.799999999999997</v>
      </c>
      <c r="F760" s="2" t="s">
        <v>1508</v>
      </c>
      <c r="G760" s="2" t="s">
        <v>1509</v>
      </c>
    </row>
    <row r="761" spans="1:7" ht="165" x14ac:dyDescent="0.25">
      <c r="A761" s="2">
        <v>760</v>
      </c>
      <c r="B761" s="2">
        <v>153</v>
      </c>
      <c r="C761" s="2">
        <v>1.2</v>
      </c>
      <c r="D761" s="2">
        <v>0.3</v>
      </c>
      <c r="E761" s="2">
        <v>36.4</v>
      </c>
      <c r="F761" s="2" t="s">
        <v>1510</v>
      </c>
      <c r="G761" s="2" t="s">
        <v>1511</v>
      </c>
    </row>
    <row r="762" spans="1:7" ht="90" x14ac:dyDescent="0.25">
      <c r="A762" s="2">
        <v>761</v>
      </c>
      <c r="B762" s="2">
        <v>12</v>
      </c>
      <c r="C762" s="2">
        <v>0.7</v>
      </c>
      <c r="D762" s="2">
        <v>0.1</v>
      </c>
      <c r="E762" s="2">
        <v>2.7</v>
      </c>
      <c r="F762" s="2" t="s">
        <v>1512</v>
      </c>
      <c r="G762" s="2" t="s">
        <v>1513</v>
      </c>
    </row>
    <row r="763" spans="1:7" ht="240" x14ac:dyDescent="0.25">
      <c r="A763" s="2">
        <v>762</v>
      </c>
      <c r="B763" s="2">
        <v>9</v>
      </c>
      <c r="C763" s="2">
        <v>0.5</v>
      </c>
      <c r="D763" s="2">
        <v>0.1</v>
      </c>
      <c r="E763" s="2">
        <v>1.9</v>
      </c>
      <c r="F763" s="2" t="s">
        <v>1514</v>
      </c>
      <c r="G763" s="2" t="s">
        <v>1515</v>
      </c>
    </row>
    <row r="764" spans="1:7" ht="240" x14ac:dyDescent="0.25">
      <c r="A764" s="2">
        <v>763</v>
      </c>
      <c r="B764" s="2">
        <v>153</v>
      </c>
      <c r="C764" s="2">
        <v>7.9</v>
      </c>
      <c r="D764" s="2">
        <v>7.7</v>
      </c>
      <c r="E764" s="2">
        <v>13</v>
      </c>
      <c r="F764" s="2" t="s">
        <v>1516</v>
      </c>
      <c r="G764" s="2" t="s">
        <v>1517</v>
      </c>
    </row>
    <row r="765" spans="1:7" ht="345" x14ac:dyDescent="0.25">
      <c r="A765" s="2">
        <v>764</v>
      </c>
      <c r="B765" s="2">
        <v>404</v>
      </c>
      <c r="C765" s="2">
        <v>14.1</v>
      </c>
      <c r="D765" s="2">
        <v>16.100000000000001</v>
      </c>
      <c r="E765" s="2">
        <v>54.2</v>
      </c>
      <c r="F765" s="2" t="s">
        <v>1518</v>
      </c>
      <c r="G765" s="2" t="s">
        <v>1519</v>
      </c>
    </row>
    <row r="766" spans="1:7" ht="210" x14ac:dyDescent="0.25">
      <c r="A766" s="2">
        <v>765</v>
      </c>
      <c r="B766" s="2">
        <v>212</v>
      </c>
      <c r="C766" s="2">
        <v>4</v>
      </c>
      <c r="D766" s="2">
        <v>4.5999999999999996</v>
      </c>
      <c r="E766" s="2">
        <v>38.6</v>
      </c>
      <c r="F766" s="2" t="s">
        <v>1520</v>
      </c>
      <c r="G766" s="2" t="s">
        <v>1521</v>
      </c>
    </row>
    <row r="767" spans="1:7" ht="240" x14ac:dyDescent="0.25">
      <c r="A767" s="2">
        <v>766</v>
      </c>
      <c r="B767" s="2">
        <v>109.6</v>
      </c>
      <c r="C767" s="2">
        <v>2.6</v>
      </c>
      <c r="D767" s="2">
        <v>2.6</v>
      </c>
      <c r="E767" s="2">
        <v>18.600000000000001</v>
      </c>
      <c r="F767" s="2" t="s">
        <v>1522</v>
      </c>
      <c r="G767" s="2" t="s">
        <v>1523</v>
      </c>
    </row>
    <row r="768" spans="1:7" ht="90" x14ac:dyDescent="0.25">
      <c r="A768" s="2">
        <v>767</v>
      </c>
      <c r="B768" s="2">
        <v>310</v>
      </c>
      <c r="C768" s="2">
        <v>10</v>
      </c>
      <c r="D768" s="2">
        <v>24</v>
      </c>
      <c r="E768" s="2">
        <v>13.5</v>
      </c>
      <c r="F768" s="2" t="s">
        <v>1524</v>
      </c>
      <c r="G768" s="2" t="s">
        <v>1525</v>
      </c>
    </row>
    <row r="769" spans="1:7" ht="409.5" x14ac:dyDescent="0.25">
      <c r="A769" s="2">
        <v>768</v>
      </c>
      <c r="B769" s="2">
        <v>73</v>
      </c>
      <c r="C769" s="2">
        <v>16.399999999999999</v>
      </c>
      <c r="D769" s="2">
        <v>0.3</v>
      </c>
      <c r="E769" s="2">
        <v>0</v>
      </c>
      <c r="F769" s="2" t="s">
        <v>1526</v>
      </c>
      <c r="G769" s="2" t="s">
        <v>1527</v>
      </c>
    </row>
    <row r="770" spans="1:7" ht="255" x14ac:dyDescent="0.25">
      <c r="A770" s="2">
        <v>769</v>
      </c>
      <c r="B770" s="2">
        <v>86</v>
      </c>
      <c r="C770" s="2">
        <v>1.6</v>
      </c>
      <c r="D770" s="2">
        <v>0.2</v>
      </c>
      <c r="E770" s="2">
        <v>13</v>
      </c>
      <c r="F770" s="2" t="s">
        <v>1528</v>
      </c>
      <c r="G770" s="2" t="s">
        <v>1529</v>
      </c>
    </row>
    <row r="771" spans="1:7" ht="375" x14ac:dyDescent="0.25">
      <c r="A771" s="2">
        <v>770</v>
      </c>
      <c r="B771" s="2">
        <v>99</v>
      </c>
      <c r="C771" s="2">
        <v>3.3</v>
      </c>
      <c r="D771" s="2">
        <v>0.1</v>
      </c>
      <c r="E771" s="2">
        <v>21.2</v>
      </c>
      <c r="F771" s="2" t="s">
        <v>1530</v>
      </c>
      <c r="G771" s="2" t="s">
        <v>1531</v>
      </c>
    </row>
    <row r="772" spans="1:7" ht="225" x14ac:dyDescent="0.25">
      <c r="A772" s="2">
        <v>771</v>
      </c>
      <c r="B772" s="2">
        <v>25</v>
      </c>
      <c r="C772" s="2">
        <v>2.4</v>
      </c>
      <c r="D772" s="2">
        <v>0.2</v>
      </c>
      <c r="E772" s="2">
        <v>4.9000000000000004</v>
      </c>
      <c r="F772" s="2" t="s">
        <v>1532</v>
      </c>
      <c r="G772" s="2" t="s">
        <v>1533</v>
      </c>
    </row>
    <row r="773" spans="1:7" ht="285" x14ac:dyDescent="0.25">
      <c r="A773" s="2">
        <v>772</v>
      </c>
      <c r="B773" s="2">
        <v>24</v>
      </c>
      <c r="C773" s="2">
        <v>1.4</v>
      </c>
      <c r="D773" s="2">
        <v>0.2</v>
      </c>
      <c r="E773" s="2">
        <v>5.3</v>
      </c>
      <c r="F773" s="2" t="s">
        <v>1534</v>
      </c>
      <c r="G773" s="2" t="s">
        <v>1535</v>
      </c>
    </row>
    <row r="774" spans="1:7" ht="409.5" x14ac:dyDescent="0.25">
      <c r="A774" s="2">
        <v>773</v>
      </c>
      <c r="B774" s="2">
        <v>352</v>
      </c>
      <c r="C774" s="2">
        <v>17.399999999999999</v>
      </c>
      <c r="D774" s="2">
        <v>1.3</v>
      </c>
      <c r="E774" s="2">
        <v>69</v>
      </c>
      <c r="F774" s="2" t="s">
        <v>1536</v>
      </c>
      <c r="G774" s="2" t="s">
        <v>1537</v>
      </c>
    </row>
    <row r="775" spans="1:7" ht="150" x14ac:dyDescent="0.25">
      <c r="A775" s="2">
        <v>774</v>
      </c>
      <c r="B775" s="2">
        <v>129</v>
      </c>
      <c r="C775" s="2">
        <v>12.3</v>
      </c>
      <c r="D775" s="2">
        <v>0.5</v>
      </c>
      <c r="E775" s="2">
        <v>35</v>
      </c>
      <c r="F775" s="2" t="s">
        <v>1538</v>
      </c>
      <c r="G775" s="2" t="s">
        <v>1539</v>
      </c>
    </row>
    <row r="776" spans="1:7" ht="90" x14ac:dyDescent="0.25">
      <c r="A776" s="2">
        <v>775</v>
      </c>
      <c r="B776" s="2">
        <v>356</v>
      </c>
      <c r="C776" s="2">
        <v>20.5</v>
      </c>
      <c r="D776" s="2">
        <v>4.0999999999999996</v>
      </c>
      <c r="E776" s="2">
        <v>61.6</v>
      </c>
      <c r="F776" s="2" t="s">
        <v>1540</v>
      </c>
      <c r="G776" s="2" t="s">
        <v>1541</v>
      </c>
    </row>
    <row r="777" spans="1:7" ht="135" x14ac:dyDescent="0.25">
      <c r="A777" s="2">
        <v>776</v>
      </c>
      <c r="B777" s="2">
        <v>332</v>
      </c>
      <c r="C777" s="2">
        <v>24</v>
      </c>
      <c r="D777" s="2">
        <v>3</v>
      </c>
      <c r="E777" s="2">
        <v>55</v>
      </c>
      <c r="F777" s="2" t="s">
        <v>1542</v>
      </c>
      <c r="G777" s="2" t="s">
        <v>1543</v>
      </c>
    </row>
    <row r="778" spans="1:7" ht="255" x14ac:dyDescent="0.25">
      <c r="A778" s="2">
        <v>777</v>
      </c>
      <c r="B778" s="2">
        <v>141</v>
      </c>
      <c r="C778" s="2">
        <v>10.199999999999999</v>
      </c>
      <c r="D778" s="2">
        <v>1.3</v>
      </c>
      <c r="E778" s="2">
        <v>23.2</v>
      </c>
      <c r="F778" s="2" t="s">
        <v>1544</v>
      </c>
      <c r="G778" s="2" t="s">
        <v>1545</v>
      </c>
    </row>
    <row r="779" spans="1:7" ht="120" x14ac:dyDescent="0.25">
      <c r="A779" s="2">
        <v>778</v>
      </c>
      <c r="B779" s="2">
        <v>125</v>
      </c>
      <c r="C779" s="2">
        <v>8.3000000000000007</v>
      </c>
      <c r="D779" s="2">
        <v>0.7</v>
      </c>
      <c r="E779" s="2">
        <v>22.1</v>
      </c>
      <c r="F779" s="2" t="s">
        <v>1546</v>
      </c>
      <c r="G779" s="2" t="s">
        <v>1547</v>
      </c>
    </row>
    <row r="780" spans="1:7" ht="150" x14ac:dyDescent="0.25">
      <c r="A780" s="2">
        <v>779</v>
      </c>
      <c r="B780" s="2">
        <v>33</v>
      </c>
      <c r="C780" s="2">
        <v>2.7</v>
      </c>
      <c r="D780" s="2">
        <v>0.2</v>
      </c>
      <c r="E780" s="2">
        <v>7.9</v>
      </c>
      <c r="F780" s="2" t="s">
        <v>1548</v>
      </c>
      <c r="G780" s="2" t="s">
        <v>1549</v>
      </c>
    </row>
    <row r="781" spans="1:7" ht="150" x14ac:dyDescent="0.25">
      <c r="A781" s="2">
        <v>780</v>
      </c>
      <c r="B781" s="2">
        <v>344</v>
      </c>
      <c r="C781" s="2">
        <v>12.5</v>
      </c>
      <c r="D781" s="2">
        <v>2.1</v>
      </c>
      <c r="E781" s="2">
        <v>69.400000000000006</v>
      </c>
      <c r="F781" s="2" t="s">
        <v>1550</v>
      </c>
      <c r="G781" s="2" t="s">
        <v>1551</v>
      </c>
    </row>
    <row r="782" spans="1:7" ht="120" x14ac:dyDescent="0.25">
      <c r="A782" s="2">
        <v>781</v>
      </c>
      <c r="B782" s="2">
        <v>338</v>
      </c>
      <c r="C782" s="2">
        <v>22.2</v>
      </c>
      <c r="D782" s="2">
        <v>1.5</v>
      </c>
      <c r="E782" s="2">
        <v>61</v>
      </c>
      <c r="F782" s="2" t="s">
        <v>1552</v>
      </c>
      <c r="G782" s="2" t="s">
        <v>1202</v>
      </c>
    </row>
    <row r="783" spans="1:7" ht="120" x14ac:dyDescent="0.25">
      <c r="A783" s="2">
        <v>782</v>
      </c>
      <c r="B783" s="2">
        <v>38</v>
      </c>
      <c r="C783" s="2">
        <v>3</v>
      </c>
      <c r="D783" s="2">
        <v>0.3</v>
      </c>
      <c r="E783" s="2">
        <v>7.9</v>
      </c>
      <c r="F783" s="2" t="s">
        <v>1553</v>
      </c>
      <c r="G783" s="2" t="s">
        <v>1554</v>
      </c>
    </row>
    <row r="784" spans="1:7" ht="135" x14ac:dyDescent="0.25">
      <c r="A784" s="2">
        <v>783</v>
      </c>
      <c r="B784" s="2">
        <v>46</v>
      </c>
      <c r="C784" s="2">
        <v>3</v>
      </c>
      <c r="D784" s="2">
        <v>0.3</v>
      </c>
      <c r="E784" s="2">
        <v>7.9</v>
      </c>
      <c r="F784" s="2" t="s">
        <v>1555</v>
      </c>
      <c r="G784" s="2" t="s">
        <v>1556</v>
      </c>
    </row>
    <row r="785" spans="1:7" ht="165" x14ac:dyDescent="0.25">
      <c r="A785" s="2">
        <v>784</v>
      </c>
      <c r="B785" s="2">
        <v>46</v>
      </c>
      <c r="C785" s="2">
        <v>2.2000000000000002</v>
      </c>
      <c r="D785" s="2">
        <v>1.5</v>
      </c>
      <c r="E785" s="2">
        <v>6</v>
      </c>
      <c r="F785" s="2" t="s">
        <v>1557</v>
      </c>
      <c r="G785" s="2" t="s">
        <v>351</v>
      </c>
    </row>
    <row r="786" spans="1:7" ht="120" x14ac:dyDescent="0.25">
      <c r="A786" s="2">
        <v>785</v>
      </c>
      <c r="B786" s="2">
        <v>366</v>
      </c>
      <c r="C786" s="2">
        <v>4.2</v>
      </c>
      <c r="D786" s="2">
        <v>4.3</v>
      </c>
      <c r="E786" s="2">
        <v>77.5</v>
      </c>
      <c r="F786" s="2" t="s">
        <v>1558</v>
      </c>
      <c r="G786" s="2" t="s">
        <v>1559</v>
      </c>
    </row>
    <row r="787" spans="1:7" ht="120" x14ac:dyDescent="0.25">
      <c r="A787" s="2">
        <v>786</v>
      </c>
      <c r="B787" s="2">
        <v>370</v>
      </c>
      <c r="C787" s="2">
        <v>8</v>
      </c>
      <c r="D787" s="2">
        <v>1</v>
      </c>
      <c r="E787" s="2">
        <v>82.2</v>
      </c>
      <c r="F787" s="2" t="s">
        <v>1560</v>
      </c>
      <c r="G787" s="2" t="s">
        <v>1561</v>
      </c>
    </row>
    <row r="788" spans="1:7" ht="180" x14ac:dyDescent="0.25">
      <c r="A788" s="2">
        <v>787</v>
      </c>
      <c r="B788" s="2">
        <v>315</v>
      </c>
      <c r="C788" s="2">
        <v>2.1</v>
      </c>
      <c r="D788" s="2">
        <v>1.4</v>
      </c>
      <c r="E788" s="2">
        <v>73.5</v>
      </c>
      <c r="F788" s="2" t="s">
        <v>1562</v>
      </c>
      <c r="G788" s="2" t="s">
        <v>1563</v>
      </c>
    </row>
    <row r="789" spans="1:7" ht="240" x14ac:dyDescent="0.25">
      <c r="A789" s="2">
        <v>788</v>
      </c>
      <c r="B789" s="2">
        <v>542</v>
      </c>
      <c r="C789" s="2">
        <v>40.299999999999997</v>
      </c>
      <c r="D789" s="2">
        <v>42.4</v>
      </c>
      <c r="E789" s="2">
        <v>11.5</v>
      </c>
      <c r="F789" s="2" t="s">
        <v>1564</v>
      </c>
      <c r="G789" s="2" t="s">
        <v>1565</v>
      </c>
    </row>
    <row r="790" spans="1:7" ht="210" x14ac:dyDescent="0.25">
      <c r="A790" s="2">
        <v>789</v>
      </c>
      <c r="B790" s="2">
        <v>21</v>
      </c>
      <c r="C790" s="2">
        <v>1.7</v>
      </c>
      <c r="D790" s="2">
        <v>0.4</v>
      </c>
      <c r="E790" s="2">
        <v>3.8</v>
      </c>
      <c r="F790" s="2" t="s">
        <v>1566</v>
      </c>
      <c r="G790" s="2" t="s">
        <v>1567</v>
      </c>
    </row>
    <row r="791" spans="1:7" ht="409.5" x14ac:dyDescent="0.25">
      <c r="A791" s="2">
        <v>790</v>
      </c>
      <c r="B791" s="2">
        <v>45</v>
      </c>
      <c r="C791" s="2">
        <v>2.2000000000000002</v>
      </c>
      <c r="D791" s="2">
        <v>0.3</v>
      </c>
      <c r="E791" s="2">
        <v>10.3</v>
      </c>
      <c r="F791" s="2" t="s">
        <v>1568</v>
      </c>
      <c r="G791" s="2" t="s">
        <v>1569</v>
      </c>
    </row>
    <row r="792" spans="1:7" ht="270" x14ac:dyDescent="0.25">
      <c r="A792" s="2">
        <v>791</v>
      </c>
      <c r="B792" s="2">
        <v>42</v>
      </c>
      <c r="C792" s="2">
        <v>3.8</v>
      </c>
      <c r="D792" s="2">
        <v>0.6</v>
      </c>
      <c r="E792" s="2">
        <v>7.8</v>
      </c>
      <c r="F792" s="2" t="s">
        <v>1570</v>
      </c>
      <c r="G792" s="2" t="s">
        <v>1571</v>
      </c>
    </row>
    <row r="793" spans="1:7" ht="195" x14ac:dyDescent="0.25">
      <c r="A793" s="2">
        <v>792</v>
      </c>
      <c r="B793" s="2">
        <v>113</v>
      </c>
      <c r="C793" s="2">
        <v>18.100000000000001</v>
      </c>
      <c r="D793" s="2">
        <v>4.0999999999999996</v>
      </c>
      <c r="E793" s="2">
        <v>0.9</v>
      </c>
      <c r="F793" s="2" t="s">
        <v>1572</v>
      </c>
      <c r="G793" s="2" t="s">
        <v>466</v>
      </c>
    </row>
    <row r="794" spans="1:7" ht="195" x14ac:dyDescent="0.25">
      <c r="A794" s="2">
        <v>793</v>
      </c>
      <c r="B794" s="2">
        <v>440</v>
      </c>
      <c r="C794" s="2">
        <v>3.8</v>
      </c>
      <c r="D794" s="2">
        <v>18.5</v>
      </c>
      <c r="E794" s="2">
        <v>64.5</v>
      </c>
      <c r="F794" s="2" t="s">
        <v>1573</v>
      </c>
      <c r="G794" s="2" t="s">
        <v>1574</v>
      </c>
    </row>
    <row r="795" spans="1:7" ht="409.5" x14ac:dyDescent="0.25">
      <c r="A795" s="2">
        <v>794</v>
      </c>
      <c r="B795" s="2">
        <v>186.7</v>
      </c>
      <c r="C795" s="2">
        <v>1.6</v>
      </c>
      <c r="D795" s="2">
        <v>1.6</v>
      </c>
      <c r="E795" s="2">
        <v>39.6</v>
      </c>
      <c r="F795" s="2" t="s">
        <v>1575</v>
      </c>
      <c r="G795" s="2" t="s">
        <v>1576</v>
      </c>
    </row>
    <row r="796" spans="1:7" ht="225" x14ac:dyDescent="0.25">
      <c r="A796" s="2">
        <v>795</v>
      </c>
      <c r="B796" s="2">
        <v>338</v>
      </c>
      <c r="C796" s="2">
        <v>1.5</v>
      </c>
      <c r="D796" s="2">
        <v>1.2</v>
      </c>
      <c r="E796" s="2">
        <v>80.3</v>
      </c>
      <c r="F796" s="2" t="s">
        <v>1577</v>
      </c>
      <c r="G796" s="2" t="s">
        <v>1578</v>
      </c>
    </row>
    <row r="797" spans="1:7" ht="240" x14ac:dyDescent="0.25">
      <c r="A797" s="2">
        <v>796</v>
      </c>
      <c r="B797" s="2">
        <v>240</v>
      </c>
      <c r="C797" s="2">
        <v>1</v>
      </c>
      <c r="D797" s="2">
        <v>4</v>
      </c>
      <c r="E797" s="2">
        <v>54</v>
      </c>
      <c r="F797" s="2" t="s">
        <v>1579</v>
      </c>
      <c r="G797" s="2" t="s">
        <v>1580</v>
      </c>
    </row>
    <row r="798" spans="1:7" ht="165" x14ac:dyDescent="0.25">
      <c r="A798" s="2">
        <v>797</v>
      </c>
      <c r="B798" s="2">
        <v>425</v>
      </c>
      <c r="C798" s="2">
        <v>1.6</v>
      </c>
      <c r="D798" s="2">
        <v>8.8000000000000007</v>
      </c>
      <c r="E798" s="2">
        <v>84.6</v>
      </c>
      <c r="F798" s="2" t="s">
        <v>1581</v>
      </c>
      <c r="G798" s="2" t="s">
        <v>1582</v>
      </c>
    </row>
    <row r="799" spans="1:7" ht="180" x14ac:dyDescent="0.25">
      <c r="A799" s="2">
        <v>798</v>
      </c>
      <c r="B799" s="2">
        <v>591</v>
      </c>
      <c r="C799" s="2">
        <v>5.6</v>
      </c>
      <c r="D799" s="2">
        <v>42.1</v>
      </c>
      <c r="E799" s="2">
        <v>47.5</v>
      </c>
      <c r="F799" s="2" t="s">
        <v>1583</v>
      </c>
      <c r="G799" s="2" t="s">
        <v>1584</v>
      </c>
    </row>
    <row r="800" spans="1:7" ht="240" x14ac:dyDescent="0.25">
      <c r="A800" s="2">
        <v>799</v>
      </c>
      <c r="B800" s="2">
        <v>366</v>
      </c>
      <c r="C800" s="2">
        <v>4.2</v>
      </c>
      <c r="D800" s="2">
        <v>4.3</v>
      </c>
      <c r="E800" s="2">
        <v>7.9</v>
      </c>
      <c r="F800" s="2" t="s">
        <v>1585</v>
      </c>
      <c r="G800" s="2" t="s">
        <v>1586</v>
      </c>
    </row>
    <row r="801" spans="1:7" ht="330" x14ac:dyDescent="0.25">
      <c r="A801" s="2">
        <v>800</v>
      </c>
      <c r="B801" s="2">
        <v>291</v>
      </c>
      <c r="C801" s="2">
        <v>3.6</v>
      </c>
      <c r="D801" s="2">
        <v>11.1</v>
      </c>
      <c r="E801" s="2">
        <v>44.1</v>
      </c>
      <c r="F801" s="2" t="s">
        <v>1587</v>
      </c>
      <c r="G801" s="2" t="s">
        <v>1588</v>
      </c>
    </row>
    <row r="802" spans="1:7" ht="240" x14ac:dyDescent="0.25">
      <c r="A802" s="2">
        <v>801</v>
      </c>
      <c r="B802" s="2">
        <v>182</v>
      </c>
      <c r="C802" s="2">
        <v>1</v>
      </c>
      <c r="D802" s="2">
        <v>1</v>
      </c>
      <c r="E802" s="2">
        <v>40.4</v>
      </c>
      <c r="F802" s="2" t="s">
        <v>1589</v>
      </c>
      <c r="G802" s="2" t="s">
        <v>1590</v>
      </c>
    </row>
    <row r="803" spans="1:7" ht="225" x14ac:dyDescent="0.25">
      <c r="A803" s="2">
        <v>802</v>
      </c>
      <c r="B803" s="2">
        <v>126.7</v>
      </c>
      <c r="C803" s="2">
        <v>0.7</v>
      </c>
      <c r="D803" s="2">
        <v>0.7</v>
      </c>
      <c r="E803" s="2">
        <v>57.3</v>
      </c>
      <c r="F803" s="2" t="s">
        <v>1591</v>
      </c>
      <c r="G803" s="2" t="s">
        <v>1592</v>
      </c>
    </row>
    <row r="804" spans="1:7" ht="180" x14ac:dyDescent="0.25">
      <c r="A804" s="2">
        <v>803</v>
      </c>
      <c r="B804" s="2">
        <v>296</v>
      </c>
      <c r="C804" s="2">
        <v>1.4</v>
      </c>
      <c r="D804" s="2">
        <v>1.4</v>
      </c>
      <c r="E804" s="2">
        <v>66.400000000000006</v>
      </c>
      <c r="F804" s="2" t="s">
        <v>1593</v>
      </c>
      <c r="G804" s="2" t="s">
        <v>1594</v>
      </c>
    </row>
    <row r="805" spans="1:7" ht="105" x14ac:dyDescent="0.25">
      <c r="A805" s="2">
        <v>804</v>
      </c>
      <c r="B805" s="2">
        <v>304</v>
      </c>
      <c r="C805" s="2">
        <v>5.3</v>
      </c>
      <c r="D805" s="2">
        <v>7</v>
      </c>
      <c r="E805" s="2">
        <v>54.9</v>
      </c>
      <c r="F805" s="2" t="s">
        <v>1595</v>
      </c>
      <c r="G805" s="2" t="s">
        <v>1596</v>
      </c>
    </row>
    <row r="806" spans="1:7" ht="225" x14ac:dyDescent="0.25">
      <c r="A806" s="2">
        <v>805</v>
      </c>
      <c r="B806" s="2">
        <v>217</v>
      </c>
      <c r="C806" s="2">
        <v>1.2</v>
      </c>
      <c r="D806" s="2">
        <v>0.5</v>
      </c>
      <c r="E806" s="2">
        <v>53.2</v>
      </c>
      <c r="F806" s="2" t="s">
        <v>1597</v>
      </c>
      <c r="G806" s="2" t="s">
        <v>1598</v>
      </c>
    </row>
    <row r="807" spans="1:7" ht="180" x14ac:dyDescent="0.25">
      <c r="A807" s="2">
        <v>806</v>
      </c>
      <c r="B807" s="2">
        <v>393.3</v>
      </c>
      <c r="C807" s="2">
        <v>2.7</v>
      </c>
      <c r="D807" s="2">
        <v>2.7</v>
      </c>
      <c r="E807" s="2">
        <v>79.3</v>
      </c>
      <c r="F807" s="2" t="s">
        <v>1599</v>
      </c>
      <c r="G807" s="2" t="s">
        <v>1600</v>
      </c>
    </row>
    <row r="808" spans="1:7" ht="225" x14ac:dyDescent="0.25">
      <c r="A808" s="2">
        <v>807</v>
      </c>
      <c r="B808" s="2">
        <v>380</v>
      </c>
      <c r="C808" s="2">
        <v>1</v>
      </c>
      <c r="D808" s="2">
        <v>1</v>
      </c>
      <c r="E808" s="2">
        <v>92</v>
      </c>
      <c r="F808" s="2" t="s">
        <v>1601</v>
      </c>
      <c r="G808" s="2" t="s">
        <v>1602</v>
      </c>
    </row>
    <row r="809" spans="1:7" ht="105" x14ac:dyDescent="0.25">
      <c r="A809" s="2">
        <v>808</v>
      </c>
      <c r="B809" s="2">
        <v>221</v>
      </c>
      <c r="C809" s="2">
        <v>7.5</v>
      </c>
      <c r="D809" s="2">
        <v>10.199999999999999</v>
      </c>
      <c r="E809" s="2">
        <v>24.8</v>
      </c>
      <c r="F809" s="2" t="s">
        <v>1603</v>
      </c>
      <c r="G809" s="2" t="s">
        <v>1604</v>
      </c>
    </row>
    <row r="810" spans="1:7" ht="360" x14ac:dyDescent="0.25">
      <c r="A810" s="2">
        <v>809</v>
      </c>
      <c r="B810" s="2">
        <v>180</v>
      </c>
      <c r="C810" s="2">
        <v>5</v>
      </c>
      <c r="D810" s="2">
        <v>5</v>
      </c>
      <c r="E810" s="2">
        <v>32</v>
      </c>
      <c r="F810" s="2" t="s">
        <v>1605</v>
      </c>
      <c r="G810" s="2" t="s">
        <v>1606</v>
      </c>
    </row>
    <row r="811" spans="1:7" ht="240" x14ac:dyDescent="0.25">
      <c r="A811" s="2">
        <v>810</v>
      </c>
      <c r="B811" s="2">
        <v>512</v>
      </c>
      <c r="C811" s="2">
        <v>26</v>
      </c>
      <c r="D811" s="2">
        <v>26</v>
      </c>
      <c r="E811" s="2">
        <v>60.4</v>
      </c>
      <c r="F811" s="2" t="s">
        <v>1607</v>
      </c>
      <c r="G811" s="2" t="s">
        <v>1608</v>
      </c>
    </row>
    <row r="812" spans="1:7" ht="240" x14ac:dyDescent="0.25">
      <c r="A812" s="2">
        <v>811</v>
      </c>
      <c r="B812" s="2">
        <v>247</v>
      </c>
      <c r="C812" s="2">
        <v>2.9</v>
      </c>
      <c r="D812" s="2">
        <v>4.2</v>
      </c>
      <c r="E812" s="2">
        <v>49.5</v>
      </c>
      <c r="F812" s="2" t="s">
        <v>1609</v>
      </c>
      <c r="G812" s="2" t="s">
        <v>1610</v>
      </c>
    </row>
    <row r="813" spans="1:7" ht="150" x14ac:dyDescent="0.25">
      <c r="A813" s="2">
        <v>812</v>
      </c>
      <c r="B813" s="2">
        <v>111</v>
      </c>
      <c r="C813" s="2">
        <v>4.5</v>
      </c>
      <c r="D813" s="2">
        <v>1.1000000000000001</v>
      </c>
      <c r="E813" s="2">
        <v>20.7</v>
      </c>
      <c r="F813" s="2" t="s">
        <v>1611</v>
      </c>
      <c r="G813" s="2" t="s">
        <v>1612</v>
      </c>
    </row>
    <row r="814" spans="1:7" ht="210" x14ac:dyDescent="0.25">
      <c r="A814" s="2">
        <v>813</v>
      </c>
      <c r="B814" s="2">
        <v>22</v>
      </c>
      <c r="C814" s="2">
        <v>0.4</v>
      </c>
      <c r="D814" s="2">
        <v>0.2</v>
      </c>
      <c r="E814" s="2">
        <v>4.7</v>
      </c>
      <c r="F814" s="2" t="s">
        <v>1613</v>
      </c>
      <c r="G814" s="2" t="s">
        <v>1614</v>
      </c>
    </row>
    <row r="815" spans="1:7" ht="240" x14ac:dyDescent="0.25">
      <c r="A815" s="2">
        <v>814</v>
      </c>
      <c r="B815" s="2">
        <v>63</v>
      </c>
      <c r="C815" s="2">
        <v>2</v>
      </c>
      <c r="D815" s="2">
        <v>2.7</v>
      </c>
      <c r="E815" s="2">
        <v>9.1</v>
      </c>
      <c r="F815" s="2" t="s">
        <v>1615</v>
      </c>
      <c r="G815" s="2" t="s">
        <v>1616</v>
      </c>
    </row>
    <row r="816" spans="1:7" ht="375" x14ac:dyDescent="0.25">
      <c r="A816" s="2">
        <v>815</v>
      </c>
      <c r="B816" s="2">
        <v>83</v>
      </c>
      <c r="C816" s="2">
        <v>19.100000000000001</v>
      </c>
      <c r="D816" s="2">
        <v>0.2</v>
      </c>
      <c r="E816" s="2">
        <v>0</v>
      </c>
      <c r="F816" s="2" t="s">
        <v>1617</v>
      </c>
      <c r="G816" s="2" t="s">
        <v>1618</v>
      </c>
    </row>
    <row r="817" spans="1:7" ht="180" x14ac:dyDescent="0.25">
      <c r="A817" s="2">
        <v>816</v>
      </c>
      <c r="B817" s="2">
        <v>515</v>
      </c>
      <c r="C817" s="2">
        <v>30.6</v>
      </c>
      <c r="D817" s="2">
        <v>42.1</v>
      </c>
      <c r="E817" s="2">
        <v>13.8</v>
      </c>
      <c r="F817" s="2" t="s">
        <v>1619</v>
      </c>
      <c r="G817" s="2" t="s">
        <v>1620</v>
      </c>
    </row>
    <row r="818" spans="1:7" ht="210" x14ac:dyDescent="0.25">
      <c r="A818" s="2">
        <v>817</v>
      </c>
      <c r="B818" s="2">
        <v>242</v>
      </c>
      <c r="C818" s="2">
        <v>19</v>
      </c>
      <c r="D818" s="2">
        <v>17</v>
      </c>
      <c r="E818" s="2">
        <v>3</v>
      </c>
      <c r="F818" s="2" t="s">
        <v>1621</v>
      </c>
      <c r="G818" s="2" t="s">
        <v>1622</v>
      </c>
    </row>
    <row r="819" spans="1:7" ht="270" x14ac:dyDescent="0.25">
      <c r="A819" s="2">
        <v>818</v>
      </c>
      <c r="B819" s="2">
        <v>17</v>
      </c>
      <c r="C819" s="2">
        <v>0.6</v>
      </c>
      <c r="D819" s="2">
        <v>0.2</v>
      </c>
      <c r="E819" s="2">
        <v>3.8</v>
      </c>
      <c r="F819" s="2" t="s">
        <v>1623</v>
      </c>
      <c r="G819" s="2" t="s">
        <v>1624</v>
      </c>
    </row>
    <row r="820" spans="1:7" ht="240" x14ac:dyDescent="0.25">
      <c r="A820" s="2">
        <v>819</v>
      </c>
      <c r="B820" s="2">
        <v>51</v>
      </c>
      <c r="C820" s="2">
        <v>1.7</v>
      </c>
      <c r="D820" s="2">
        <v>0.5</v>
      </c>
      <c r="E820" s="2">
        <v>10</v>
      </c>
      <c r="F820" s="2" t="s">
        <v>1625</v>
      </c>
      <c r="G820" s="2" t="s">
        <v>1626</v>
      </c>
    </row>
    <row r="821" spans="1:7" ht="165" x14ac:dyDescent="0.25">
      <c r="A821" s="2">
        <v>820</v>
      </c>
      <c r="B821" s="2">
        <v>26</v>
      </c>
      <c r="C821" s="2">
        <v>0.6</v>
      </c>
      <c r="D821" s="2">
        <v>0.1</v>
      </c>
      <c r="E821" s="2">
        <v>6.7</v>
      </c>
      <c r="F821" s="2" t="s">
        <v>1627</v>
      </c>
      <c r="G821" s="2" t="s">
        <v>1628</v>
      </c>
    </row>
    <row r="822" spans="1:7" ht="409.5" x14ac:dyDescent="0.25">
      <c r="A822" s="2">
        <v>821</v>
      </c>
      <c r="B822" s="2">
        <v>32</v>
      </c>
      <c r="C822" s="2">
        <v>1.1000000000000001</v>
      </c>
      <c r="D822" s="2">
        <v>0.1</v>
      </c>
      <c r="E822" s="2">
        <v>6.6</v>
      </c>
      <c r="F822" s="2" t="s">
        <v>1629</v>
      </c>
      <c r="G822" s="2" t="s">
        <v>1630</v>
      </c>
    </row>
    <row r="823" spans="1:7" ht="240" x14ac:dyDescent="0.25">
      <c r="A823" s="2">
        <v>822</v>
      </c>
      <c r="B823" s="2">
        <v>166.3</v>
      </c>
      <c r="C823" s="2">
        <v>2.7</v>
      </c>
      <c r="D823" s="2">
        <v>3.9</v>
      </c>
      <c r="E823" s="2">
        <v>29.5</v>
      </c>
      <c r="F823" s="2" t="s">
        <v>1631</v>
      </c>
      <c r="G823" s="2" t="s">
        <v>1632</v>
      </c>
    </row>
    <row r="824" spans="1:7" ht="285" x14ac:dyDescent="0.25">
      <c r="A824" s="2">
        <v>823</v>
      </c>
      <c r="B824" s="2">
        <v>85</v>
      </c>
      <c r="C824" s="2">
        <v>5.7</v>
      </c>
      <c r="D824" s="2">
        <v>0.3</v>
      </c>
      <c r="E824" s="2">
        <v>15.4</v>
      </c>
      <c r="F824" s="2" t="s">
        <v>1633</v>
      </c>
      <c r="G824" s="2" t="s">
        <v>1634</v>
      </c>
    </row>
    <row r="825" spans="1:7" ht="210" x14ac:dyDescent="0.25">
      <c r="A825" s="2">
        <v>824</v>
      </c>
      <c r="B825" s="2">
        <v>148</v>
      </c>
      <c r="C825" s="2">
        <v>10.6</v>
      </c>
      <c r="D825" s="2">
        <v>0.5</v>
      </c>
      <c r="E825" s="2">
        <v>26.2</v>
      </c>
      <c r="F825" s="2" t="s">
        <v>1635</v>
      </c>
      <c r="G825" s="2" t="s">
        <v>1636</v>
      </c>
    </row>
    <row r="826" spans="1:7" ht="255" x14ac:dyDescent="0.25">
      <c r="A826" s="2">
        <v>825</v>
      </c>
      <c r="B826" s="2">
        <v>142</v>
      </c>
      <c r="C826" s="2">
        <v>11</v>
      </c>
      <c r="D826" s="2">
        <v>2.5</v>
      </c>
      <c r="E826" s="2">
        <v>20.399999999999999</v>
      </c>
      <c r="F826" s="2" t="s">
        <v>1637</v>
      </c>
      <c r="G826" s="2" t="s">
        <v>1638</v>
      </c>
    </row>
    <row r="827" spans="1:7" ht="120" x14ac:dyDescent="0.25">
      <c r="A827" s="2">
        <v>826</v>
      </c>
      <c r="B827" s="2">
        <v>367</v>
      </c>
      <c r="C827" s="2">
        <v>46.4</v>
      </c>
      <c r="D827" s="2">
        <v>5.4</v>
      </c>
      <c r="E827" s="2">
        <v>32.5</v>
      </c>
      <c r="F827" s="2" t="s">
        <v>1639</v>
      </c>
      <c r="G827" s="2" t="s">
        <v>1640</v>
      </c>
    </row>
    <row r="828" spans="1:7" ht="120" x14ac:dyDescent="0.25">
      <c r="A828" s="2">
        <v>827</v>
      </c>
      <c r="B828" s="2">
        <v>336</v>
      </c>
      <c r="C828" s="2">
        <v>23.8</v>
      </c>
      <c r="D828" s="2">
        <v>1.2</v>
      </c>
      <c r="E828" s="2">
        <v>59.7</v>
      </c>
      <c r="F828" s="2" t="s">
        <v>1641</v>
      </c>
      <c r="G828" s="2" t="s">
        <v>1642</v>
      </c>
    </row>
    <row r="829" spans="1:7" ht="240" x14ac:dyDescent="0.25">
      <c r="A829" s="2">
        <v>828</v>
      </c>
      <c r="B829" s="2">
        <v>56</v>
      </c>
      <c r="C829" s="2">
        <v>0.9</v>
      </c>
      <c r="D829" s="2">
        <v>0.2</v>
      </c>
      <c r="E829" s="2">
        <v>14.3</v>
      </c>
      <c r="F829" s="2" t="s">
        <v>1643</v>
      </c>
      <c r="G829" s="2" t="s">
        <v>1644</v>
      </c>
    </row>
    <row r="830" spans="1:7" ht="180" x14ac:dyDescent="0.25">
      <c r="A830" s="2">
        <v>829</v>
      </c>
      <c r="B830" s="2">
        <v>34</v>
      </c>
      <c r="C830" s="2">
        <v>2.2000000000000002</v>
      </c>
      <c r="D830" s="2">
        <v>0.3</v>
      </c>
      <c r="E830" s="2">
        <v>5.5</v>
      </c>
      <c r="F830" s="2" t="s">
        <v>1645</v>
      </c>
      <c r="G830" s="2" t="s">
        <v>1646</v>
      </c>
    </row>
    <row r="831" spans="1:7" ht="120" x14ac:dyDescent="0.25">
      <c r="A831" s="2">
        <v>830</v>
      </c>
      <c r="B831" s="2">
        <v>422</v>
      </c>
      <c r="C831" s="2">
        <v>0.9</v>
      </c>
      <c r="D831" s="2">
        <v>10.8</v>
      </c>
      <c r="E831" s="2">
        <v>80.400000000000006</v>
      </c>
      <c r="F831" s="2" t="s">
        <v>1647</v>
      </c>
      <c r="G831" s="2" t="s">
        <v>1648</v>
      </c>
    </row>
    <row r="832" spans="1:7" ht="180" x14ac:dyDescent="0.25">
      <c r="A832" s="2">
        <v>831</v>
      </c>
      <c r="B832" s="2">
        <v>389</v>
      </c>
      <c r="C832" s="2">
        <v>6.6</v>
      </c>
      <c r="D832" s="2">
        <v>15.7</v>
      </c>
      <c r="E832" s="2">
        <v>55.5</v>
      </c>
      <c r="F832" s="2" t="s">
        <v>1649</v>
      </c>
      <c r="G832" s="2" t="s">
        <v>1650</v>
      </c>
    </row>
    <row r="833" spans="1:7" ht="285" x14ac:dyDescent="0.25">
      <c r="A833" s="2">
        <v>832</v>
      </c>
      <c r="B833" s="2">
        <v>174</v>
      </c>
      <c r="C833" s="2">
        <v>17</v>
      </c>
      <c r="D833" s="2">
        <v>10</v>
      </c>
      <c r="E833" s="2">
        <v>3</v>
      </c>
      <c r="F833" s="2" t="s">
        <v>1651</v>
      </c>
      <c r="G833" s="2" t="s">
        <v>1652</v>
      </c>
    </row>
    <row r="834" spans="1:7" ht="210" x14ac:dyDescent="0.25">
      <c r="A834" s="2">
        <v>833</v>
      </c>
      <c r="B834" s="2">
        <v>141</v>
      </c>
      <c r="C834" s="2">
        <v>23</v>
      </c>
      <c r="D834" s="2">
        <v>1.5</v>
      </c>
      <c r="E834" s="2">
        <v>7.6</v>
      </c>
      <c r="F834" s="2" t="s">
        <v>1653</v>
      </c>
      <c r="G834" s="2" t="s">
        <v>1654</v>
      </c>
    </row>
    <row r="835" spans="1:7" ht="225" x14ac:dyDescent="0.25">
      <c r="A835" s="2">
        <v>834</v>
      </c>
      <c r="B835" s="2">
        <v>159</v>
      </c>
      <c r="C835" s="2">
        <v>5</v>
      </c>
      <c r="D835" s="2">
        <v>10.9</v>
      </c>
      <c r="E835" s="2">
        <v>10.1</v>
      </c>
      <c r="F835" s="2" t="s">
        <v>1655</v>
      </c>
      <c r="G835" s="2" t="s">
        <v>1656</v>
      </c>
    </row>
    <row r="836" spans="1:7" ht="120" x14ac:dyDescent="0.25">
      <c r="A836" s="2">
        <v>835</v>
      </c>
      <c r="B836" s="2">
        <v>207</v>
      </c>
      <c r="C836" s="2">
        <v>7.4</v>
      </c>
      <c r="D836" s="2">
        <v>15.4</v>
      </c>
      <c r="E836" s="2">
        <v>9.6</v>
      </c>
      <c r="F836" s="2" t="s">
        <v>1657</v>
      </c>
      <c r="G836" s="2" t="s">
        <v>1658</v>
      </c>
    </row>
    <row r="837" spans="1:7" ht="345" x14ac:dyDescent="0.25">
      <c r="A837" s="2">
        <v>836</v>
      </c>
      <c r="B837" s="2">
        <v>405</v>
      </c>
      <c r="C837" s="2">
        <v>4.8</v>
      </c>
      <c r="D837" s="2">
        <v>5.0999999999999996</v>
      </c>
      <c r="E837" s="2">
        <v>84.9</v>
      </c>
      <c r="F837" s="2" t="s">
        <v>1659</v>
      </c>
      <c r="G837" s="2" t="s">
        <v>1660</v>
      </c>
    </row>
    <row r="838" spans="1:7" ht="150" x14ac:dyDescent="0.25">
      <c r="A838" s="2">
        <v>837</v>
      </c>
      <c r="B838" s="2">
        <v>15</v>
      </c>
      <c r="C838" s="2">
        <v>1</v>
      </c>
      <c r="D838" s="2">
        <v>0.4</v>
      </c>
      <c r="E838" s="2">
        <v>1.9</v>
      </c>
      <c r="F838" s="2" t="s">
        <v>1661</v>
      </c>
      <c r="G838" s="2" t="s">
        <v>1662</v>
      </c>
    </row>
    <row r="839" spans="1:7" ht="225" x14ac:dyDescent="0.25">
      <c r="A839" s="2">
        <v>838</v>
      </c>
      <c r="B839" s="2">
        <v>902</v>
      </c>
      <c r="C839" s="2">
        <v>0</v>
      </c>
      <c r="D839" s="2">
        <v>100</v>
      </c>
      <c r="E839" s="2">
        <v>0</v>
      </c>
      <c r="F839" s="2" t="s">
        <v>1663</v>
      </c>
      <c r="G839" s="2" t="s">
        <v>1664</v>
      </c>
    </row>
    <row r="840" spans="1:7" ht="120" x14ac:dyDescent="0.25">
      <c r="A840" s="2">
        <v>839</v>
      </c>
      <c r="B840" s="2">
        <v>630</v>
      </c>
      <c r="C840" s="2">
        <v>9.1</v>
      </c>
      <c r="D840" s="2">
        <v>65</v>
      </c>
      <c r="E840" s="2">
        <v>1.1000000000000001</v>
      </c>
      <c r="F840" s="2" t="s">
        <v>1665</v>
      </c>
      <c r="G840" s="2" t="s">
        <v>1666</v>
      </c>
    </row>
    <row r="841" spans="1:7" ht="120" x14ac:dyDescent="0.25">
      <c r="A841" s="2">
        <v>840</v>
      </c>
      <c r="B841" s="2">
        <v>372</v>
      </c>
      <c r="C841" s="2">
        <v>12</v>
      </c>
      <c r="D841" s="2">
        <v>29.4</v>
      </c>
      <c r="E841" s="2">
        <v>14.4</v>
      </c>
      <c r="F841" s="2" t="s">
        <v>1667</v>
      </c>
      <c r="G841" s="2" t="s">
        <v>1668</v>
      </c>
    </row>
    <row r="842" spans="1:7" ht="225" x14ac:dyDescent="0.25">
      <c r="A842" s="2">
        <v>841</v>
      </c>
      <c r="B842" s="2">
        <v>818</v>
      </c>
      <c r="C842" s="2">
        <v>1.5</v>
      </c>
      <c r="D842" s="2">
        <v>90</v>
      </c>
      <c r="E842" s="2">
        <v>0</v>
      </c>
      <c r="F842" s="2" t="s">
        <v>1669</v>
      </c>
      <c r="G842" s="2" t="s">
        <v>1670</v>
      </c>
    </row>
    <row r="843" spans="1:7" ht="255" x14ac:dyDescent="0.25">
      <c r="A843" s="2">
        <v>842</v>
      </c>
      <c r="B843" s="2">
        <v>34</v>
      </c>
      <c r="C843" s="2">
        <v>0.5</v>
      </c>
      <c r="D843" s="2">
        <v>0.8</v>
      </c>
      <c r="E843" s="2">
        <v>6.2</v>
      </c>
      <c r="F843" s="2" t="s">
        <v>1671</v>
      </c>
      <c r="G843" s="2" t="s">
        <v>1672</v>
      </c>
    </row>
    <row r="844" spans="1:7" ht="225" x14ac:dyDescent="0.25">
      <c r="A844" s="2">
        <v>843</v>
      </c>
      <c r="B844" s="2">
        <v>36</v>
      </c>
      <c r="C844" s="2">
        <v>0</v>
      </c>
      <c r="D844" s="2">
        <v>0</v>
      </c>
      <c r="E844" s="2">
        <v>10</v>
      </c>
      <c r="F844" s="2" t="s">
        <v>1673</v>
      </c>
      <c r="G844" s="2" t="s">
        <v>1674</v>
      </c>
    </row>
    <row r="845" spans="1:7" ht="180" x14ac:dyDescent="0.25">
      <c r="A845" s="2">
        <v>844</v>
      </c>
      <c r="B845" s="2">
        <v>30</v>
      </c>
      <c r="C845" s="2">
        <v>0</v>
      </c>
      <c r="D845" s="2">
        <v>0</v>
      </c>
      <c r="E845" s="2">
        <v>8</v>
      </c>
      <c r="F845" s="2" t="s">
        <v>1675</v>
      </c>
      <c r="G845" s="2" t="s">
        <v>1676</v>
      </c>
    </row>
    <row r="846" spans="1:7" ht="195" x14ac:dyDescent="0.25">
      <c r="A846" s="2">
        <v>845</v>
      </c>
      <c r="B846" s="2">
        <v>221.3</v>
      </c>
      <c r="C846" s="2">
        <v>3.8</v>
      </c>
      <c r="D846" s="2">
        <v>3.6</v>
      </c>
      <c r="E846" s="2">
        <v>43.4</v>
      </c>
      <c r="F846" s="2" t="s">
        <v>1677</v>
      </c>
      <c r="G846" s="2" t="s">
        <v>1678</v>
      </c>
    </row>
    <row r="847" spans="1:7" ht="150" x14ac:dyDescent="0.25">
      <c r="A847" s="2">
        <v>846</v>
      </c>
      <c r="B847" s="2">
        <v>320</v>
      </c>
      <c r="C847" s="2">
        <v>3.5</v>
      </c>
      <c r="D847" s="2">
        <v>5.7</v>
      </c>
      <c r="E847" s="2">
        <v>63.7</v>
      </c>
      <c r="F847" s="2" t="s">
        <v>1679</v>
      </c>
      <c r="G847" s="2" t="s">
        <v>1680</v>
      </c>
    </row>
    <row r="848" spans="1:7" ht="285" x14ac:dyDescent="0.25">
      <c r="A848" s="2">
        <v>847</v>
      </c>
      <c r="B848" s="2">
        <v>181</v>
      </c>
      <c r="C848" s="2">
        <v>2.8</v>
      </c>
      <c r="D848" s="2">
        <v>1.2</v>
      </c>
      <c r="E848" s="2">
        <v>39.799999999999997</v>
      </c>
      <c r="F848" s="2" t="s">
        <v>1681</v>
      </c>
      <c r="G848" s="2" t="s">
        <v>1682</v>
      </c>
    </row>
    <row r="849" spans="1:7" ht="240" x14ac:dyDescent="0.25">
      <c r="A849" s="2">
        <v>848</v>
      </c>
      <c r="B849" s="2">
        <v>33</v>
      </c>
      <c r="C849" s="2">
        <v>1.9</v>
      </c>
      <c r="D849" s="2">
        <v>0.1</v>
      </c>
      <c r="E849" s="2">
        <v>7.4</v>
      </c>
      <c r="F849" s="2" t="s">
        <v>1683</v>
      </c>
      <c r="G849" s="2" t="s">
        <v>1684</v>
      </c>
    </row>
    <row r="850" spans="1:7" ht="195" x14ac:dyDescent="0.25">
      <c r="A850" s="2">
        <v>849</v>
      </c>
      <c r="B850" s="2">
        <v>240</v>
      </c>
      <c r="C850" s="2">
        <v>7.8</v>
      </c>
      <c r="D850" s="2">
        <v>0.5</v>
      </c>
      <c r="E850" s="2">
        <v>51.3</v>
      </c>
      <c r="F850" s="2" t="s">
        <v>1685</v>
      </c>
      <c r="G850" s="2" t="s">
        <v>1686</v>
      </c>
    </row>
    <row r="851" spans="1:7" ht="210" x14ac:dyDescent="0.25">
      <c r="A851" s="2">
        <v>850</v>
      </c>
      <c r="B851" s="2">
        <v>387</v>
      </c>
      <c r="C851" s="2">
        <v>16</v>
      </c>
      <c r="D851" s="2">
        <v>22</v>
      </c>
      <c r="E851" s="2">
        <v>3</v>
      </c>
      <c r="F851" s="2" t="s">
        <v>1687</v>
      </c>
      <c r="G851" s="2" t="s">
        <v>1688</v>
      </c>
    </row>
    <row r="852" spans="1:7" ht="270" x14ac:dyDescent="0.25">
      <c r="A852" s="2">
        <v>851</v>
      </c>
      <c r="B852" s="2">
        <v>79</v>
      </c>
      <c r="C852" s="2">
        <v>2.2999999999999998</v>
      </c>
      <c r="D852" s="2">
        <v>5.2</v>
      </c>
      <c r="E852" s="2">
        <v>5.8</v>
      </c>
      <c r="F852" s="2" t="s">
        <v>1689</v>
      </c>
      <c r="G852" s="2" t="s">
        <v>1690</v>
      </c>
    </row>
    <row r="853" spans="1:7" ht="300" x14ac:dyDescent="0.25">
      <c r="A853" s="2">
        <v>852</v>
      </c>
      <c r="B853" s="2">
        <v>19</v>
      </c>
      <c r="C853" s="2">
        <v>0.9</v>
      </c>
      <c r="D853" s="2">
        <v>0.1</v>
      </c>
      <c r="E853" s="2">
        <v>4.2</v>
      </c>
      <c r="F853" s="2" t="s">
        <v>1691</v>
      </c>
      <c r="G853" s="2" t="s">
        <v>1692</v>
      </c>
    </row>
    <row r="854" spans="1:7" ht="180" x14ac:dyDescent="0.25">
      <c r="A854" s="2">
        <v>853</v>
      </c>
      <c r="B854" s="2">
        <v>217</v>
      </c>
      <c r="C854" s="2">
        <v>11</v>
      </c>
      <c r="D854" s="2">
        <v>1.7</v>
      </c>
      <c r="E854" s="2">
        <v>5.0999999999999996</v>
      </c>
      <c r="F854" s="2" t="s">
        <v>1693</v>
      </c>
      <c r="G854" s="2" t="s">
        <v>1694</v>
      </c>
    </row>
    <row r="855" spans="1:7" ht="165" x14ac:dyDescent="0.25">
      <c r="A855" s="2">
        <v>854</v>
      </c>
      <c r="B855" s="2">
        <v>27</v>
      </c>
      <c r="C855" s="2">
        <v>0.4</v>
      </c>
      <c r="D855" s="2">
        <v>0.2</v>
      </c>
      <c r="E855" s="2">
        <v>6</v>
      </c>
      <c r="F855" s="2" t="s">
        <v>1695</v>
      </c>
      <c r="G855" s="2" t="s">
        <v>1696</v>
      </c>
    </row>
    <row r="856" spans="1:7" ht="285" x14ac:dyDescent="0.25">
      <c r="A856" s="2">
        <v>855</v>
      </c>
      <c r="B856" s="2">
        <v>163.30000000000001</v>
      </c>
      <c r="C856" s="2">
        <v>2.8</v>
      </c>
      <c r="D856" s="2">
        <v>2.2000000000000002</v>
      </c>
      <c r="E856" s="2">
        <v>33</v>
      </c>
      <c r="F856" s="2" t="s">
        <v>1697</v>
      </c>
      <c r="G856" s="2" t="s">
        <v>1698</v>
      </c>
    </row>
    <row r="857" spans="1:7" ht="120" x14ac:dyDescent="0.25">
      <c r="A857" s="2">
        <v>856</v>
      </c>
      <c r="B857" s="2">
        <v>38</v>
      </c>
      <c r="C857" s="2">
        <v>1.1000000000000001</v>
      </c>
      <c r="D857" s="2">
        <v>0.3</v>
      </c>
      <c r="E857" s="2">
        <v>7.6</v>
      </c>
      <c r="F857" s="2" t="s">
        <v>1699</v>
      </c>
      <c r="G857" s="2" t="s">
        <v>1700</v>
      </c>
    </row>
    <row r="858" spans="1:7" ht="240" x14ac:dyDescent="0.25">
      <c r="A858" s="2">
        <v>857</v>
      </c>
      <c r="B858" s="2">
        <v>164</v>
      </c>
      <c r="C858" s="2">
        <v>1.8</v>
      </c>
      <c r="D858" s="2">
        <v>2.1</v>
      </c>
      <c r="E858" s="2">
        <v>34.5</v>
      </c>
      <c r="F858" s="2" t="s">
        <v>1701</v>
      </c>
      <c r="G858" s="2" t="s">
        <v>1702</v>
      </c>
    </row>
    <row r="859" spans="1:7" ht="240" x14ac:dyDescent="0.25">
      <c r="A859" s="2">
        <v>858</v>
      </c>
      <c r="B859" s="2">
        <v>294</v>
      </c>
      <c r="C859" s="2">
        <v>0.3</v>
      </c>
      <c r="D859" s="2">
        <v>0</v>
      </c>
      <c r="E859" s="2">
        <v>79.5</v>
      </c>
      <c r="F859" s="2" t="s">
        <v>1703</v>
      </c>
      <c r="G859" s="2" t="s">
        <v>1704</v>
      </c>
    </row>
    <row r="860" spans="1:7" ht="120" x14ac:dyDescent="0.25">
      <c r="A860" s="2">
        <v>859</v>
      </c>
      <c r="B860" s="2">
        <v>341</v>
      </c>
      <c r="C860" s="2">
        <v>0.3</v>
      </c>
      <c r="D860" s="2">
        <v>0</v>
      </c>
      <c r="E860" s="2">
        <v>85</v>
      </c>
      <c r="F860" s="2" t="s">
        <v>1705</v>
      </c>
      <c r="G860" s="2" t="s">
        <v>1706</v>
      </c>
    </row>
    <row r="861" spans="1:7" ht="409.5" x14ac:dyDescent="0.25">
      <c r="A861" s="2">
        <v>860</v>
      </c>
      <c r="B861" s="2">
        <v>363</v>
      </c>
      <c r="C861" s="2">
        <v>8.6999999999999993</v>
      </c>
      <c r="D861" s="2">
        <v>0.4</v>
      </c>
      <c r="E861" s="2">
        <v>78.7</v>
      </c>
      <c r="F861" s="2" t="s">
        <v>1707</v>
      </c>
      <c r="G861" s="2" t="s">
        <v>1708</v>
      </c>
    </row>
    <row r="862" spans="1:7" ht="165" x14ac:dyDescent="0.25">
      <c r="A862" s="2">
        <v>861</v>
      </c>
      <c r="B862" s="2">
        <v>63</v>
      </c>
      <c r="C862" s="2">
        <v>2.4</v>
      </c>
      <c r="D862" s="2">
        <v>0.4</v>
      </c>
      <c r="E862" s="2">
        <v>12.4</v>
      </c>
      <c r="F862" s="2" t="s">
        <v>1709</v>
      </c>
      <c r="G862" s="2" t="s">
        <v>1710</v>
      </c>
    </row>
    <row r="863" spans="1:7" ht="135" x14ac:dyDescent="0.25">
      <c r="A863" s="2">
        <v>862</v>
      </c>
      <c r="B863" s="2">
        <v>44</v>
      </c>
      <c r="C863" s="2">
        <v>0.7</v>
      </c>
      <c r="D863" s="2">
        <v>0.2</v>
      </c>
      <c r="E863" s="2">
        <v>11.2</v>
      </c>
      <c r="F863" s="2" t="s">
        <v>1711</v>
      </c>
      <c r="G863" s="2" t="s">
        <v>1712</v>
      </c>
    </row>
    <row r="864" spans="1:7" ht="225" x14ac:dyDescent="0.25">
      <c r="A864" s="2">
        <v>863</v>
      </c>
      <c r="B864" s="2">
        <v>63</v>
      </c>
      <c r="C864" s="2">
        <v>0.5</v>
      </c>
      <c r="D864" s="2">
        <v>0.2</v>
      </c>
      <c r="E864" s="2">
        <v>16.7</v>
      </c>
      <c r="F864" s="2" t="s">
        <v>1713</v>
      </c>
      <c r="G864" s="2" t="s">
        <v>1714</v>
      </c>
    </row>
    <row r="865" spans="1:7" ht="150" x14ac:dyDescent="0.25">
      <c r="A865" s="2">
        <v>864</v>
      </c>
      <c r="B865" s="2">
        <v>46</v>
      </c>
      <c r="C865" s="2">
        <v>0.4</v>
      </c>
      <c r="D865" s="2">
        <v>0.2</v>
      </c>
      <c r="E865" s="2">
        <v>11.9</v>
      </c>
      <c r="F865" s="2" t="s">
        <v>1715</v>
      </c>
      <c r="G865" s="2" t="s">
        <v>1716</v>
      </c>
    </row>
    <row r="866" spans="1:7" ht="240" x14ac:dyDescent="0.25">
      <c r="A866" s="2">
        <v>865</v>
      </c>
      <c r="B866" s="2">
        <v>72</v>
      </c>
      <c r="C866" s="2">
        <v>0.8</v>
      </c>
      <c r="D866" s="2">
        <v>0.2</v>
      </c>
      <c r="E866" s="2">
        <v>18.7</v>
      </c>
      <c r="F866" s="2" t="s">
        <v>1717</v>
      </c>
      <c r="G866" s="2" t="s">
        <v>1718</v>
      </c>
    </row>
    <row r="867" spans="1:7" ht="225" x14ac:dyDescent="0.25">
      <c r="A867" s="2">
        <v>866</v>
      </c>
      <c r="B867" s="2">
        <v>56</v>
      </c>
      <c r="C867" s="2">
        <v>0.4</v>
      </c>
      <c r="D867" s="2">
        <v>0.2</v>
      </c>
      <c r="E867" s="2">
        <v>14.6</v>
      </c>
      <c r="F867" s="2" t="s">
        <v>1719</v>
      </c>
      <c r="G867" s="2" t="s">
        <v>1720</v>
      </c>
    </row>
    <row r="868" spans="1:7" ht="225" x14ac:dyDescent="0.25">
      <c r="A868" s="2">
        <v>867</v>
      </c>
      <c r="B868" s="2">
        <v>86</v>
      </c>
      <c r="C868" s="2">
        <v>0.7</v>
      </c>
      <c r="D868" s="2">
        <v>0.5</v>
      </c>
      <c r="E868" s="2">
        <v>19.8</v>
      </c>
      <c r="F868" s="2" t="s">
        <v>1721</v>
      </c>
      <c r="G868" s="2" t="s">
        <v>1722</v>
      </c>
    </row>
    <row r="869" spans="1:7" ht="225" x14ac:dyDescent="0.25">
      <c r="A869" s="2">
        <v>868</v>
      </c>
      <c r="B869" s="2">
        <v>133</v>
      </c>
      <c r="C869" s="2">
        <v>1</v>
      </c>
      <c r="D869" s="2">
        <v>0.1</v>
      </c>
      <c r="E869" s="2">
        <v>32.1</v>
      </c>
      <c r="F869" s="2" t="s">
        <v>1723</v>
      </c>
      <c r="G869" s="2" t="s">
        <v>1724</v>
      </c>
    </row>
    <row r="870" spans="1:7" ht="390" x14ac:dyDescent="0.25">
      <c r="A870" s="2">
        <v>869</v>
      </c>
      <c r="B870" s="2">
        <v>59</v>
      </c>
      <c r="C870" s="2">
        <v>0.5</v>
      </c>
      <c r="D870" s="2">
        <v>0.4</v>
      </c>
      <c r="E870" s="2">
        <v>15.1</v>
      </c>
      <c r="F870" s="2" t="s">
        <v>1725</v>
      </c>
      <c r="G870" s="2" t="s">
        <v>1726</v>
      </c>
    </row>
    <row r="871" spans="1:7" ht="225" x14ac:dyDescent="0.25">
      <c r="A871" s="2">
        <v>870</v>
      </c>
      <c r="B871" s="2">
        <v>52</v>
      </c>
      <c r="C871" s="2">
        <v>0.7</v>
      </c>
      <c r="D871" s="2">
        <v>0</v>
      </c>
      <c r="E871" s="2">
        <v>12.3</v>
      </c>
      <c r="F871" s="2" t="s">
        <v>1727</v>
      </c>
      <c r="G871" s="2" t="s">
        <v>1728</v>
      </c>
    </row>
    <row r="872" spans="1:7" ht="285" x14ac:dyDescent="0.25">
      <c r="A872" s="2">
        <v>871</v>
      </c>
      <c r="B872" s="2">
        <v>63</v>
      </c>
      <c r="C872" s="2">
        <v>0.6</v>
      </c>
      <c r="D872" s="2">
        <v>0.6</v>
      </c>
      <c r="E872" s="2">
        <v>15.6</v>
      </c>
      <c r="F872" s="2" t="s">
        <v>1729</v>
      </c>
      <c r="G872" s="2" t="s">
        <v>1730</v>
      </c>
    </row>
    <row r="873" spans="1:7" ht="180" x14ac:dyDescent="0.25">
      <c r="A873" s="2">
        <v>872</v>
      </c>
      <c r="B873" s="2">
        <v>720</v>
      </c>
      <c r="C873" s="2">
        <v>0.6</v>
      </c>
      <c r="D873" s="2">
        <v>81</v>
      </c>
      <c r="E873" s="2">
        <v>0.4</v>
      </c>
      <c r="F873" s="2" t="s">
        <v>1731</v>
      </c>
      <c r="G873" s="2" t="s">
        <v>1732</v>
      </c>
    </row>
    <row r="874" spans="1:7" ht="120" x14ac:dyDescent="0.25">
      <c r="A874" s="2">
        <v>873</v>
      </c>
      <c r="B874" s="2">
        <v>144</v>
      </c>
      <c r="C874" s="2">
        <v>3.5</v>
      </c>
      <c r="D874" s="2">
        <v>1.2</v>
      </c>
      <c r="E874" s="2">
        <v>29.8</v>
      </c>
      <c r="F874" s="2" t="s">
        <v>1733</v>
      </c>
      <c r="G874" s="2" t="s">
        <v>1734</v>
      </c>
    </row>
    <row r="875" spans="1:7" ht="225" x14ac:dyDescent="0.25">
      <c r="A875" s="2">
        <v>874</v>
      </c>
      <c r="B875" s="2">
        <v>217</v>
      </c>
      <c r="C875" s="2">
        <v>2.5</v>
      </c>
      <c r="D875" s="2">
        <v>1</v>
      </c>
      <c r="E875" s="2">
        <v>49.6</v>
      </c>
      <c r="F875" s="2" t="s">
        <v>1735</v>
      </c>
      <c r="G875" s="2" t="s">
        <v>1736</v>
      </c>
    </row>
    <row r="876" spans="1:7" ht="225" x14ac:dyDescent="0.25">
      <c r="A876" s="2">
        <v>875</v>
      </c>
      <c r="B876" s="2">
        <v>104</v>
      </c>
      <c r="C876" s="2">
        <v>1.2</v>
      </c>
      <c r="D876" s="2">
        <v>0.5</v>
      </c>
      <c r="E876" s="2">
        <v>23.7</v>
      </c>
      <c r="F876" s="2" t="s">
        <v>1737</v>
      </c>
      <c r="G876" s="2" t="s">
        <v>1736</v>
      </c>
    </row>
    <row r="877" spans="1:7" ht="180" x14ac:dyDescent="0.25">
      <c r="A877" s="2">
        <v>876</v>
      </c>
      <c r="B877" s="2">
        <v>265.3</v>
      </c>
      <c r="C877" s="2">
        <v>4.7</v>
      </c>
      <c r="D877" s="2">
        <v>5.5</v>
      </c>
      <c r="E877" s="2">
        <v>49.3</v>
      </c>
      <c r="F877" s="2" t="s">
        <v>1738</v>
      </c>
      <c r="G877" s="2" t="s">
        <v>1739</v>
      </c>
    </row>
    <row r="878" spans="1:7" ht="225" x14ac:dyDescent="0.25">
      <c r="A878" s="2">
        <v>877</v>
      </c>
      <c r="B878" s="2">
        <v>153</v>
      </c>
      <c r="C878" s="2">
        <v>4.5</v>
      </c>
      <c r="D878" s="2">
        <v>4.2</v>
      </c>
      <c r="E878" s="2">
        <v>24.3</v>
      </c>
      <c r="F878" s="2" t="s">
        <v>1740</v>
      </c>
      <c r="G878" s="2" t="s">
        <v>1741</v>
      </c>
    </row>
    <row r="879" spans="1:7" ht="210" x14ac:dyDescent="0.25">
      <c r="A879" s="2">
        <v>878</v>
      </c>
      <c r="B879" s="2">
        <v>278</v>
      </c>
      <c r="C879" s="2">
        <v>5.0999999999999996</v>
      </c>
      <c r="D879" s="2">
        <v>8.6</v>
      </c>
      <c r="E879" s="2">
        <v>45</v>
      </c>
      <c r="F879" s="2" t="s">
        <v>1742</v>
      </c>
      <c r="G879" s="2" t="s">
        <v>1743</v>
      </c>
    </row>
    <row r="880" spans="1:7" ht="180" x14ac:dyDescent="0.25">
      <c r="A880" s="2">
        <v>879</v>
      </c>
      <c r="B880" s="2">
        <v>200</v>
      </c>
      <c r="C880" s="2">
        <v>8.9</v>
      </c>
      <c r="D880" s="2">
        <v>5.0999999999999996</v>
      </c>
      <c r="E880" s="2">
        <v>29.5</v>
      </c>
      <c r="F880" s="2" t="s">
        <v>1744</v>
      </c>
      <c r="G880" s="2" t="s">
        <v>1745</v>
      </c>
    </row>
    <row r="881" spans="1:7" ht="150" x14ac:dyDescent="0.25">
      <c r="A881" s="2">
        <v>880</v>
      </c>
      <c r="B881" s="2">
        <v>369</v>
      </c>
      <c r="C881" s="2">
        <v>2.1</v>
      </c>
      <c r="D881" s="2">
        <v>7</v>
      </c>
      <c r="E881" s="2">
        <v>74.099999999999994</v>
      </c>
      <c r="F881" s="2" t="s">
        <v>1746</v>
      </c>
      <c r="G881" s="2" t="s">
        <v>1747</v>
      </c>
    </row>
    <row r="882" spans="1:7" ht="240" x14ac:dyDescent="0.25">
      <c r="A882" s="2">
        <v>881</v>
      </c>
      <c r="B882" s="2">
        <v>90</v>
      </c>
      <c r="C882" s="2">
        <v>1.2</v>
      </c>
      <c r="D882" s="2">
        <v>0.1</v>
      </c>
      <c r="E882" s="2">
        <v>21.1</v>
      </c>
      <c r="F882" s="2" t="s">
        <v>1748</v>
      </c>
      <c r="G882" s="2" t="s">
        <v>1749</v>
      </c>
    </row>
    <row r="883" spans="1:7" ht="105" x14ac:dyDescent="0.25">
      <c r="A883" s="2">
        <v>882</v>
      </c>
      <c r="B883" s="2">
        <v>276</v>
      </c>
      <c r="C883" s="2">
        <v>0</v>
      </c>
      <c r="D883" s="2">
        <v>0.1</v>
      </c>
      <c r="E883" s="2">
        <v>71</v>
      </c>
      <c r="F883" s="2" t="s">
        <v>1750</v>
      </c>
      <c r="G883" s="2" t="s">
        <v>1751</v>
      </c>
    </row>
    <row r="884" spans="1:7" ht="225" x14ac:dyDescent="0.25">
      <c r="A884" s="2">
        <v>883</v>
      </c>
      <c r="B884" s="2">
        <v>66</v>
      </c>
      <c r="C884" s="2">
        <v>5</v>
      </c>
      <c r="D884" s="2">
        <v>0.7</v>
      </c>
      <c r="E884" s="2">
        <v>13.3</v>
      </c>
      <c r="F884" s="2" t="s">
        <v>1752</v>
      </c>
      <c r="G884" s="2" t="s">
        <v>1753</v>
      </c>
    </row>
    <row r="885" spans="1:7" ht="240" x14ac:dyDescent="0.25">
      <c r="A885" s="2">
        <v>884</v>
      </c>
      <c r="B885" s="2">
        <v>37</v>
      </c>
      <c r="C885" s="2">
        <v>0.6</v>
      </c>
      <c r="D885" s="2">
        <v>0.4</v>
      </c>
      <c r="E885" s="2">
        <v>7.8</v>
      </c>
      <c r="F885" s="2" t="s">
        <v>1754</v>
      </c>
      <c r="G885" s="2" t="s">
        <v>1755</v>
      </c>
    </row>
    <row r="886" spans="1:7" ht="210" x14ac:dyDescent="0.25">
      <c r="A886" s="2">
        <v>885</v>
      </c>
      <c r="B886" s="2">
        <v>322</v>
      </c>
      <c r="C886" s="2">
        <v>55.8</v>
      </c>
      <c r="D886" s="2">
        <v>2</v>
      </c>
      <c r="E886" s="2">
        <v>22.7</v>
      </c>
      <c r="F886" s="2" t="s">
        <v>1756</v>
      </c>
      <c r="G886" s="2" t="s">
        <v>1757</v>
      </c>
    </row>
    <row r="887" spans="1:7" ht="285" x14ac:dyDescent="0.25">
      <c r="A887" s="2">
        <v>886</v>
      </c>
      <c r="B887" s="2">
        <v>725</v>
      </c>
      <c r="C887" s="2">
        <v>0.5</v>
      </c>
      <c r="D887" s="2">
        <v>81.599999999999994</v>
      </c>
      <c r="E887" s="2">
        <v>1.4</v>
      </c>
      <c r="F887" s="2" t="s">
        <v>1758</v>
      </c>
      <c r="G887" s="2" t="s">
        <v>1759</v>
      </c>
    </row>
    <row r="888" spans="1:7" ht="240" x14ac:dyDescent="0.25">
      <c r="A888" s="2">
        <v>887</v>
      </c>
      <c r="B888" s="2">
        <v>65</v>
      </c>
      <c r="C888" s="2">
        <v>1.7</v>
      </c>
      <c r="D888" s="2">
        <v>0.2</v>
      </c>
      <c r="E888" s="2">
        <v>16.100000000000001</v>
      </c>
      <c r="F888" s="2" t="s">
        <v>1760</v>
      </c>
      <c r="G888" s="2" t="s">
        <v>1761</v>
      </c>
    </row>
    <row r="889" spans="1:7" ht="240" x14ac:dyDescent="0.25">
      <c r="A889" s="2">
        <v>888</v>
      </c>
      <c r="B889" s="2">
        <v>359</v>
      </c>
      <c r="C889" s="2">
        <v>11.5</v>
      </c>
      <c r="D889" s="2">
        <v>6.8</v>
      </c>
      <c r="E889" s="2">
        <v>64.400000000000006</v>
      </c>
      <c r="F889" s="2" t="s">
        <v>1762</v>
      </c>
      <c r="G889" s="2" t="s">
        <v>1763</v>
      </c>
    </row>
    <row r="890" spans="1:7" ht="195" x14ac:dyDescent="0.25">
      <c r="A890" s="2">
        <v>889</v>
      </c>
      <c r="B890" s="2">
        <v>88</v>
      </c>
      <c r="C890" s="2">
        <v>0.6</v>
      </c>
      <c r="D890" s="2">
        <v>3.3</v>
      </c>
      <c r="E890" s="2">
        <v>14</v>
      </c>
      <c r="F890" s="2" t="s">
        <v>1764</v>
      </c>
      <c r="G890" s="2" t="s">
        <v>1765</v>
      </c>
    </row>
    <row r="891" spans="1:7" ht="300" x14ac:dyDescent="0.25">
      <c r="A891" s="2">
        <v>890</v>
      </c>
      <c r="B891" s="2">
        <v>71</v>
      </c>
      <c r="C891" s="2">
        <v>0.2</v>
      </c>
      <c r="D891" s="2">
        <v>0.8</v>
      </c>
      <c r="E891" s="2">
        <v>15.9</v>
      </c>
      <c r="F891" s="2" t="s">
        <v>1766</v>
      </c>
      <c r="G891" s="2" t="s">
        <v>1767</v>
      </c>
    </row>
    <row r="892" spans="1:7" ht="210" x14ac:dyDescent="0.25">
      <c r="A892" s="2">
        <v>891</v>
      </c>
      <c r="B892" s="2">
        <v>339</v>
      </c>
      <c r="C892" s="2">
        <v>10</v>
      </c>
      <c r="D892" s="2">
        <v>1.7</v>
      </c>
      <c r="E892" s="2">
        <v>6.3</v>
      </c>
      <c r="F892" s="2" t="s">
        <v>1768</v>
      </c>
      <c r="G892" s="2" t="s">
        <v>1769</v>
      </c>
    </row>
    <row r="893" spans="1:7" ht="135" x14ac:dyDescent="0.25">
      <c r="A893" s="2">
        <v>892</v>
      </c>
      <c r="B893" s="2">
        <v>113</v>
      </c>
      <c r="C893" s="2">
        <v>3</v>
      </c>
      <c r="D893" s="2">
        <v>3.2</v>
      </c>
      <c r="E893" s="2">
        <v>18.100000000000001</v>
      </c>
      <c r="F893" s="2" t="s">
        <v>1770</v>
      </c>
      <c r="G893" s="2" t="s">
        <v>1771</v>
      </c>
    </row>
    <row r="894" spans="1:7" ht="210" x14ac:dyDescent="0.25">
      <c r="A894" s="2">
        <v>893</v>
      </c>
      <c r="B894" s="2">
        <v>102</v>
      </c>
      <c r="C894" s="2">
        <v>6.2</v>
      </c>
      <c r="D894" s="2">
        <v>3.9</v>
      </c>
      <c r="E894" s="2">
        <v>10.5</v>
      </c>
      <c r="F894" s="2" t="s">
        <v>1772</v>
      </c>
      <c r="G894" s="2" t="s">
        <v>1773</v>
      </c>
    </row>
    <row r="895" spans="1:7" ht="255" x14ac:dyDescent="0.25">
      <c r="A895" s="2">
        <v>894</v>
      </c>
      <c r="B895" s="2">
        <v>114</v>
      </c>
      <c r="C895" s="2">
        <v>5.3</v>
      </c>
      <c r="D895" s="2">
        <v>3</v>
      </c>
      <c r="E895" s="2">
        <v>16.399999999999999</v>
      </c>
      <c r="F895" s="2" t="s">
        <v>1774</v>
      </c>
      <c r="G895" s="2" t="s">
        <v>1775</v>
      </c>
    </row>
    <row r="896" spans="1:7" ht="165" x14ac:dyDescent="0.25">
      <c r="A896" s="2">
        <v>895</v>
      </c>
      <c r="B896" s="2">
        <v>86</v>
      </c>
      <c r="C896" s="2">
        <v>0.6</v>
      </c>
      <c r="D896" s="2">
        <v>3.3</v>
      </c>
      <c r="E896" s="2">
        <v>14</v>
      </c>
      <c r="F896" s="2" t="s">
        <v>1776</v>
      </c>
      <c r="G896" s="2" t="s">
        <v>1777</v>
      </c>
    </row>
    <row r="897" spans="1:7" ht="255" x14ac:dyDescent="0.25">
      <c r="A897" s="2">
        <v>896</v>
      </c>
      <c r="B897" s="2">
        <v>353</v>
      </c>
      <c r="C897" s="2">
        <v>0.3</v>
      </c>
      <c r="D897" s="2">
        <v>0</v>
      </c>
      <c r="E897" s="2">
        <v>88</v>
      </c>
      <c r="F897" s="2" t="s">
        <v>1778</v>
      </c>
      <c r="G897" s="2" t="s">
        <v>1779</v>
      </c>
    </row>
    <row r="898" spans="1:7" ht="120" x14ac:dyDescent="0.25">
      <c r="A898" s="2">
        <v>897</v>
      </c>
      <c r="B898" s="2">
        <v>102</v>
      </c>
      <c r="C898" s="2">
        <v>3</v>
      </c>
      <c r="D898" s="2">
        <v>2.1</v>
      </c>
      <c r="E898" s="2">
        <v>17.8</v>
      </c>
      <c r="F898" s="2" t="s">
        <v>1780</v>
      </c>
      <c r="G898" s="2" t="s">
        <v>1781</v>
      </c>
    </row>
    <row r="899" spans="1:7" ht="150" x14ac:dyDescent="0.25">
      <c r="A899" s="2">
        <v>898</v>
      </c>
      <c r="B899" s="2">
        <v>468</v>
      </c>
      <c r="C899" s="2">
        <v>7.6</v>
      </c>
      <c r="D899" s="2">
        <v>20.399999999999999</v>
      </c>
      <c r="E899" s="2">
        <v>62.4</v>
      </c>
      <c r="F899" s="2" t="s">
        <v>1782</v>
      </c>
      <c r="G899" s="2" t="s">
        <v>1783</v>
      </c>
    </row>
    <row r="900" spans="1:7" ht="165" x14ac:dyDescent="0.25">
      <c r="A900" s="2">
        <v>899</v>
      </c>
      <c r="B900" s="2">
        <v>337</v>
      </c>
      <c r="C900" s="2">
        <v>7.9</v>
      </c>
      <c r="D900" s="2">
        <v>11.8</v>
      </c>
      <c r="E900" s="2">
        <v>50</v>
      </c>
      <c r="F900" s="2" t="s">
        <v>1784</v>
      </c>
      <c r="G900" s="2" t="s">
        <v>1785</v>
      </c>
    </row>
    <row r="901" spans="1:7" ht="210" x14ac:dyDescent="0.25">
      <c r="A901" s="2">
        <v>900</v>
      </c>
      <c r="B901" s="2">
        <v>105</v>
      </c>
      <c r="C901" s="2">
        <v>5.9</v>
      </c>
      <c r="D901" s="2">
        <v>4.9000000000000004</v>
      </c>
      <c r="E901" s="2">
        <v>9.4</v>
      </c>
      <c r="F901" s="2" t="s">
        <v>1786</v>
      </c>
      <c r="G901" s="2" t="s">
        <v>1787</v>
      </c>
    </row>
    <row r="902" spans="1:7" ht="195" x14ac:dyDescent="0.25">
      <c r="A902" s="2">
        <v>901</v>
      </c>
      <c r="B902" s="2">
        <v>190</v>
      </c>
      <c r="C902" s="2">
        <v>0.2</v>
      </c>
      <c r="D902" s="2">
        <v>0.4</v>
      </c>
      <c r="E902" s="2">
        <v>46.5</v>
      </c>
      <c r="F902" s="2" t="s">
        <v>1788</v>
      </c>
      <c r="G902" s="2" t="s">
        <v>1789</v>
      </c>
    </row>
    <row r="903" spans="1:7" ht="165" x14ac:dyDescent="0.25">
      <c r="A903" s="2">
        <v>902</v>
      </c>
      <c r="B903" s="2">
        <v>902</v>
      </c>
      <c r="C903" s="2">
        <v>0</v>
      </c>
      <c r="D903" s="2">
        <v>100</v>
      </c>
      <c r="E903" s="2">
        <v>0</v>
      </c>
      <c r="F903" s="2" t="s">
        <v>1790</v>
      </c>
      <c r="G903" s="2" t="s">
        <v>1791</v>
      </c>
    </row>
    <row r="904" spans="1:7" ht="409.5" x14ac:dyDescent="0.25">
      <c r="A904" s="2">
        <v>903</v>
      </c>
      <c r="B904" s="2">
        <v>902</v>
      </c>
      <c r="C904" s="2">
        <v>0</v>
      </c>
      <c r="D904" s="2">
        <v>100</v>
      </c>
      <c r="E904" s="2">
        <v>0</v>
      </c>
      <c r="F904" s="2" t="s">
        <v>1792</v>
      </c>
      <c r="G904" s="2" t="s">
        <v>1793</v>
      </c>
    </row>
    <row r="905" spans="1:7" ht="120" x14ac:dyDescent="0.25">
      <c r="A905" s="2">
        <v>904</v>
      </c>
      <c r="B905" s="2">
        <v>902</v>
      </c>
      <c r="C905" s="2">
        <v>0</v>
      </c>
      <c r="D905" s="2">
        <v>100</v>
      </c>
      <c r="E905" s="2">
        <v>0</v>
      </c>
      <c r="F905" s="2" t="s">
        <v>1794</v>
      </c>
      <c r="G905" s="2" t="s">
        <v>1795</v>
      </c>
    </row>
    <row r="906" spans="1:7" ht="285" x14ac:dyDescent="0.25">
      <c r="A906" s="2">
        <v>905</v>
      </c>
      <c r="B906" s="2">
        <v>883</v>
      </c>
      <c r="C906" s="2">
        <v>0</v>
      </c>
      <c r="D906" s="2">
        <v>99.9</v>
      </c>
      <c r="E906" s="2">
        <v>0</v>
      </c>
      <c r="F906" s="2" t="s">
        <v>1796</v>
      </c>
      <c r="G906" s="2" t="s">
        <v>1797</v>
      </c>
    </row>
    <row r="907" spans="1:7" ht="270" x14ac:dyDescent="0.25">
      <c r="A907" s="2">
        <v>906</v>
      </c>
      <c r="B907" s="2">
        <v>870</v>
      </c>
      <c r="C907" s="2">
        <v>1</v>
      </c>
      <c r="D907" s="2">
        <v>98</v>
      </c>
      <c r="E907" s="2">
        <v>0</v>
      </c>
      <c r="F907" s="2" t="s">
        <v>1798</v>
      </c>
      <c r="G907" s="2" t="s">
        <v>1799</v>
      </c>
    </row>
    <row r="908" spans="1:7" ht="255" x14ac:dyDescent="0.25">
      <c r="A908" s="2">
        <v>907</v>
      </c>
      <c r="B908" s="2">
        <v>902</v>
      </c>
      <c r="C908" s="2">
        <v>0</v>
      </c>
      <c r="D908" s="2">
        <v>100</v>
      </c>
      <c r="E908" s="2">
        <v>0</v>
      </c>
      <c r="F908" s="2" t="s">
        <v>1800</v>
      </c>
      <c r="G908" s="2" t="s">
        <v>1801</v>
      </c>
    </row>
    <row r="909" spans="1:7" ht="180" x14ac:dyDescent="0.25">
      <c r="A909" s="2">
        <v>908</v>
      </c>
      <c r="B909" s="2">
        <v>902</v>
      </c>
      <c r="C909" s="2">
        <v>0</v>
      </c>
      <c r="D909" s="2">
        <v>100</v>
      </c>
      <c r="E909" s="2">
        <v>0</v>
      </c>
      <c r="F909" s="2" t="s">
        <v>1802</v>
      </c>
      <c r="G909" s="2" t="s">
        <v>1803</v>
      </c>
    </row>
    <row r="910" spans="1:7" ht="135" x14ac:dyDescent="0.25">
      <c r="A910" s="2">
        <v>909</v>
      </c>
      <c r="B910" s="2">
        <v>884</v>
      </c>
      <c r="C910" s="2">
        <v>0</v>
      </c>
      <c r="D910" s="2">
        <v>100</v>
      </c>
      <c r="E910" s="2">
        <v>0</v>
      </c>
      <c r="F910" s="2" t="s">
        <v>1804</v>
      </c>
      <c r="G910" s="2" t="s">
        <v>1805</v>
      </c>
    </row>
    <row r="911" spans="1:7" ht="210" x14ac:dyDescent="0.25">
      <c r="A911" s="2">
        <v>910</v>
      </c>
      <c r="B911" s="2">
        <v>345</v>
      </c>
      <c r="C911" s="2">
        <v>8.5</v>
      </c>
      <c r="D911" s="2">
        <v>2.2000000000000002</v>
      </c>
      <c r="E911" s="2">
        <v>78</v>
      </c>
      <c r="F911" s="2" t="s">
        <v>1806</v>
      </c>
      <c r="G911" s="2" t="s">
        <v>1807</v>
      </c>
    </row>
    <row r="912" spans="1:7" ht="135" x14ac:dyDescent="0.25">
      <c r="A912" s="2">
        <v>911</v>
      </c>
      <c r="B912" s="2">
        <v>218</v>
      </c>
      <c r="C912" s="2">
        <v>0.8</v>
      </c>
      <c r="D912" s="2">
        <v>16</v>
      </c>
      <c r="E912" s="2">
        <v>50.2</v>
      </c>
      <c r="F912" s="2" t="s">
        <v>1808</v>
      </c>
      <c r="G912" s="2" t="s">
        <v>1809</v>
      </c>
    </row>
    <row r="913" spans="1:7" ht="240" x14ac:dyDescent="0.25">
      <c r="A913" s="2">
        <v>912</v>
      </c>
      <c r="B913" s="2">
        <v>128</v>
      </c>
      <c r="C913" s="2">
        <v>8</v>
      </c>
      <c r="D913" s="2">
        <v>10</v>
      </c>
      <c r="E913" s="2">
        <v>1.3</v>
      </c>
      <c r="F913" s="2" t="s">
        <v>1810</v>
      </c>
      <c r="G913" s="2" t="s">
        <v>1811</v>
      </c>
    </row>
    <row r="914" spans="1:7" ht="285" x14ac:dyDescent="0.25">
      <c r="A914" s="2">
        <v>913</v>
      </c>
      <c r="B914" s="2">
        <v>33</v>
      </c>
      <c r="C914" s="2">
        <v>2.2999999999999998</v>
      </c>
      <c r="D914" s="2">
        <v>0.5</v>
      </c>
      <c r="E914" s="2">
        <v>4.7</v>
      </c>
      <c r="F914" s="2" t="s">
        <v>1812</v>
      </c>
      <c r="G914" s="2" t="s">
        <v>1813</v>
      </c>
    </row>
    <row r="915" spans="1:7" ht="255" x14ac:dyDescent="0.25">
      <c r="A915" s="2">
        <v>914</v>
      </c>
      <c r="B915" s="2">
        <v>330</v>
      </c>
      <c r="C915" s="2">
        <v>17.8</v>
      </c>
      <c r="D915" s="2">
        <v>23.4</v>
      </c>
      <c r="E915" s="2">
        <v>12.1</v>
      </c>
      <c r="F915" s="2" t="s">
        <v>1814</v>
      </c>
      <c r="G915" s="2" t="s">
        <v>1815</v>
      </c>
    </row>
    <row r="916" spans="1:7" ht="165" x14ac:dyDescent="0.25">
      <c r="A916" s="2">
        <v>915</v>
      </c>
      <c r="B916" s="2">
        <v>478</v>
      </c>
      <c r="C916" s="2">
        <v>38.299999999999997</v>
      </c>
      <c r="D916" s="2">
        <v>33.9</v>
      </c>
      <c r="E916" s="2">
        <v>5.0999999999999996</v>
      </c>
      <c r="F916" s="2" t="s">
        <v>1816</v>
      </c>
      <c r="G916" s="2" t="s">
        <v>351</v>
      </c>
    </row>
    <row r="917" spans="1:7" ht="315" x14ac:dyDescent="0.25">
      <c r="A917" s="2">
        <v>916</v>
      </c>
      <c r="B917" s="2">
        <v>52</v>
      </c>
      <c r="C917" s="2">
        <v>0.4</v>
      </c>
      <c r="D917" s="2">
        <v>0.2</v>
      </c>
      <c r="E917" s="2">
        <v>13.7</v>
      </c>
      <c r="F917" s="2" t="s">
        <v>1817</v>
      </c>
      <c r="G917" s="2" t="s">
        <v>1818</v>
      </c>
    </row>
    <row r="918" spans="1:7" ht="225" x14ac:dyDescent="0.25">
      <c r="A918" s="2">
        <v>917</v>
      </c>
      <c r="B918" s="2">
        <v>58</v>
      </c>
      <c r="C918" s="2">
        <v>0.7</v>
      </c>
      <c r="D918" s="2">
        <v>0.2</v>
      </c>
      <c r="E918" s="2">
        <v>13.3</v>
      </c>
      <c r="F918" s="2" t="s">
        <v>1819</v>
      </c>
      <c r="G918" s="2" t="s">
        <v>1820</v>
      </c>
    </row>
    <row r="919" spans="1:7" ht="285" x14ac:dyDescent="0.25">
      <c r="A919" s="2">
        <v>918</v>
      </c>
      <c r="B919" s="2">
        <v>165</v>
      </c>
      <c r="C919" s="2">
        <v>4.2</v>
      </c>
      <c r="D919" s="2">
        <v>0.1</v>
      </c>
      <c r="E919" s="2">
        <v>36.700000000000003</v>
      </c>
      <c r="F919" s="2" t="s">
        <v>1821</v>
      </c>
      <c r="G919" s="2" t="s">
        <v>1822</v>
      </c>
    </row>
    <row r="920" spans="1:7" ht="240" x14ac:dyDescent="0.25">
      <c r="A920" s="2">
        <v>919</v>
      </c>
      <c r="B920" s="2">
        <v>106</v>
      </c>
      <c r="C920" s="2">
        <v>1.2</v>
      </c>
      <c r="D920" s="2">
        <v>0.3</v>
      </c>
      <c r="E920" s="2">
        <v>27.6</v>
      </c>
      <c r="F920" s="2" t="s">
        <v>1823</v>
      </c>
      <c r="G920" s="2" t="s">
        <v>1824</v>
      </c>
    </row>
    <row r="921" spans="1:7" ht="180" x14ac:dyDescent="0.25">
      <c r="A921" s="2">
        <v>920</v>
      </c>
      <c r="B921" s="2">
        <v>51</v>
      </c>
      <c r="C921" s="2">
        <v>2</v>
      </c>
      <c r="D921" s="2">
        <v>0.4</v>
      </c>
      <c r="E921" s="2">
        <v>11.3</v>
      </c>
      <c r="F921" s="2" t="s">
        <v>1825</v>
      </c>
      <c r="G921" s="2" t="s">
        <v>1826</v>
      </c>
    </row>
    <row r="922" spans="1:7" ht="240" x14ac:dyDescent="0.25">
      <c r="A922" s="2">
        <v>921</v>
      </c>
      <c r="B922" s="2">
        <v>180</v>
      </c>
      <c r="C922" s="2">
        <v>3</v>
      </c>
      <c r="D922" s="2">
        <v>0.3</v>
      </c>
      <c r="E922" s="2">
        <v>39.799999999999997</v>
      </c>
      <c r="F922" s="2" t="s">
        <v>1827</v>
      </c>
      <c r="G922" s="2" t="s">
        <v>1828</v>
      </c>
    </row>
    <row r="923" spans="1:7" ht="180" x14ac:dyDescent="0.25">
      <c r="A923" s="2">
        <v>922</v>
      </c>
      <c r="B923" s="2">
        <v>149</v>
      </c>
      <c r="C923" s="2">
        <v>2.8</v>
      </c>
      <c r="D923" s="2">
        <v>0.4</v>
      </c>
      <c r="E923" s="2">
        <v>32.5</v>
      </c>
      <c r="F923" s="2" t="s">
        <v>1829</v>
      </c>
      <c r="G923" s="2" t="s">
        <v>1830</v>
      </c>
    </row>
    <row r="924" spans="1:7" ht="180" x14ac:dyDescent="0.25">
      <c r="A924" s="2">
        <v>923</v>
      </c>
      <c r="B924" s="2">
        <v>192</v>
      </c>
      <c r="C924" s="2">
        <v>3.8</v>
      </c>
      <c r="D924" s="2">
        <v>8.8000000000000007</v>
      </c>
      <c r="E924" s="2">
        <v>24.4</v>
      </c>
      <c r="F924" s="2" t="s">
        <v>1831</v>
      </c>
      <c r="G924" s="2" t="s">
        <v>1832</v>
      </c>
    </row>
    <row r="925" spans="1:7" ht="225" x14ac:dyDescent="0.25">
      <c r="A925" s="2">
        <v>924</v>
      </c>
      <c r="B925" s="2">
        <v>276</v>
      </c>
      <c r="C925" s="2">
        <v>3.2</v>
      </c>
      <c r="D925" s="2">
        <v>3.2</v>
      </c>
      <c r="E925" s="2">
        <v>30.2</v>
      </c>
      <c r="F925" s="2" t="s">
        <v>1833</v>
      </c>
      <c r="G925" s="2" t="s">
        <v>1834</v>
      </c>
    </row>
    <row r="926" spans="1:7" ht="165" x14ac:dyDescent="0.25">
      <c r="A926" s="2">
        <v>925</v>
      </c>
      <c r="B926" s="2">
        <v>190</v>
      </c>
      <c r="C926" s="2">
        <v>4.7</v>
      </c>
      <c r="D926" s="2">
        <v>7.5</v>
      </c>
      <c r="E926" s="2">
        <v>26</v>
      </c>
      <c r="F926" s="2" t="s">
        <v>1835</v>
      </c>
      <c r="G926" s="2" t="s">
        <v>1836</v>
      </c>
    </row>
    <row r="927" spans="1:7" ht="210" x14ac:dyDescent="0.25">
      <c r="A927" s="2">
        <v>926</v>
      </c>
      <c r="B927" s="2">
        <v>357</v>
      </c>
      <c r="C927" s="2">
        <v>8.8000000000000007</v>
      </c>
      <c r="D927" s="2">
        <v>0.5</v>
      </c>
      <c r="E927" s="2">
        <v>79.5</v>
      </c>
      <c r="F927" s="2" t="s">
        <v>1837</v>
      </c>
      <c r="G927" s="2" t="s">
        <v>1838</v>
      </c>
    </row>
    <row r="928" spans="1:7" ht="165" x14ac:dyDescent="0.25">
      <c r="A928" s="2">
        <v>927</v>
      </c>
      <c r="B928" s="2">
        <v>207</v>
      </c>
      <c r="C928" s="2">
        <v>3.5</v>
      </c>
      <c r="D928" s="2">
        <v>5</v>
      </c>
      <c r="E928" s="2">
        <v>37.1</v>
      </c>
      <c r="F928" s="2" t="s">
        <v>1839</v>
      </c>
      <c r="G928" s="2" t="s">
        <v>1840</v>
      </c>
    </row>
    <row r="929" spans="1:7" ht="195" x14ac:dyDescent="0.25">
      <c r="A929" s="2">
        <v>928</v>
      </c>
      <c r="B929" s="2">
        <v>155</v>
      </c>
      <c r="C929" s="2">
        <v>10.3</v>
      </c>
      <c r="D929" s="2">
        <v>4.2</v>
      </c>
      <c r="E929" s="2">
        <v>19.100000000000001</v>
      </c>
      <c r="F929" s="2" t="s">
        <v>1841</v>
      </c>
      <c r="G929" s="2" t="s">
        <v>1842</v>
      </c>
    </row>
    <row r="930" spans="1:7" ht="240" x14ac:dyDescent="0.25">
      <c r="A930" s="2">
        <v>929</v>
      </c>
      <c r="B930" s="2">
        <v>120</v>
      </c>
      <c r="C930" s="2">
        <v>2.4</v>
      </c>
      <c r="D930" s="2">
        <v>0.4</v>
      </c>
      <c r="E930" s="2">
        <v>26</v>
      </c>
      <c r="F930" s="2" t="s">
        <v>1843</v>
      </c>
      <c r="G930" s="2" t="s">
        <v>1844</v>
      </c>
    </row>
    <row r="931" spans="1:7" ht="330" x14ac:dyDescent="0.25">
      <c r="A931" s="2">
        <v>930</v>
      </c>
      <c r="B931" s="2">
        <v>253.3</v>
      </c>
      <c r="C931" s="2">
        <v>4.3</v>
      </c>
      <c r="D931" s="2">
        <v>21</v>
      </c>
      <c r="E931" s="2">
        <v>11.7</v>
      </c>
      <c r="F931" s="2" t="s">
        <v>1845</v>
      </c>
      <c r="G931" s="2" t="s">
        <v>1846</v>
      </c>
    </row>
    <row r="932" spans="1:7" ht="135" x14ac:dyDescent="0.25">
      <c r="A932" s="2">
        <v>931</v>
      </c>
      <c r="B932" s="2">
        <v>196</v>
      </c>
      <c r="C932" s="2">
        <v>14.5</v>
      </c>
      <c r="D932" s="2">
        <v>8.3000000000000007</v>
      </c>
      <c r="E932" s="2">
        <v>15.9</v>
      </c>
      <c r="F932" s="2" t="s">
        <v>1847</v>
      </c>
      <c r="G932" s="2" t="s">
        <v>1848</v>
      </c>
    </row>
    <row r="933" spans="1:7" ht="120" x14ac:dyDescent="0.25">
      <c r="A933" s="2">
        <v>932</v>
      </c>
      <c r="B933" s="2">
        <v>600</v>
      </c>
      <c r="C933" s="2">
        <v>14</v>
      </c>
      <c r="D933" s="2">
        <v>41.7</v>
      </c>
      <c r="E933" s="2">
        <v>42</v>
      </c>
      <c r="F933" s="2" t="s">
        <v>1849</v>
      </c>
      <c r="G933" s="2" t="s">
        <v>1850</v>
      </c>
    </row>
    <row r="934" spans="1:7" ht="210" x14ac:dyDescent="0.25">
      <c r="A934" s="2">
        <v>933</v>
      </c>
      <c r="B934" s="2">
        <v>387</v>
      </c>
      <c r="C934" s="2">
        <v>5.3</v>
      </c>
      <c r="D934" s="2">
        <v>7.6</v>
      </c>
      <c r="E934" s="2">
        <v>74.3</v>
      </c>
      <c r="F934" s="2" t="s">
        <v>1851</v>
      </c>
      <c r="G934" s="2" t="s">
        <v>1852</v>
      </c>
    </row>
    <row r="935" spans="1:7" ht="210" x14ac:dyDescent="0.25">
      <c r="A935" s="2">
        <v>934</v>
      </c>
      <c r="B935" s="2">
        <v>9</v>
      </c>
      <c r="C935" s="2">
        <v>2.1</v>
      </c>
      <c r="D935" s="2">
        <v>6</v>
      </c>
      <c r="E935" s="2">
        <v>7.1</v>
      </c>
      <c r="F935" s="2" t="s">
        <v>1853</v>
      </c>
      <c r="G935" s="2" t="s">
        <v>1854</v>
      </c>
    </row>
    <row r="936" spans="1:7" ht="240" x14ac:dyDescent="0.25">
      <c r="A936" s="2">
        <v>935</v>
      </c>
      <c r="B936" s="2">
        <v>187</v>
      </c>
      <c r="C936" s="2">
        <v>13</v>
      </c>
      <c r="D936" s="2">
        <v>6</v>
      </c>
      <c r="E936" s="2">
        <v>22.6</v>
      </c>
      <c r="F936" s="2" t="s">
        <v>1855</v>
      </c>
      <c r="G936" s="2" t="s">
        <v>1856</v>
      </c>
    </row>
    <row r="937" spans="1:7" ht="180" x14ac:dyDescent="0.25">
      <c r="A937" s="2">
        <v>936</v>
      </c>
      <c r="B937" s="2">
        <v>376</v>
      </c>
      <c r="C937" s="2">
        <v>14.9</v>
      </c>
      <c r="D937" s="2">
        <v>6</v>
      </c>
      <c r="E937" s="2">
        <v>65.7</v>
      </c>
      <c r="F937" s="2" t="s">
        <v>1857</v>
      </c>
      <c r="G937" s="2" t="s">
        <v>1858</v>
      </c>
    </row>
    <row r="938" spans="1:7" ht="165" x14ac:dyDescent="0.25">
      <c r="A938" s="2">
        <v>937</v>
      </c>
      <c r="B938" s="2">
        <v>363.3</v>
      </c>
      <c r="C938" s="2">
        <v>19.3</v>
      </c>
      <c r="D938" s="2">
        <v>19.3</v>
      </c>
      <c r="E938" s="2">
        <v>40.299999999999997</v>
      </c>
      <c r="F938" s="2" t="s">
        <v>1859</v>
      </c>
      <c r="G938" s="2" t="s">
        <v>1860</v>
      </c>
    </row>
    <row r="939" spans="1:7" ht="270" x14ac:dyDescent="0.25">
      <c r="A939" s="2">
        <v>938</v>
      </c>
      <c r="B939" s="2">
        <v>284</v>
      </c>
      <c r="C939" s="2">
        <v>12</v>
      </c>
      <c r="D939" s="2">
        <v>14.4</v>
      </c>
      <c r="E939" s="2">
        <v>13.6</v>
      </c>
      <c r="F939" s="2" t="s">
        <v>1861</v>
      </c>
      <c r="G939" s="2" t="s">
        <v>1862</v>
      </c>
    </row>
    <row r="940" spans="1:7" ht="165" x14ac:dyDescent="0.25">
      <c r="A940" s="2">
        <v>939</v>
      </c>
      <c r="B940" s="2">
        <v>306.7</v>
      </c>
      <c r="C940" s="2">
        <v>9</v>
      </c>
      <c r="D940" s="2">
        <v>18</v>
      </c>
      <c r="E940" s="2">
        <v>27</v>
      </c>
      <c r="F940" s="2" t="s">
        <v>1863</v>
      </c>
      <c r="G940" s="2" t="s">
        <v>1864</v>
      </c>
    </row>
    <row r="941" spans="1:7" ht="135" x14ac:dyDescent="0.25">
      <c r="A941" s="2">
        <v>940</v>
      </c>
      <c r="B941" s="2">
        <v>351</v>
      </c>
      <c r="C941" s="2">
        <v>11</v>
      </c>
      <c r="D941" s="2">
        <v>5.3</v>
      </c>
      <c r="E941" s="2">
        <v>65.900000000000006</v>
      </c>
      <c r="F941" s="2" t="s">
        <v>1865</v>
      </c>
      <c r="G941" s="2" t="s">
        <v>1866</v>
      </c>
    </row>
    <row r="942" spans="1:7" ht="150" x14ac:dyDescent="0.25">
      <c r="A942" s="2">
        <v>941</v>
      </c>
      <c r="B942" s="2">
        <v>132</v>
      </c>
      <c r="C942" s="2">
        <v>12.7</v>
      </c>
      <c r="D942" s="2">
        <v>3.8</v>
      </c>
      <c r="E942" s="2">
        <v>13.7</v>
      </c>
      <c r="F942" s="2" t="s">
        <v>1867</v>
      </c>
      <c r="G942" s="2" t="s">
        <v>1868</v>
      </c>
    </row>
    <row r="943" spans="1:7" ht="225" x14ac:dyDescent="0.25">
      <c r="A943" s="2">
        <v>942</v>
      </c>
      <c r="B943" s="2">
        <v>187</v>
      </c>
      <c r="C943" s="2">
        <v>13</v>
      </c>
      <c r="D943" s="2">
        <v>6</v>
      </c>
      <c r="E943" s="2">
        <v>22.6</v>
      </c>
      <c r="F943" s="2" t="s">
        <v>1869</v>
      </c>
      <c r="G943" s="2" t="s">
        <v>1870</v>
      </c>
    </row>
    <row r="944" spans="1:7" ht="225" x14ac:dyDescent="0.25">
      <c r="A944" s="2">
        <v>943</v>
      </c>
      <c r="B944" s="2">
        <v>368</v>
      </c>
      <c r="C944" s="2">
        <v>6.8</v>
      </c>
      <c r="D944" s="2">
        <v>32</v>
      </c>
      <c r="E944" s="2">
        <v>13.2</v>
      </c>
      <c r="F944" s="2" t="s">
        <v>1871</v>
      </c>
      <c r="G944" s="2" t="s">
        <v>1870</v>
      </c>
    </row>
    <row r="945" spans="1:7" ht="135" x14ac:dyDescent="0.25">
      <c r="A945" s="2">
        <v>944</v>
      </c>
      <c r="B945" s="2">
        <v>320</v>
      </c>
      <c r="C945" s="2">
        <v>7.3</v>
      </c>
      <c r="D945" s="2">
        <v>18.7</v>
      </c>
      <c r="E945" s="2">
        <v>31</v>
      </c>
      <c r="F945" s="2" t="s">
        <v>1872</v>
      </c>
      <c r="G945" s="2" t="s">
        <v>1873</v>
      </c>
    </row>
    <row r="946" spans="1:7" ht="315" x14ac:dyDescent="0.25">
      <c r="A946" s="2">
        <v>945</v>
      </c>
      <c r="B946" s="2">
        <v>40</v>
      </c>
      <c r="C946" s="2">
        <v>2</v>
      </c>
      <c r="D946" s="2">
        <v>2</v>
      </c>
      <c r="E946" s="2">
        <v>3</v>
      </c>
      <c r="F946" s="2" t="s">
        <v>1874</v>
      </c>
      <c r="G946" s="2" t="s">
        <v>1875</v>
      </c>
    </row>
    <row r="947" spans="1:7" ht="180" x14ac:dyDescent="0.25">
      <c r="A947" s="2">
        <v>946</v>
      </c>
      <c r="B947" s="2">
        <v>76</v>
      </c>
      <c r="C947" s="2">
        <v>5.2</v>
      </c>
      <c r="D947" s="2">
        <v>1.8</v>
      </c>
      <c r="E947" s="2">
        <v>10.6</v>
      </c>
      <c r="F947" s="2" t="s">
        <v>1876</v>
      </c>
      <c r="G947" s="2" t="s">
        <v>1877</v>
      </c>
    </row>
    <row r="948" spans="1:7" ht="165" x14ac:dyDescent="0.25">
      <c r="A948" s="2">
        <v>947</v>
      </c>
      <c r="B948" s="2">
        <v>288.60000000000002</v>
      </c>
      <c r="C948" s="2">
        <v>8.3000000000000007</v>
      </c>
      <c r="D948" s="2">
        <v>8.9</v>
      </c>
      <c r="E948" s="2">
        <v>44.3</v>
      </c>
      <c r="F948" s="2" t="s">
        <v>1878</v>
      </c>
      <c r="G948" s="2" t="s">
        <v>1879</v>
      </c>
    </row>
    <row r="949" spans="1:7" ht="165" x14ac:dyDescent="0.25">
      <c r="A949" s="2">
        <v>948</v>
      </c>
      <c r="B949" s="2">
        <v>115</v>
      </c>
      <c r="C949" s="2">
        <v>1.5</v>
      </c>
      <c r="D949" s="2">
        <v>6</v>
      </c>
      <c r="E949" s="2">
        <v>14</v>
      </c>
      <c r="F949" s="2" t="s">
        <v>1880</v>
      </c>
      <c r="G949" s="2" t="s">
        <v>1881</v>
      </c>
    </row>
    <row r="950" spans="1:7" ht="240" x14ac:dyDescent="0.25">
      <c r="A950" s="2">
        <v>949</v>
      </c>
      <c r="B950" s="2">
        <v>111</v>
      </c>
      <c r="C950" s="2">
        <v>0.3</v>
      </c>
      <c r="D950" s="2">
        <v>2.7</v>
      </c>
      <c r="E950" s="2">
        <v>21.2</v>
      </c>
      <c r="F950" s="2" t="s">
        <v>1882</v>
      </c>
      <c r="G950" s="2" t="s">
        <v>1883</v>
      </c>
    </row>
    <row r="951" spans="1:7" ht="120" x14ac:dyDescent="0.25">
      <c r="A951" s="2">
        <v>950</v>
      </c>
      <c r="B951" s="2">
        <v>940</v>
      </c>
      <c r="C951" s="2">
        <v>36</v>
      </c>
      <c r="D951" s="2">
        <v>42</v>
      </c>
      <c r="E951" s="2">
        <v>104</v>
      </c>
      <c r="F951" s="2" t="s">
        <v>1884</v>
      </c>
      <c r="G951" s="2" t="s">
        <v>1885</v>
      </c>
    </row>
    <row r="952" spans="1:7" ht="165" x14ac:dyDescent="0.25">
      <c r="A952" s="2">
        <v>951</v>
      </c>
      <c r="B952" s="2">
        <v>117</v>
      </c>
      <c r="C952" s="2">
        <v>13.7</v>
      </c>
      <c r="D952" s="2">
        <v>5</v>
      </c>
      <c r="E952" s="2">
        <v>4.3</v>
      </c>
      <c r="F952" s="2" t="s">
        <v>1886</v>
      </c>
      <c r="G952" s="2" t="s">
        <v>351</v>
      </c>
    </row>
    <row r="953" spans="1:7" ht="240" x14ac:dyDescent="0.25">
      <c r="A953" s="2">
        <v>952</v>
      </c>
      <c r="B953" s="2">
        <v>125</v>
      </c>
      <c r="C953" s="2">
        <v>10.4</v>
      </c>
      <c r="D953" s="2">
        <v>8.6</v>
      </c>
      <c r="E953" s="2">
        <v>0.8</v>
      </c>
      <c r="F953" s="2" t="s">
        <v>1887</v>
      </c>
      <c r="G953" s="2" t="s">
        <v>1888</v>
      </c>
    </row>
    <row r="954" spans="1:7" ht="165" x14ac:dyDescent="0.25">
      <c r="A954" s="2">
        <v>953</v>
      </c>
      <c r="B954" s="2">
        <v>351</v>
      </c>
      <c r="C954" s="2">
        <v>0.9</v>
      </c>
      <c r="D954" s="2">
        <v>0.9</v>
      </c>
      <c r="E954" s="2">
        <v>84.9</v>
      </c>
      <c r="F954" s="2" t="s">
        <v>1889</v>
      </c>
      <c r="G954" s="2" t="s">
        <v>1890</v>
      </c>
    </row>
    <row r="955" spans="1:7" ht="165" x14ac:dyDescent="0.25">
      <c r="A955" s="2">
        <v>954</v>
      </c>
      <c r="B955" s="2">
        <v>342</v>
      </c>
      <c r="C955" s="2">
        <v>2.2999999999999998</v>
      </c>
      <c r="D955" s="2">
        <v>0.1</v>
      </c>
      <c r="E955" s="2">
        <v>83.1</v>
      </c>
      <c r="F955" s="2" t="s">
        <v>1891</v>
      </c>
      <c r="G955" s="2" t="s">
        <v>1890</v>
      </c>
    </row>
    <row r="956" spans="1:7" ht="165" x14ac:dyDescent="0.25">
      <c r="A956" s="2">
        <v>955</v>
      </c>
      <c r="B956" s="2">
        <v>77</v>
      </c>
      <c r="C956" s="2">
        <v>3.5</v>
      </c>
      <c r="D956" s="2">
        <v>4.5999999999999996</v>
      </c>
      <c r="E956" s="2">
        <v>5.4</v>
      </c>
      <c r="F956" s="2" t="s">
        <v>1892</v>
      </c>
      <c r="G956" s="2" t="s">
        <v>351</v>
      </c>
    </row>
    <row r="957" spans="1:7" ht="300" x14ac:dyDescent="0.25">
      <c r="A957" s="2">
        <v>956</v>
      </c>
      <c r="B957" s="2">
        <v>494</v>
      </c>
      <c r="C957" s="2">
        <v>7.5</v>
      </c>
      <c r="D957" s="2">
        <v>36.4</v>
      </c>
      <c r="E957" s="2">
        <v>40.1</v>
      </c>
      <c r="F957" s="2" t="s">
        <v>1893</v>
      </c>
      <c r="G957" s="2" t="s">
        <v>1894</v>
      </c>
    </row>
    <row r="958" spans="1:7" ht="240" x14ac:dyDescent="0.25">
      <c r="A958" s="2">
        <v>957</v>
      </c>
      <c r="B958" s="2">
        <v>42</v>
      </c>
      <c r="C958" s="2">
        <v>0.3</v>
      </c>
      <c r="D958" s="2">
        <v>0.2</v>
      </c>
      <c r="E958" s="2">
        <v>10.9</v>
      </c>
      <c r="F958" s="2" t="s">
        <v>1895</v>
      </c>
      <c r="G958" s="2" t="s">
        <v>1896</v>
      </c>
    </row>
    <row r="959" spans="1:7" ht="270" x14ac:dyDescent="0.25">
      <c r="A959" s="2">
        <v>958</v>
      </c>
      <c r="B959" s="2">
        <v>460</v>
      </c>
      <c r="C959" s="2">
        <v>28.5</v>
      </c>
      <c r="D959" s="2">
        <v>35.200000000000003</v>
      </c>
      <c r="E959" s="2">
        <v>7.2</v>
      </c>
      <c r="F959" s="2" t="s">
        <v>1897</v>
      </c>
      <c r="G959" s="2" t="s">
        <v>1898</v>
      </c>
    </row>
    <row r="960" spans="1:7" ht="210" x14ac:dyDescent="0.25">
      <c r="A960" s="2">
        <v>959</v>
      </c>
      <c r="B960" s="2">
        <v>133.80000000000001</v>
      </c>
      <c r="C960" s="2">
        <v>3</v>
      </c>
      <c r="D960" s="2">
        <v>1.6</v>
      </c>
      <c r="E960" s="2">
        <v>27</v>
      </c>
      <c r="F960" s="2" t="s">
        <v>1899</v>
      </c>
      <c r="G960" s="2" t="s">
        <v>1900</v>
      </c>
    </row>
    <row r="961" spans="1:7" ht="330" x14ac:dyDescent="0.25">
      <c r="A961" s="2">
        <v>960</v>
      </c>
      <c r="B961" s="2">
        <v>61</v>
      </c>
      <c r="C961" s="2">
        <v>0.2</v>
      </c>
      <c r="D961" s="2">
        <v>0.1</v>
      </c>
      <c r="E961" s="2">
        <v>14.9</v>
      </c>
      <c r="F961" s="2" t="s">
        <v>1901</v>
      </c>
      <c r="G961" s="2" t="s">
        <v>1902</v>
      </c>
    </row>
    <row r="962" spans="1:7" ht="360" x14ac:dyDescent="0.25">
      <c r="A962" s="2">
        <v>961</v>
      </c>
      <c r="B962" s="2">
        <v>87</v>
      </c>
      <c r="C962" s="2">
        <v>10.5</v>
      </c>
      <c r="D962" s="2">
        <v>2.5</v>
      </c>
      <c r="E962" s="2">
        <v>5.5</v>
      </c>
      <c r="F962" s="2" t="s">
        <v>1903</v>
      </c>
      <c r="G962" s="2" t="s">
        <v>1904</v>
      </c>
    </row>
    <row r="963" spans="1:7" ht="409.5" x14ac:dyDescent="0.25">
      <c r="A963" s="2">
        <v>962</v>
      </c>
      <c r="B963" s="2">
        <v>29</v>
      </c>
      <c r="C963" s="2">
        <v>1.1000000000000001</v>
      </c>
      <c r="D963" s="2">
        <v>0.3</v>
      </c>
      <c r="E963" s="2">
        <v>6.6</v>
      </c>
      <c r="F963" s="2" t="s">
        <v>1905</v>
      </c>
      <c r="G963" s="2" t="s">
        <v>1906</v>
      </c>
    </row>
    <row r="964" spans="1:7" ht="285" x14ac:dyDescent="0.25">
      <c r="A964" s="2">
        <v>963</v>
      </c>
      <c r="B964" s="2">
        <v>16</v>
      </c>
      <c r="C964" s="2">
        <v>0.8</v>
      </c>
      <c r="D964" s="2">
        <v>0.2</v>
      </c>
      <c r="E964" s="2">
        <v>3.4</v>
      </c>
      <c r="F964" s="2" t="s">
        <v>1907</v>
      </c>
      <c r="G964" s="2" t="s">
        <v>1908</v>
      </c>
    </row>
    <row r="965" spans="1:7" ht="285" x14ac:dyDescent="0.25">
      <c r="A965" s="2">
        <v>964</v>
      </c>
      <c r="B965" s="2">
        <v>19</v>
      </c>
      <c r="C965" s="2">
        <v>1</v>
      </c>
      <c r="D965" s="2">
        <v>0.4</v>
      </c>
      <c r="E965" s="2">
        <v>3.6</v>
      </c>
      <c r="F965" s="2" t="s">
        <v>1909</v>
      </c>
      <c r="G965" s="2" t="s">
        <v>1910</v>
      </c>
    </row>
    <row r="966" spans="1:7" ht="150" x14ac:dyDescent="0.25">
      <c r="A966" s="2">
        <v>965</v>
      </c>
      <c r="B966" s="2">
        <v>307</v>
      </c>
      <c r="C966" s="2">
        <v>4.5</v>
      </c>
      <c r="D966" s="2">
        <v>13.3</v>
      </c>
      <c r="E966" s="2">
        <v>42.4</v>
      </c>
      <c r="F966" s="2" t="s">
        <v>1911</v>
      </c>
      <c r="G966" s="2" t="s">
        <v>1912</v>
      </c>
    </row>
    <row r="967" spans="1:7" ht="345" x14ac:dyDescent="0.25">
      <c r="A967" s="2">
        <v>966</v>
      </c>
      <c r="B967" s="2">
        <v>362</v>
      </c>
      <c r="C967" s="2">
        <v>0.5</v>
      </c>
      <c r="D967" s="2">
        <v>0.3</v>
      </c>
      <c r="E967" s="2">
        <v>86.9</v>
      </c>
      <c r="F967" s="2" t="s">
        <v>1913</v>
      </c>
      <c r="G967" s="2" t="s">
        <v>1914</v>
      </c>
    </row>
    <row r="968" spans="1:7" ht="255" x14ac:dyDescent="0.25">
      <c r="A968" s="2">
        <v>967</v>
      </c>
      <c r="B968" s="2">
        <v>23</v>
      </c>
      <c r="C968" s="2">
        <v>1.8</v>
      </c>
      <c r="D968" s="2">
        <v>0.3</v>
      </c>
      <c r="E968" s="2">
        <v>4.5</v>
      </c>
      <c r="F968" s="2" t="s">
        <v>1915</v>
      </c>
      <c r="G968" s="2" t="s">
        <v>1916</v>
      </c>
    </row>
    <row r="969" spans="1:7" ht="135" x14ac:dyDescent="0.25">
      <c r="A969" s="2">
        <v>968</v>
      </c>
      <c r="B969" s="2">
        <v>156</v>
      </c>
      <c r="C969" s="2">
        <v>28</v>
      </c>
      <c r="D969" s="2">
        <v>4</v>
      </c>
      <c r="E969" s="2">
        <v>0</v>
      </c>
      <c r="F969" s="2" t="s">
        <v>1917</v>
      </c>
      <c r="G969" s="2" t="s">
        <v>1918</v>
      </c>
    </row>
    <row r="970" spans="1:7" ht="225" x14ac:dyDescent="0.25">
      <c r="A970" s="2">
        <v>969</v>
      </c>
      <c r="B970" s="2">
        <v>75</v>
      </c>
      <c r="C970" s="2">
        <v>2.5</v>
      </c>
      <c r="D970" s="2">
        <v>2.8</v>
      </c>
      <c r="E970" s="2">
        <v>10</v>
      </c>
      <c r="F970" s="2" t="s">
        <v>1919</v>
      </c>
      <c r="G970" s="2" t="s">
        <v>1920</v>
      </c>
    </row>
    <row r="971" spans="1:7" ht="180" x14ac:dyDescent="0.25">
      <c r="A971" s="2">
        <v>970</v>
      </c>
      <c r="B971" s="2">
        <v>219</v>
      </c>
      <c r="C971" s="2">
        <v>19.7</v>
      </c>
      <c r="D971" s="2">
        <v>13.6</v>
      </c>
      <c r="E971" s="2">
        <v>4.4000000000000004</v>
      </c>
      <c r="F971" s="2" t="s">
        <v>1921</v>
      </c>
      <c r="G971" s="2" t="s">
        <v>1922</v>
      </c>
    </row>
    <row r="972" spans="1:7" ht="240" x14ac:dyDescent="0.25">
      <c r="A972" s="2">
        <v>971</v>
      </c>
      <c r="B972" s="2">
        <v>162</v>
      </c>
      <c r="C972" s="2">
        <v>4.9000000000000004</v>
      </c>
      <c r="D972" s="2">
        <v>3</v>
      </c>
      <c r="E972" s="2">
        <v>27.8</v>
      </c>
      <c r="F972" s="2" t="s">
        <v>1923</v>
      </c>
      <c r="G972" s="2" t="s">
        <v>1924</v>
      </c>
    </row>
    <row r="973" spans="1:7" ht="210" x14ac:dyDescent="0.25">
      <c r="A973" s="2">
        <v>972</v>
      </c>
      <c r="B973" s="2">
        <v>156</v>
      </c>
      <c r="C973" s="2">
        <v>4.2</v>
      </c>
      <c r="D973" s="2">
        <v>1.4</v>
      </c>
      <c r="E973" s="2">
        <v>31.6</v>
      </c>
      <c r="F973" s="2" t="s">
        <v>1925</v>
      </c>
      <c r="G973" s="2" t="s">
        <v>1926</v>
      </c>
    </row>
    <row r="974" spans="1:7" ht="135" x14ac:dyDescent="0.25">
      <c r="A974" s="2">
        <v>973</v>
      </c>
      <c r="B974" s="2">
        <v>152</v>
      </c>
      <c r="C974" s="2">
        <v>4.5</v>
      </c>
      <c r="D974" s="2">
        <v>2.2999999999999998</v>
      </c>
      <c r="E974" s="2">
        <v>28.2</v>
      </c>
      <c r="F974" s="2" t="s">
        <v>1927</v>
      </c>
      <c r="G974" s="2" t="s">
        <v>1928</v>
      </c>
    </row>
    <row r="975" spans="1:7" ht="180" x14ac:dyDescent="0.25">
      <c r="A975" s="2">
        <v>974</v>
      </c>
      <c r="B975" s="2">
        <v>211</v>
      </c>
      <c r="C975" s="2">
        <v>12.3</v>
      </c>
      <c r="D975" s="2">
        <v>6.1</v>
      </c>
      <c r="E975" s="2">
        <v>26.6</v>
      </c>
      <c r="F975" s="2" t="s">
        <v>1929</v>
      </c>
      <c r="G975" s="2" t="s">
        <v>1930</v>
      </c>
    </row>
    <row r="976" spans="1:7" ht="330" x14ac:dyDescent="0.25">
      <c r="A976" s="2">
        <v>975</v>
      </c>
      <c r="B976" s="2">
        <v>243</v>
      </c>
      <c r="C976" s="2">
        <v>5.2</v>
      </c>
      <c r="D976" s="2">
        <v>7.3</v>
      </c>
      <c r="E976" s="2">
        <v>39.1</v>
      </c>
      <c r="F976" s="2" t="s">
        <v>1931</v>
      </c>
      <c r="G976" s="2" t="s">
        <v>1932</v>
      </c>
    </row>
    <row r="977" spans="1:7" ht="210" x14ac:dyDescent="0.25">
      <c r="A977" s="2">
        <v>976</v>
      </c>
      <c r="B977" s="2">
        <v>173</v>
      </c>
      <c r="C977" s="2">
        <v>7.2</v>
      </c>
      <c r="D977" s="2">
        <v>1.2</v>
      </c>
      <c r="E977" s="2">
        <v>33.4</v>
      </c>
      <c r="F977" s="2" t="s">
        <v>1933</v>
      </c>
      <c r="G977" s="2" t="s">
        <v>1934</v>
      </c>
    </row>
    <row r="978" spans="1:7" ht="210" x14ac:dyDescent="0.25">
      <c r="A978" s="2">
        <v>977</v>
      </c>
      <c r="B978" s="2">
        <v>372</v>
      </c>
      <c r="C978" s="2">
        <v>7.8</v>
      </c>
      <c r="D978" s="2">
        <v>36.299999999999997</v>
      </c>
      <c r="E978" s="2">
        <v>3.5</v>
      </c>
      <c r="F978" s="2" t="s">
        <v>1935</v>
      </c>
      <c r="G978" s="2" t="s">
        <v>1936</v>
      </c>
    </row>
    <row r="979" spans="1:7" ht="195" x14ac:dyDescent="0.25">
      <c r="A979" s="2">
        <v>978</v>
      </c>
      <c r="B979" s="2">
        <v>174</v>
      </c>
      <c r="C979" s="2">
        <v>13.1</v>
      </c>
      <c r="D979" s="2">
        <v>12.2</v>
      </c>
      <c r="E979" s="2">
        <v>2.2000000000000002</v>
      </c>
      <c r="F979" s="2" t="s">
        <v>1937</v>
      </c>
      <c r="G979" s="2" t="s">
        <v>1938</v>
      </c>
    </row>
    <row r="980" spans="1:7" ht="120" x14ac:dyDescent="0.25">
      <c r="A980" s="2">
        <v>979</v>
      </c>
      <c r="B980" s="2">
        <v>19</v>
      </c>
      <c r="C980" s="2">
        <v>0.6</v>
      </c>
      <c r="D980" s="2">
        <v>0.1</v>
      </c>
      <c r="E980" s="2">
        <v>3.9</v>
      </c>
      <c r="F980" s="2" t="s">
        <v>1939</v>
      </c>
      <c r="G980" s="2" t="s">
        <v>1940</v>
      </c>
    </row>
    <row r="981" spans="1:7" ht="240" x14ac:dyDescent="0.25">
      <c r="A981" s="2">
        <v>980</v>
      </c>
      <c r="B981" s="2">
        <v>275</v>
      </c>
      <c r="C981" s="2">
        <v>11.6</v>
      </c>
      <c r="D981" s="2">
        <v>11.6</v>
      </c>
      <c r="E981" s="2">
        <v>30.2</v>
      </c>
      <c r="F981" s="2" t="s">
        <v>1941</v>
      </c>
      <c r="G981" s="2" t="s">
        <v>1942</v>
      </c>
    </row>
    <row r="982" spans="1:7" ht="135" x14ac:dyDescent="0.25">
      <c r="A982" s="2">
        <v>981</v>
      </c>
      <c r="B982" s="2">
        <v>26</v>
      </c>
      <c r="C982" s="2">
        <v>2.1</v>
      </c>
      <c r="D982" s="2">
        <v>0.1</v>
      </c>
      <c r="E982" s="2">
        <v>4.9000000000000004</v>
      </c>
      <c r="F982" s="2" t="s">
        <v>1943</v>
      </c>
      <c r="G982" s="2" t="s">
        <v>1944</v>
      </c>
    </row>
    <row r="983" spans="1:7" ht="240" x14ac:dyDescent="0.25">
      <c r="A983" s="2">
        <v>982</v>
      </c>
      <c r="B983" s="2">
        <v>46</v>
      </c>
      <c r="C983" s="2">
        <v>0.5</v>
      </c>
      <c r="D983" s="2">
        <v>12</v>
      </c>
      <c r="E983" s="2">
        <v>12.2</v>
      </c>
      <c r="F983" s="2" t="s">
        <v>1945</v>
      </c>
      <c r="G983" s="2" t="s">
        <v>1946</v>
      </c>
    </row>
    <row r="984" spans="1:7" ht="135" x14ac:dyDescent="0.25">
      <c r="A984" s="2">
        <v>983</v>
      </c>
      <c r="B984" s="2">
        <v>76</v>
      </c>
      <c r="C984" s="2">
        <v>5.2</v>
      </c>
      <c r="D984" s="2">
        <v>1.8</v>
      </c>
      <c r="E984" s="2">
        <v>10.6</v>
      </c>
      <c r="F984" s="2" t="s">
        <v>1947</v>
      </c>
      <c r="G984" s="2" t="s">
        <v>1948</v>
      </c>
    </row>
    <row r="985" spans="1:7" ht="409.5" x14ac:dyDescent="0.25">
      <c r="A985" s="2">
        <v>984</v>
      </c>
      <c r="B985" s="2">
        <v>400</v>
      </c>
      <c r="C985" s="2">
        <v>0</v>
      </c>
      <c r="D985" s="2">
        <v>0</v>
      </c>
      <c r="E985" s="2">
        <v>95</v>
      </c>
      <c r="F985" s="2" t="s">
        <v>1949</v>
      </c>
      <c r="G985" s="2" t="s">
        <v>1950</v>
      </c>
    </row>
    <row r="986" spans="1:7" ht="225" x14ac:dyDescent="0.25">
      <c r="A986" s="2">
        <v>985</v>
      </c>
      <c r="B986" s="2">
        <v>142</v>
      </c>
      <c r="C986" s="2">
        <v>10.4</v>
      </c>
      <c r="D986" s="2">
        <v>2</v>
      </c>
      <c r="E986" s="2">
        <v>22</v>
      </c>
      <c r="F986" s="2" t="s">
        <v>1951</v>
      </c>
      <c r="G986" s="2" t="s">
        <v>1952</v>
      </c>
    </row>
    <row r="987" spans="1:7" ht="240" x14ac:dyDescent="0.25">
      <c r="A987" s="2">
        <v>986</v>
      </c>
      <c r="B987" s="2">
        <v>50</v>
      </c>
      <c r="C987" s="2">
        <v>3.7</v>
      </c>
      <c r="D987" s="2">
        <v>1</v>
      </c>
      <c r="E987" s="2">
        <v>9</v>
      </c>
      <c r="F987" s="2" t="s">
        <v>1953</v>
      </c>
      <c r="G987" s="2" t="s">
        <v>1954</v>
      </c>
    </row>
    <row r="988" spans="1:7" ht="225" x14ac:dyDescent="0.25">
      <c r="A988" s="2">
        <v>987</v>
      </c>
      <c r="B988" s="2">
        <v>161</v>
      </c>
      <c r="C988" s="2">
        <v>20</v>
      </c>
      <c r="D988" s="2">
        <v>0.2</v>
      </c>
      <c r="E988" s="2">
        <v>24</v>
      </c>
      <c r="F988" s="2" t="s">
        <v>1955</v>
      </c>
      <c r="G988" s="2" t="s">
        <v>1956</v>
      </c>
    </row>
    <row r="989" spans="1:7" ht="210" x14ac:dyDescent="0.25">
      <c r="A989" s="2">
        <v>988</v>
      </c>
      <c r="B989" s="2">
        <v>220</v>
      </c>
      <c r="C989" s="2">
        <v>15</v>
      </c>
      <c r="D989" s="2">
        <v>0.1</v>
      </c>
      <c r="E989" s="2">
        <v>40</v>
      </c>
      <c r="F989" s="2" t="s">
        <v>1957</v>
      </c>
      <c r="G989" s="2" t="s">
        <v>1958</v>
      </c>
    </row>
    <row r="990" spans="1:7" ht="195" x14ac:dyDescent="0.25">
      <c r="A990" s="2">
        <v>989</v>
      </c>
      <c r="B990" s="2">
        <v>345</v>
      </c>
      <c r="C990" s="2">
        <v>23.8</v>
      </c>
      <c r="D990" s="2">
        <v>1.4</v>
      </c>
      <c r="E990" s="2">
        <v>59.3</v>
      </c>
      <c r="F990" s="2" t="s">
        <v>1959</v>
      </c>
      <c r="G990" s="2" t="s">
        <v>1960</v>
      </c>
    </row>
    <row r="991" spans="1:7" ht="120" x14ac:dyDescent="0.25">
      <c r="A991" s="2">
        <v>990</v>
      </c>
      <c r="B991" s="2">
        <v>220</v>
      </c>
      <c r="C991" s="2">
        <v>15</v>
      </c>
      <c r="D991" s="2">
        <v>0.9</v>
      </c>
      <c r="E991" s="2">
        <v>38</v>
      </c>
      <c r="F991" s="2" t="s">
        <v>1961</v>
      </c>
      <c r="G991" s="2" t="s">
        <v>1962</v>
      </c>
    </row>
    <row r="992" spans="1:7" ht="240" x14ac:dyDescent="0.25">
      <c r="A992" s="2">
        <v>991</v>
      </c>
      <c r="B992" s="2">
        <v>514</v>
      </c>
      <c r="C992" s="2">
        <v>1</v>
      </c>
      <c r="D992" s="2">
        <v>27.8</v>
      </c>
      <c r="E992" s="2">
        <v>647</v>
      </c>
      <c r="F992" s="2" t="s">
        <v>1963</v>
      </c>
      <c r="G992" s="2" t="s">
        <v>1964</v>
      </c>
    </row>
    <row r="993" spans="1:7" ht="180" x14ac:dyDescent="0.25">
      <c r="A993" s="2">
        <v>992</v>
      </c>
      <c r="B993" s="2">
        <v>107</v>
      </c>
      <c r="C993" s="2">
        <v>15.9</v>
      </c>
      <c r="D993" s="2">
        <v>0.6</v>
      </c>
      <c r="E993" s="2">
        <v>0.4</v>
      </c>
      <c r="F993" s="2" t="s">
        <v>1965</v>
      </c>
      <c r="G993" s="2" t="s">
        <v>1966</v>
      </c>
    </row>
    <row r="994" spans="1:7" ht="270" x14ac:dyDescent="0.25">
      <c r="A994" s="2">
        <v>993</v>
      </c>
      <c r="B994" s="2">
        <v>157</v>
      </c>
      <c r="C994" s="2">
        <v>28</v>
      </c>
      <c r="D994" s="2">
        <v>4.2</v>
      </c>
      <c r="E994" s="2">
        <v>0</v>
      </c>
      <c r="F994" s="2" t="s">
        <v>1967</v>
      </c>
      <c r="G994" s="2" t="s">
        <v>1968</v>
      </c>
    </row>
    <row r="995" spans="1:7" ht="270" x14ac:dyDescent="0.25">
      <c r="A995" s="2">
        <v>994</v>
      </c>
      <c r="B995" s="2">
        <v>170</v>
      </c>
      <c r="C995" s="2">
        <v>31</v>
      </c>
      <c r="D995" s="2">
        <v>4.2</v>
      </c>
      <c r="E995" s="2">
        <v>0</v>
      </c>
      <c r="F995" s="2" t="s">
        <v>1969</v>
      </c>
      <c r="G995" s="2" t="s">
        <v>1970</v>
      </c>
    </row>
    <row r="996" spans="1:7" ht="150" x14ac:dyDescent="0.25">
      <c r="A996" s="2">
        <v>995</v>
      </c>
      <c r="B996" s="2">
        <v>153</v>
      </c>
      <c r="C996" s="2">
        <v>30</v>
      </c>
      <c r="D996" s="2">
        <v>2.8</v>
      </c>
      <c r="E996" s="2">
        <v>0</v>
      </c>
      <c r="F996" s="2" t="s">
        <v>1971</v>
      </c>
      <c r="G996" s="2" t="s">
        <v>1972</v>
      </c>
    </row>
    <row r="997" spans="1:7" ht="240" x14ac:dyDescent="0.25">
      <c r="A997" s="2">
        <v>996</v>
      </c>
      <c r="B997" s="2">
        <v>142</v>
      </c>
      <c r="C997" s="2">
        <v>27</v>
      </c>
      <c r="D997" s="2">
        <v>3</v>
      </c>
      <c r="E997" s="2">
        <v>0</v>
      </c>
      <c r="F997" s="2" t="s">
        <v>1973</v>
      </c>
      <c r="G997" s="2" t="s">
        <v>1974</v>
      </c>
    </row>
    <row r="998" spans="1:7" ht="105" x14ac:dyDescent="0.25">
      <c r="A998" s="2">
        <v>997</v>
      </c>
      <c r="B998" s="2">
        <v>124</v>
      </c>
      <c r="C998" s="2">
        <v>9.5</v>
      </c>
      <c r="D998" s="2">
        <v>9.6</v>
      </c>
      <c r="E998" s="2">
        <v>0</v>
      </c>
      <c r="F998" s="2" t="s">
        <v>1975</v>
      </c>
      <c r="G998" s="2" t="s">
        <v>1976</v>
      </c>
    </row>
    <row r="999" spans="1:7" ht="105" x14ac:dyDescent="0.25">
      <c r="A999" s="2">
        <v>998</v>
      </c>
      <c r="B999" s="2">
        <v>99</v>
      </c>
      <c r="C999" s="2">
        <v>1.2</v>
      </c>
      <c r="D999" s="2">
        <v>0.2</v>
      </c>
      <c r="E999" s="2">
        <v>25.8</v>
      </c>
      <c r="F999" s="2" t="s">
        <v>1977</v>
      </c>
      <c r="G999" s="2" t="s">
        <v>1978</v>
      </c>
    </row>
    <row r="1000" spans="1:7" ht="225" x14ac:dyDescent="0.25">
      <c r="A1000" s="2">
        <v>999</v>
      </c>
      <c r="B1000" s="2">
        <v>68</v>
      </c>
      <c r="C1000" s="2">
        <v>1.3</v>
      </c>
      <c r="D1000" s="2">
        <v>0.2</v>
      </c>
      <c r="E1000" s="2">
        <v>17.2</v>
      </c>
      <c r="F1000" s="2" t="s">
        <v>1979</v>
      </c>
      <c r="G1000" s="2" t="s">
        <v>1980</v>
      </c>
    </row>
    <row r="1001" spans="1:7" ht="255" x14ac:dyDescent="0.25">
      <c r="A1001" s="2">
        <v>1000</v>
      </c>
      <c r="B1001" s="2">
        <v>120</v>
      </c>
      <c r="C1001" s="2">
        <v>1.1000000000000001</v>
      </c>
      <c r="D1001" s="2">
        <v>0.2</v>
      </c>
      <c r="E1001" s="2">
        <v>26.8</v>
      </c>
      <c r="F1001" s="2" t="s">
        <v>1981</v>
      </c>
      <c r="G1001" s="2" t="s">
        <v>1982</v>
      </c>
    </row>
    <row r="1002" spans="1:7" ht="195" x14ac:dyDescent="0.25">
      <c r="A1002" s="2">
        <v>1001</v>
      </c>
      <c r="B1002" s="2">
        <v>127</v>
      </c>
      <c r="C1002" s="2">
        <v>2.1</v>
      </c>
      <c r="D1002" s="2">
        <v>0.3</v>
      </c>
      <c r="E1002" s="2">
        <v>31.1</v>
      </c>
      <c r="F1002" s="2" t="s">
        <v>1983</v>
      </c>
      <c r="G1002" s="2" t="s">
        <v>1984</v>
      </c>
    </row>
    <row r="1003" spans="1:7" ht="210" x14ac:dyDescent="0.25">
      <c r="A1003" s="2">
        <v>1002</v>
      </c>
      <c r="B1003" s="2">
        <v>220</v>
      </c>
      <c r="C1003" s="2">
        <v>2.2999999999999998</v>
      </c>
      <c r="D1003" s="2">
        <v>2.2999999999999998</v>
      </c>
      <c r="E1003" s="2">
        <v>6.3</v>
      </c>
      <c r="F1003" s="2" t="s">
        <v>1985</v>
      </c>
      <c r="G1003" s="2" t="s">
        <v>1986</v>
      </c>
    </row>
    <row r="1004" spans="1:7" ht="120" x14ac:dyDescent="0.25">
      <c r="A1004" s="2">
        <v>1003</v>
      </c>
      <c r="B1004" s="2">
        <v>115</v>
      </c>
      <c r="C1004" s="2">
        <v>1.9</v>
      </c>
      <c r="D1004" s="2">
        <v>0.2</v>
      </c>
      <c r="E1004" s="2">
        <v>27.9</v>
      </c>
      <c r="F1004" s="2" t="s">
        <v>1987</v>
      </c>
      <c r="G1004" s="2" t="s">
        <v>1988</v>
      </c>
    </row>
    <row r="1005" spans="1:7" ht="135" x14ac:dyDescent="0.25">
      <c r="A1005" s="2">
        <v>1004</v>
      </c>
      <c r="B1005" s="2">
        <v>117</v>
      </c>
      <c r="C1005" s="2">
        <v>2</v>
      </c>
      <c r="D1005" s="2">
        <v>0.3</v>
      </c>
      <c r="E1005" s="2">
        <v>28.9</v>
      </c>
      <c r="F1005" s="2" t="s">
        <v>1989</v>
      </c>
      <c r="G1005" s="2" t="s">
        <v>1990</v>
      </c>
    </row>
    <row r="1006" spans="1:7" ht="225" x14ac:dyDescent="0.25">
      <c r="A1006" s="2">
        <v>1005</v>
      </c>
      <c r="B1006" s="2">
        <v>100</v>
      </c>
      <c r="C1006" s="2">
        <v>1.4</v>
      </c>
      <c r="D1006" s="2">
        <v>0.5</v>
      </c>
      <c r="E1006" s="2">
        <v>23.6</v>
      </c>
      <c r="F1006" s="2" t="s">
        <v>1991</v>
      </c>
      <c r="G1006" s="2" t="s">
        <v>1992</v>
      </c>
    </row>
    <row r="1007" spans="1:7" ht="135" x14ac:dyDescent="0.25">
      <c r="A1007" s="2">
        <v>1006</v>
      </c>
      <c r="B1007" s="2">
        <v>109</v>
      </c>
      <c r="C1007" s="2">
        <v>0.8</v>
      </c>
      <c r="D1007" s="2">
        <v>0.5</v>
      </c>
      <c r="E1007" s="2">
        <v>26.3</v>
      </c>
      <c r="F1007" s="2" t="s">
        <v>1993</v>
      </c>
      <c r="G1007" s="2" t="s">
        <v>1994</v>
      </c>
    </row>
    <row r="1008" spans="1:7" ht="195" x14ac:dyDescent="0.25">
      <c r="A1008" s="2">
        <v>1007</v>
      </c>
      <c r="B1008" s="2">
        <v>145</v>
      </c>
      <c r="C1008" s="2">
        <v>1.1000000000000001</v>
      </c>
      <c r="D1008" s="2">
        <v>0.3</v>
      </c>
      <c r="E1008" s="2">
        <v>34.5</v>
      </c>
      <c r="F1008" s="2" t="s">
        <v>1995</v>
      </c>
      <c r="G1008" s="2" t="s">
        <v>1996</v>
      </c>
    </row>
    <row r="1009" spans="1:7" ht="255" x14ac:dyDescent="0.25">
      <c r="A1009" s="2">
        <v>1008</v>
      </c>
      <c r="B1009" s="2">
        <v>96</v>
      </c>
      <c r="C1009" s="2">
        <v>1</v>
      </c>
      <c r="D1009" s="2">
        <v>0.2</v>
      </c>
      <c r="E1009" s="2">
        <v>22.5</v>
      </c>
      <c r="F1009" s="2" t="s">
        <v>1997</v>
      </c>
      <c r="G1009" s="2" t="s">
        <v>1998</v>
      </c>
    </row>
    <row r="1010" spans="1:7" ht="150" x14ac:dyDescent="0.25">
      <c r="A1010" s="2">
        <v>1009</v>
      </c>
      <c r="B1010" s="2">
        <v>99</v>
      </c>
      <c r="C1010" s="2">
        <v>1.3</v>
      </c>
      <c r="D1010" s="2">
        <v>0.2</v>
      </c>
      <c r="E1010" s="2">
        <v>25.6</v>
      </c>
      <c r="F1010" s="2" t="s">
        <v>1999</v>
      </c>
      <c r="G1010" s="2" t="s">
        <v>2000</v>
      </c>
    </row>
    <row r="1011" spans="1:7" ht="150" x14ac:dyDescent="0.25">
      <c r="A1011" s="2">
        <v>1010</v>
      </c>
      <c r="B1011" s="2">
        <v>127</v>
      </c>
      <c r="C1011" s="2">
        <v>1.4</v>
      </c>
      <c r="D1011" s="2">
        <v>0.2</v>
      </c>
      <c r="E1011" s="2">
        <v>33.6</v>
      </c>
      <c r="F1011" s="2" t="s">
        <v>2001</v>
      </c>
      <c r="G1011" s="2" t="s">
        <v>2002</v>
      </c>
    </row>
    <row r="1012" spans="1:7" ht="150" x14ac:dyDescent="0.25">
      <c r="A1012" s="2">
        <v>1011</v>
      </c>
      <c r="B1012" s="2">
        <v>127</v>
      </c>
      <c r="C1012" s="2">
        <v>1.4</v>
      </c>
      <c r="D1012" s="2">
        <v>0.2</v>
      </c>
      <c r="E1012" s="2">
        <v>31.8</v>
      </c>
      <c r="F1012" s="2" t="s">
        <v>2003</v>
      </c>
      <c r="G1012" s="2" t="s">
        <v>2004</v>
      </c>
    </row>
    <row r="1013" spans="1:7" ht="225" x14ac:dyDescent="0.25">
      <c r="A1013" s="2">
        <v>1012</v>
      </c>
      <c r="B1013" s="2">
        <v>134</v>
      </c>
      <c r="C1013" s="2">
        <v>1.1000000000000001</v>
      </c>
      <c r="D1013" s="2">
        <v>0.5</v>
      </c>
      <c r="E1013" s="2">
        <v>35.5</v>
      </c>
      <c r="F1013" s="2" t="s">
        <v>2005</v>
      </c>
      <c r="G1013" s="2" t="s">
        <v>2006</v>
      </c>
    </row>
    <row r="1014" spans="1:7" ht="240" x14ac:dyDescent="0.25">
      <c r="A1014" s="2">
        <v>1013</v>
      </c>
      <c r="B1014" s="2">
        <v>120</v>
      </c>
      <c r="C1014" s="2">
        <v>1.2</v>
      </c>
      <c r="D1014" s="2">
        <v>0.2</v>
      </c>
      <c r="E1014" s="2">
        <v>31.8</v>
      </c>
      <c r="F1014" s="2" t="s">
        <v>2007</v>
      </c>
      <c r="G1014" s="2" t="s">
        <v>2008</v>
      </c>
    </row>
    <row r="1015" spans="1:7" ht="225" x14ac:dyDescent="0.25">
      <c r="A1015" s="2">
        <v>1014</v>
      </c>
      <c r="B1015" s="2">
        <v>118</v>
      </c>
      <c r="C1015" s="2">
        <v>1.2</v>
      </c>
      <c r="D1015" s="2">
        <v>0.2</v>
      </c>
      <c r="E1015" s="2">
        <v>31.1</v>
      </c>
      <c r="F1015" s="2" t="s">
        <v>2009</v>
      </c>
      <c r="G1015" s="2" t="s">
        <v>2010</v>
      </c>
    </row>
    <row r="1016" spans="1:7" ht="135" x14ac:dyDescent="0.25">
      <c r="A1016" s="2">
        <v>1015</v>
      </c>
      <c r="B1016" s="2">
        <v>98</v>
      </c>
      <c r="C1016" s="2">
        <v>1.3</v>
      </c>
      <c r="D1016" s="2">
        <v>1.2</v>
      </c>
      <c r="E1016" s="2">
        <v>20.5</v>
      </c>
      <c r="F1016" s="2" t="s">
        <v>2011</v>
      </c>
      <c r="G1016" s="2" t="s">
        <v>2012</v>
      </c>
    </row>
    <row r="1017" spans="1:7" ht="210" x14ac:dyDescent="0.25">
      <c r="A1017" s="2">
        <v>1016</v>
      </c>
      <c r="B1017" s="2">
        <v>625</v>
      </c>
      <c r="C1017" s="2">
        <v>1</v>
      </c>
      <c r="D1017" s="2">
        <v>0</v>
      </c>
      <c r="E1017" s="2">
        <v>8.1</v>
      </c>
      <c r="F1017" s="2" t="s">
        <v>2013</v>
      </c>
      <c r="G1017" s="2" t="s">
        <v>2014</v>
      </c>
    </row>
    <row r="1018" spans="1:7" ht="120" x14ac:dyDescent="0.25">
      <c r="A1018" s="2">
        <v>1017</v>
      </c>
      <c r="B1018" s="2">
        <v>113</v>
      </c>
      <c r="C1018" s="2">
        <v>1.2</v>
      </c>
      <c r="D1018" s="2">
        <v>0.2</v>
      </c>
      <c r="E1018" s="2">
        <v>26.7</v>
      </c>
      <c r="F1018" s="2" t="s">
        <v>2015</v>
      </c>
      <c r="G1018" s="2" t="s">
        <v>2016</v>
      </c>
    </row>
    <row r="1019" spans="1:7" ht="225" x14ac:dyDescent="0.25">
      <c r="A1019" s="2">
        <v>1018</v>
      </c>
      <c r="B1019" s="2">
        <v>45</v>
      </c>
      <c r="C1019" s="2">
        <v>2.2000000000000002</v>
      </c>
      <c r="D1019" s="2">
        <v>0.3</v>
      </c>
      <c r="E1019" s="2">
        <v>10.3</v>
      </c>
      <c r="F1019" s="2" t="s">
        <v>2017</v>
      </c>
      <c r="G1019" s="2" t="s">
        <v>472</v>
      </c>
    </row>
    <row r="1020" spans="1:7" ht="195" x14ac:dyDescent="0.25">
      <c r="A1020" s="2">
        <v>1019</v>
      </c>
      <c r="B1020" s="2">
        <v>33</v>
      </c>
      <c r="C1020" s="2">
        <v>4.5</v>
      </c>
      <c r="D1020" s="2">
        <v>0.4</v>
      </c>
      <c r="E1020" s="2">
        <v>2.8</v>
      </c>
      <c r="F1020" s="2" t="s">
        <v>2018</v>
      </c>
      <c r="G1020" s="2" t="s">
        <v>2019</v>
      </c>
    </row>
    <row r="1021" spans="1:7" ht="345" x14ac:dyDescent="0.25">
      <c r="A1021" s="2">
        <v>1020</v>
      </c>
      <c r="B1021" s="2">
        <v>216</v>
      </c>
      <c r="C1021" s="2">
        <v>2.6</v>
      </c>
      <c r="D1021" s="2">
        <v>3.1</v>
      </c>
      <c r="E1021" s="2">
        <v>44.4</v>
      </c>
      <c r="F1021" s="2" t="s">
        <v>2020</v>
      </c>
      <c r="G1021" s="2" t="s">
        <v>2021</v>
      </c>
    </row>
    <row r="1022" spans="1:7" ht="135" x14ac:dyDescent="0.25">
      <c r="A1022" s="2">
        <v>1021</v>
      </c>
      <c r="B1022" s="2">
        <v>224</v>
      </c>
      <c r="C1022" s="2">
        <v>26.2</v>
      </c>
      <c r="D1022" s="2">
        <v>11.3</v>
      </c>
      <c r="E1022" s="2">
        <v>4.4000000000000004</v>
      </c>
      <c r="F1022" s="2" t="s">
        <v>2022</v>
      </c>
      <c r="G1022" s="2" t="s">
        <v>2023</v>
      </c>
    </row>
    <row r="1023" spans="1:7" ht="150" x14ac:dyDescent="0.25">
      <c r="A1023" s="2">
        <v>1022</v>
      </c>
      <c r="B1023" s="2">
        <v>104</v>
      </c>
      <c r="C1023" s="2">
        <v>1.9</v>
      </c>
      <c r="D1023" s="2">
        <v>4.0999999999999996</v>
      </c>
      <c r="E1023" s="2">
        <v>15.1</v>
      </c>
      <c r="F1023" s="2" t="s">
        <v>2024</v>
      </c>
      <c r="G1023" s="2" t="s">
        <v>2025</v>
      </c>
    </row>
    <row r="1024" spans="1:7" ht="165" x14ac:dyDescent="0.25">
      <c r="A1024" s="2">
        <v>1023</v>
      </c>
      <c r="B1024" s="2">
        <v>25</v>
      </c>
      <c r="C1024" s="2">
        <v>1.5</v>
      </c>
      <c r="D1024" s="2">
        <v>0.5</v>
      </c>
      <c r="E1024" s="2">
        <v>3.6</v>
      </c>
      <c r="F1024" s="2" t="s">
        <v>2026</v>
      </c>
      <c r="G1024" s="2" t="s">
        <v>351</v>
      </c>
    </row>
    <row r="1025" spans="1:7" ht="240" x14ac:dyDescent="0.25">
      <c r="A1025" s="2">
        <v>1024</v>
      </c>
      <c r="B1025" s="2">
        <v>76</v>
      </c>
      <c r="C1025" s="2">
        <v>4.0999999999999996</v>
      </c>
      <c r="D1025" s="2">
        <v>1.1000000000000001</v>
      </c>
      <c r="E1025" s="2">
        <v>15.2</v>
      </c>
      <c r="F1025" s="2" t="s">
        <v>2027</v>
      </c>
      <c r="G1025" s="2" t="s">
        <v>2028</v>
      </c>
    </row>
    <row r="1026" spans="1:7" ht="270" x14ac:dyDescent="0.25">
      <c r="A1026" s="2">
        <v>1025</v>
      </c>
      <c r="B1026" s="2">
        <v>76</v>
      </c>
      <c r="C1026" s="2">
        <v>3.6</v>
      </c>
      <c r="D1026" s="2">
        <v>0.3</v>
      </c>
      <c r="E1026" s="2">
        <v>14.6</v>
      </c>
      <c r="F1026" s="2" t="s">
        <v>2029</v>
      </c>
      <c r="G1026" s="2" t="s">
        <v>2030</v>
      </c>
    </row>
    <row r="1027" spans="1:7" ht="150" x14ac:dyDescent="0.25">
      <c r="A1027" s="2">
        <v>1026</v>
      </c>
      <c r="B1027" s="2">
        <v>163</v>
      </c>
      <c r="C1027" s="2">
        <v>2.2000000000000002</v>
      </c>
      <c r="D1027" s="2">
        <v>6.5</v>
      </c>
      <c r="E1027" s="2">
        <v>23.8</v>
      </c>
      <c r="F1027" s="2" t="s">
        <v>2031</v>
      </c>
      <c r="G1027" s="2" t="s">
        <v>2032</v>
      </c>
    </row>
    <row r="1028" spans="1:7" ht="210" x14ac:dyDescent="0.25">
      <c r="A1028" s="2">
        <v>1027</v>
      </c>
      <c r="B1028" s="2">
        <v>200</v>
      </c>
      <c r="C1028" s="2">
        <v>1</v>
      </c>
      <c r="D1028" s="2">
        <v>2.4</v>
      </c>
      <c r="E1028" s="2">
        <v>43.8</v>
      </c>
      <c r="F1028" s="2" t="s">
        <v>2033</v>
      </c>
      <c r="G1028" s="2" t="s">
        <v>2034</v>
      </c>
    </row>
    <row r="1029" spans="1:7" ht="409.5" x14ac:dyDescent="0.25">
      <c r="A1029" s="2">
        <v>1028</v>
      </c>
      <c r="B1029" s="2">
        <v>136</v>
      </c>
      <c r="C1029" s="2">
        <v>43</v>
      </c>
      <c r="D1029" s="2">
        <v>2.4</v>
      </c>
      <c r="E1029" s="2">
        <v>3</v>
      </c>
      <c r="F1029" s="2" t="s">
        <v>2035</v>
      </c>
      <c r="G1029" s="2" t="s">
        <v>2036</v>
      </c>
    </row>
    <row r="1030" spans="1:7" ht="240" x14ac:dyDescent="0.25">
      <c r="A1030" s="2">
        <v>1029</v>
      </c>
      <c r="B1030" s="2">
        <v>76</v>
      </c>
      <c r="C1030" s="2">
        <v>12.1</v>
      </c>
      <c r="D1030" s="2">
        <v>2</v>
      </c>
      <c r="E1030" s="2">
        <v>2.4</v>
      </c>
      <c r="F1030" s="2" t="s">
        <v>2037</v>
      </c>
      <c r="G1030" s="2" t="s">
        <v>2038</v>
      </c>
    </row>
    <row r="1031" spans="1:7" ht="120" x14ac:dyDescent="0.25">
      <c r="A1031" s="2">
        <v>1030</v>
      </c>
      <c r="B1031" s="2">
        <v>69</v>
      </c>
      <c r="C1031" s="2">
        <v>0.9</v>
      </c>
      <c r="D1031" s="2">
        <v>0.1</v>
      </c>
      <c r="E1031" s="2">
        <v>18.100000000000001</v>
      </c>
      <c r="F1031" s="2" t="s">
        <v>2039</v>
      </c>
      <c r="G1031" s="2" t="s">
        <v>2040</v>
      </c>
    </row>
    <row r="1032" spans="1:7" ht="409.5" x14ac:dyDescent="0.25">
      <c r="A1032" s="2">
        <v>1031</v>
      </c>
      <c r="B1032" s="2">
        <v>11</v>
      </c>
      <c r="C1032" s="2">
        <v>0</v>
      </c>
      <c r="D1032" s="2">
        <v>0</v>
      </c>
      <c r="E1032" s="2">
        <v>2.7</v>
      </c>
      <c r="F1032" s="2" t="s">
        <v>2041</v>
      </c>
      <c r="G1032" s="2" t="s">
        <v>2042</v>
      </c>
    </row>
    <row r="1033" spans="1:7" ht="270" x14ac:dyDescent="0.25">
      <c r="A1033" s="2">
        <v>1032</v>
      </c>
      <c r="B1033" s="2">
        <v>76</v>
      </c>
      <c r="C1033" s="2">
        <v>0.5</v>
      </c>
      <c r="D1033" s="2">
        <v>0.2</v>
      </c>
      <c r="E1033" s="2">
        <v>18</v>
      </c>
      <c r="F1033" s="2" t="s">
        <v>2043</v>
      </c>
      <c r="G1033" s="2" t="s">
        <v>2044</v>
      </c>
    </row>
    <row r="1034" spans="1:7" ht="120" x14ac:dyDescent="0.25">
      <c r="A1034" s="2">
        <v>1033</v>
      </c>
      <c r="B1034" s="2">
        <v>4</v>
      </c>
      <c r="C1034" s="2">
        <v>0</v>
      </c>
      <c r="D1034" s="2">
        <v>0</v>
      </c>
      <c r="E1034" s="2">
        <v>0.9</v>
      </c>
      <c r="F1034" s="2" t="s">
        <v>2045</v>
      </c>
      <c r="G1034" s="2" t="s">
        <v>2046</v>
      </c>
    </row>
    <row r="1035" spans="1:7" ht="330" x14ac:dyDescent="0.25">
      <c r="A1035" s="2">
        <v>1034</v>
      </c>
      <c r="B1035" s="2">
        <v>295</v>
      </c>
      <c r="C1035" s="2">
        <v>7.3</v>
      </c>
      <c r="D1035" s="2">
        <v>8.5</v>
      </c>
      <c r="E1035" s="2">
        <v>47.5</v>
      </c>
      <c r="F1035" s="2" t="s">
        <v>2047</v>
      </c>
      <c r="G1035" s="2" t="s">
        <v>2048</v>
      </c>
    </row>
    <row r="1036" spans="1:7" ht="165" x14ac:dyDescent="0.25">
      <c r="A1036" s="2">
        <v>1035</v>
      </c>
      <c r="B1036" s="2">
        <v>394</v>
      </c>
      <c r="C1036" s="2">
        <v>2.2000000000000002</v>
      </c>
      <c r="D1036" s="2">
        <v>8.8000000000000007</v>
      </c>
      <c r="E1036" s="2">
        <v>76.599999999999994</v>
      </c>
      <c r="F1036" s="2" t="s">
        <v>2049</v>
      </c>
      <c r="G1036" s="2" t="s">
        <v>2050</v>
      </c>
    </row>
    <row r="1037" spans="1:7" ht="165" x14ac:dyDescent="0.25">
      <c r="A1037" s="2">
        <v>1036</v>
      </c>
      <c r="B1037" s="2">
        <v>350</v>
      </c>
      <c r="C1037" s="2">
        <v>0.9</v>
      </c>
      <c r="D1037" s="2">
        <v>0.4</v>
      </c>
      <c r="E1037" s="2">
        <v>85.7</v>
      </c>
      <c r="F1037" s="2" t="s">
        <v>2051</v>
      </c>
      <c r="G1037" s="2" t="s">
        <v>2050</v>
      </c>
    </row>
    <row r="1038" spans="1:7" ht="195" x14ac:dyDescent="0.25">
      <c r="A1038" s="2">
        <v>1037</v>
      </c>
      <c r="B1038" s="2">
        <v>60</v>
      </c>
      <c r="C1038" s="2">
        <v>5.4</v>
      </c>
      <c r="D1038" s="2">
        <v>2.5</v>
      </c>
      <c r="E1038" s="2">
        <v>4</v>
      </c>
      <c r="F1038" s="2" t="s">
        <v>2052</v>
      </c>
      <c r="G1038" s="2" t="s">
        <v>2053</v>
      </c>
    </row>
    <row r="1039" spans="1:7" ht="225" x14ac:dyDescent="0.25">
      <c r="A1039" s="2">
        <v>1038</v>
      </c>
      <c r="B1039" s="2">
        <v>81</v>
      </c>
      <c r="C1039" s="2">
        <v>16.2</v>
      </c>
      <c r="D1039" s="2">
        <v>1.2</v>
      </c>
      <c r="E1039" s="2">
        <v>0.7</v>
      </c>
      <c r="F1039" s="2" t="s">
        <v>2054</v>
      </c>
      <c r="G1039" s="2" t="s">
        <v>2055</v>
      </c>
    </row>
    <row r="1040" spans="1:7" ht="240" x14ac:dyDescent="0.25">
      <c r="A1040" s="2">
        <v>1039</v>
      </c>
      <c r="B1040" s="2">
        <v>299</v>
      </c>
      <c r="C1040" s="2">
        <v>29.4</v>
      </c>
      <c r="D1040" s="2">
        <v>3.6</v>
      </c>
      <c r="E1040" s="2">
        <v>3.2</v>
      </c>
      <c r="F1040" s="2" t="s">
        <v>2056</v>
      </c>
      <c r="G1040" s="2" t="s">
        <v>2057</v>
      </c>
    </row>
    <row r="1041" spans="1:7" ht="135" x14ac:dyDescent="0.25">
      <c r="A1041" s="2">
        <v>1040</v>
      </c>
      <c r="B1041" s="2">
        <v>81</v>
      </c>
      <c r="C1041" s="2">
        <v>16.2</v>
      </c>
      <c r="D1041" s="2">
        <v>1.2</v>
      </c>
      <c r="E1041" s="2">
        <v>0.7</v>
      </c>
      <c r="F1041" s="2" t="s">
        <v>2058</v>
      </c>
      <c r="G1041" s="2" t="s">
        <v>2059</v>
      </c>
    </row>
    <row r="1042" spans="1:7" ht="409.5" x14ac:dyDescent="0.25">
      <c r="A1042" s="2">
        <v>1041</v>
      </c>
      <c r="B1042" s="2">
        <v>27</v>
      </c>
      <c r="C1042" s="2">
        <v>0.6</v>
      </c>
      <c r="D1042" s="2">
        <v>0.3</v>
      </c>
      <c r="E1042" s="2">
        <v>5.2</v>
      </c>
      <c r="F1042" s="2" t="s">
        <v>2060</v>
      </c>
      <c r="G1042" s="2" t="s">
        <v>2061</v>
      </c>
    </row>
    <row r="1043" spans="1:7" ht="165" x14ac:dyDescent="0.25">
      <c r="A1043" s="2">
        <v>1042</v>
      </c>
      <c r="B1043" s="2">
        <v>320</v>
      </c>
      <c r="C1043" s="2">
        <v>7.2</v>
      </c>
      <c r="D1043" s="2">
        <v>4.2</v>
      </c>
      <c r="E1043" s="2">
        <v>63.3</v>
      </c>
      <c r="F1043" s="2" t="s">
        <v>2062</v>
      </c>
      <c r="G1043" s="2" t="s">
        <v>351</v>
      </c>
    </row>
    <row r="1044" spans="1:7" ht="150" x14ac:dyDescent="0.25">
      <c r="A1044" s="2">
        <v>1043</v>
      </c>
      <c r="B1044" s="2">
        <v>451</v>
      </c>
      <c r="C1044" s="2">
        <v>11.2</v>
      </c>
      <c r="D1044" s="2">
        <v>20.2</v>
      </c>
      <c r="E1044" s="2">
        <v>59.7</v>
      </c>
      <c r="F1044" s="2" t="s">
        <v>2063</v>
      </c>
      <c r="G1044" s="2" t="s">
        <v>2064</v>
      </c>
    </row>
    <row r="1045" spans="1:7" ht="240" x14ac:dyDescent="0.25">
      <c r="A1045" s="2">
        <v>1044</v>
      </c>
      <c r="B1045" s="2">
        <v>497</v>
      </c>
      <c r="C1045" s="2">
        <v>17</v>
      </c>
      <c r="D1045" s="2">
        <v>27.6</v>
      </c>
      <c r="E1045" s="2">
        <v>50.8</v>
      </c>
      <c r="F1045" s="2" t="s">
        <v>2065</v>
      </c>
      <c r="G1045" s="2" t="s">
        <v>2066</v>
      </c>
    </row>
    <row r="1046" spans="1:7" ht="240" x14ac:dyDescent="0.25">
      <c r="A1046" s="2">
        <v>1045</v>
      </c>
      <c r="B1046" s="2">
        <v>193</v>
      </c>
      <c r="C1046" s="2">
        <v>22.6</v>
      </c>
      <c r="D1046" s="2">
        <v>7.9</v>
      </c>
      <c r="E1046" s="2">
        <v>7.8</v>
      </c>
      <c r="F1046" s="2" t="s">
        <v>2067</v>
      </c>
      <c r="G1046" s="2" t="s">
        <v>2068</v>
      </c>
    </row>
    <row r="1047" spans="1:7" ht="240" x14ac:dyDescent="0.25">
      <c r="A1047" s="2">
        <v>1046</v>
      </c>
      <c r="B1047" s="2">
        <v>471</v>
      </c>
      <c r="C1047" s="2">
        <v>4.7</v>
      </c>
      <c r="D1047" s="2">
        <v>21.8</v>
      </c>
      <c r="E1047" s="2">
        <v>64.099999999999994</v>
      </c>
      <c r="F1047" s="2" t="s">
        <v>2069</v>
      </c>
      <c r="G1047" s="2" t="s">
        <v>2070</v>
      </c>
    </row>
    <row r="1048" spans="1:7" ht="135" x14ac:dyDescent="0.25">
      <c r="A1048" s="2">
        <v>1047</v>
      </c>
      <c r="B1048" s="2">
        <v>75</v>
      </c>
      <c r="C1048" s="2">
        <v>1.6</v>
      </c>
      <c r="D1048" s="2">
        <v>0.6</v>
      </c>
      <c r="E1048" s="2">
        <v>15.8</v>
      </c>
      <c r="F1048" s="2" t="s">
        <v>2071</v>
      </c>
      <c r="G1048" s="2" t="s">
        <v>2072</v>
      </c>
    </row>
    <row r="1049" spans="1:7" ht="150" x14ac:dyDescent="0.25">
      <c r="A1049" s="2">
        <v>1048</v>
      </c>
      <c r="B1049" s="2">
        <v>335</v>
      </c>
      <c r="C1049" s="2">
        <v>5.3</v>
      </c>
      <c r="D1049" s="2">
        <v>3.5</v>
      </c>
      <c r="E1049" s="2">
        <v>70.5</v>
      </c>
      <c r="F1049" s="2" t="s">
        <v>2073</v>
      </c>
      <c r="G1049" s="2" t="s">
        <v>2074</v>
      </c>
    </row>
    <row r="1050" spans="1:7" ht="300" x14ac:dyDescent="0.25">
      <c r="A1050" s="2">
        <v>1049</v>
      </c>
      <c r="B1050" s="2">
        <v>341</v>
      </c>
      <c r="C1050" s="2">
        <v>5.5</v>
      </c>
      <c r="D1050" s="2">
        <v>16.2</v>
      </c>
      <c r="E1050" s="2">
        <v>43.3</v>
      </c>
      <c r="F1050" s="2" t="s">
        <v>2075</v>
      </c>
      <c r="G1050" s="2" t="s">
        <v>2076</v>
      </c>
    </row>
    <row r="1051" spans="1:7" ht="409.5" x14ac:dyDescent="0.25">
      <c r="A1051" s="2">
        <v>1050</v>
      </c>
      <c r="B1051" s="2">
        <v>350</v>
      </c>
      <c r="C1051" s="2">
        <v>7.5</v>
      </c>
      <c r="D1051" s="2">
        <v>2</v>
      </c>
      <c r="E1051" s="2">
        <v>75.5</v>
      </c>
      <c r="F1051" s="2" t="s">
        <v>2077</v>
      </c>
      <c r="G1051" s="2" t="s">
        <v>2078</v>
      </c>
    </row>
    <row r="1052" spans="1:7" ht="210" x14ac:dyDescent="0.25">
      <c r="A1052" s="2">
        <v>1051</v>
      </c>
      <c r="B1052" s="2">
        <v>248</v>
      </c>
      <c r="C1052" s="2">
        <v>8</v>
      </c>
      <c r="D1052" s="2">
        <v>1.2</v>
      </c>
      <c r="E1052" s="2">
        <v>50</v>
      </c>
      <c r="F1052" s="2" t="s">
        <v>2079</v>
      </c>
      <c r="G1052" s="2" t="s">
        <v>2080</v>
      </c>
    </row>
    <row r="1053" spans="1:7" ht="225" x14ac:dyDescent="0.25">
      <c r="A1053" s="2">
        <v>1052</v>
      </c>
      <c r="B1053" s="2">
        <v>249</v>
      </c>
      <c r="C1053" s="2">
        <v>7.9</v>
      </c>
      <c r="D1053" s="2">
        <v>1.5</v>
      </c>
      <c r="E1053" s="2">
        <v>49.7</v>
      </c>
      <c r="F1053" s="2" t="s">
        <v>2081</v>
      </c>
      <c r="G1053" s="2" t="s">
        <v>2082</v>
      </c>
    </row>
    <row r="1054" spans="1:7" ht="210" x14ac:dyDescent="0.25">
      <c r="A1054" s="2">
        <v>1053</v>
      </c>
      <c r="B1054" s="2">
        <v>153</v>
      </c>
      <c r="C1054" s="2">
        <v>11.3</v>
      </c>
      <c r="D1054" s="2">
        <v>8.4</v>
      </c>
      <c r="E1054" s="2">
        <v>8</v>
      </c>
      <c r="F1054" s="2" t="s">
        <v>2083</v>
      </c>
      <c r="G1054" s="2" t="s">
        <v>2084</v>
      </c>
    </row>
    <row r="1055" spans="1:7" ht="240" x14ac:dyDescent="0.25">
      <c r="A1055" s="2">
        <v>1054</v>
      </c>
      <c r="B1055" s="2">
        <v>41</v>
      </c>
      <c r="C1055" s="2">
        <v>1.4</v>
      </c>
      <c r="D1055" s="2">
        <v>0.3</v>
      </c>
      <c r="E1055" s="2">
        <v>8.1</v>
      </c>
      <c r="F1055" s="2" t="s">
        <v>2085</v>
      </c>
      <c r="G1055" s="2" t="s">
        <v>2086</v>
      </c>
    </row>
    <row r="1056" spans="1:7" ht="225" x14ac:dyDescent="0.25">
      <c r="A1056" s="2">
        <v>1055</v>
      </c>
      <c r="B1056" s="2">
        <v>536</v>
      </c>
      <c r="C1056" s="2">
        <v>40.5</v>
      </c>
      <c r="D1056" s="2">
        <v>41.5</v>
      </c>
      <c r="E1056" s="2">
        <v>0</v>
      </c>
      <c r="F1056" s="2" t="s">
        <v>2087</v>
      </c>
      <c r="G1056" s="2" t="s">
        <v>2088</v>
      </c>
    </row>
    <row r="1057" spans="1:7" ht="285" x14ac:dyDescent="0.25">
      <c r="A1057" s="2">
        <v>1056</v>
      </c>
      <c r="B1057" s="2">
        <v>110</v>
      </c>
      <c r="C1057" s="2">
        <v>11.5</v>
      </c>
      <c r="D1057" s="2">
        <v>2</v>
      </c>
      <c r="E1057" s="2">
        <v>11.7</v>
      </c>
      <c r="F1057" s="2" t="s">
        <v>2089</v>
      </c>
      <c r="G1057" s="2" t="s">
        <v>2090</v>
      </c>
    </row>
    <row r="1058" spans="1:7" ht="180" x14ac:dyDescent="0.25">
      <c r="A1058" s="2">
        <v>1057</v>
      </c>
      <c r="B1058" s="2">
        <v>198</v>
      </c>
      <c r="C1058" s="2">
        <v>24.6</v>
      </c>
      <c r="D1058" s="2">
        <v>10.7</v>
      </c>
      <c r="E1058" s="2">
        <v>0.9</v>
      </c>
      <c r="F1058" s="2" t="s">
        <v>2091</v>
      </c>
      <c r="G1058" s="2" t="s">
        <v>2092</v>
      </c>
    </row>
    <row r="1059" spans="1:7" ht="135" x14ac:dyDescent="0.25">
      <c r="A1059" s="2">
        <v>1058</v>
      </c>
      <c r="B1059" s="2">
        <v>449</v>
      </c>
      <c r="C1059" s="2">
        <v>30.6</v>
      </c>
      <c r="D1059" s="2">
        <v>25.5</v>
      </c>
      <c r="E1059" s="2">
        <v>31.9</v>
      </c>
      <c r="F1059" s="2" t="s">
        <v>2093</v>
      </c>
      <c r="G1059" s="2" t="s">
        <v>2094</v>
      </c>
    </row>
    <row r="1060" spans="1:7" ht="240" x14ac:dyDescent="0.25">
      <c r="A1060" s="2">
        <v>1059</v>
      </c>
      <c r="B1060" s="2">
        <v>338</v>
      </c>
      <c r="C1060" s="2">
        <v>0.6</v>
      </c>
      <c r="D1060" s="2">
        <v>0.3</v>
      </c>
      <c r="E1060" s="2">
        <v>83.1</v>
      </c>
      <c r="F1060" s="2" t="s">
        <v>2095</v>
      </c>
      <c r="G1060" s="2" t="s">
        <v>2096</v>
      </c>
    </row>
    <row r="1061" spans="1:7" ht="150" x14ac:dyDescent="0.25">
      <c r="A1061" s="2">
        <v>1060</v>
      </c>
      <c r="B1061" s="2">
        <v>355</v>
      </c>
      <c r="C1061" s="2">
        <v>0.6</v>
      </c>
      <c r="D1061" s="2">
        <v>1.1000000000000001</v>
      </c>
      <c r="E1061" s="2">
        <v>85.6</v>
      </c>
      <c r="F1061" s="2" t="s">
        <v>2097</v>
      </c>
      <c r="G1061" s="2" t="s">
        <v>2098</v>
      </c>
    </row>
    <row r="1062" spans="1:7" ht="210" x14ac:dyDescent="0.25">
      <c r="A1062" s="2">
        <v>1061</v>
      </c>
      <c r="B1062" s="2">
        <v>231</v>
      </c>
      <c r="C1062" s="2">
        <v>0.6</v>
      </c>
      <c r="D1062" s="2">
        <v>0.2</v>
      </c>
      <c r="E1062" s="2">
        <v>56.6</v>
      </c>
      <c r="F1062" s="2" t="s">
        <v>2099</v>
      </c>
      <c r="G1062" s="2" t="s">
        <v>2100</v>
      </c>
    </row>
    <row r="1063" spans="1:7" ht="195" x14ac:dyDescent="0.25">
      <c r="A1063" s="2">
        <v>1062</v>
      </c>
      <c r="B1063" s="2">
        <v>291</v>
      </c>
      <c r="C1063" s="2">
        <v>0.5</v>
      </c>
      <c r="D1063" s="2">
        <v>4</v>
      </c>
      <c r="E1063" s="2">
        <v>63.4</v>
      </c>
      <c r="F1063" s="2" t="s">
        <v>2101</v>
      </c>
      <c r="G1063" s="2" t="s">
        <v>2102</v>
      </c>
    </row>
    <row r="1064" spans="1:7" ht="270" x14ac:dyDescent="0.25">
      <c r="A1064" s="2">
        <v>1063</v>
      </c>
      <c r="B1064" s="2">
        <v>230</v>
      </c>
      <c r="C1064" s="2">
        <v>0.6</v>
      </c>
      <c r="D1064" s="2">
        <v>0.2</v>
      </c>
      <c r="E1064" s="2">
        <v>56.5</v>
      </c>
      <c r="F1064" s="2" t="s">
        <v>2103</v>
      </c>
      <c r="G1064" s="2" t="s">
        <v>2104</v>
      </c>
    </row>
    <row r="1065" spans="1:7" ht="210" x14ac:dyDescent="0.25">
      <c r="A1065" s="2">
        <v>1064</v>
      </c>
      <c r="B1065" s="2">
        <v>452</v>
      </c>
      <c r="C1065" s="2">
        <v>2.8</v>
      </c>
      <c r="D1065" s="2">
        <v>14.8</v>
      </c>
      <c r="E1065" s="2">
        <v>76.8</v>
      </c>
      <c r="F1065" s="2" t="s">
        <v>2105</v>
      </c>
      <c r="G1065" s="2" t="s">
        <v>2106</v>
      </c>
    </row>
    <row r="1066" spans="1:7" ht="150" x14ac:dyDescent="0.25">
      <c r="A1066" s="2">
        <v>1065</v>
      </c>
      <c r="B1066" s="2">
        <v>347</v>
      </c>
      <c r="C1066" s="2">
        <v>0.9</v>
      </c>
      <c r="D1066" s="2">
        <v>0.3</v>
      </c>
      <c r="E1066" s="2">
        <v>85.2</v>
      </c>
      <c r="F1066" s="2" t="s">
        <v>2107</v>
      </c>
      <c r="G1066" s="2" t="s">
        <v>2108</v>
      </c>
    </row>
    <row r="1067" spans="1:7" ht="150" x14ac:dyDescent="0.25">
      <c r="A1067" s="2">
        <v>1066</v>
      </c>
      <c r="B1067" s="2">
        <v>364</v>
      </c>
      <c r="C1067" s="2">
        <v>0.1</v>
      </c>
      <c r="D1067" s="2">
        <v>0.2</v>
      </c>
      <c r="E1067" s="2">
        <v>90.5</v>
      </c>
      <c r="F1067" s="2" t="s">
        <v>2109</v>
      </c>
      <c r="G1067" s="2" t="s">
        <v>2110</v>
      </c>
    </row>
    <row r="1068" spans="1:7" ht="120" x14ac:dyDescent="0.25">
      <c r="A1068" s="2">
        <v>1067</v>
      </c>
      <c r="B1068" s="2">
        <v>362</v>
      </c>
      <c r="C1068" s="2">
        <v>0.5</v>
      </c>
      <c r="D1068" s="2">
        <v>0.3</v>
      </c>
      <c r="E1068" s="2">
        <v>86.9</v>
      </c>
      <c r="F1068" s="2" t="s">
        <v>2111</v>
      </c>
      <c r="G1068" s="2" t="s">
        <v>2112</v>
      </c>
    </row>
    <row r="1069" spans="1:7" ht="285" x14ac:dyDescent="0.25">
      <c r="A1069" s="2">
        <v>1068</v>
      </c>
      <c r="B1069" s="2">
        <v>354</v>
      </c>
      <c r="C1069" s="2">
        <v>0.8</v>
      </c>
      <c r="D1069" s="2">
        <v>8.3000000000000007</v>
      </c>
      <c r="E1069" s="2">
        <v>68.900000000000006</v>
      </c>
      <c r="F1069" s="2" t="s">
        <v>2113</v>
      </c>
      <c r="G1069" s="2" t="s">
        <v>2114</v>
      </c>
    </row>
    <row r="1070" spans="1:7" ht="315" x14ac:dyDescent="0.25">
      <c r="A1070" s="2">
        <v>1069</v>
      </c>
      <c r="B1070" s="2">
        <v>57</v>
      </c>
      <c r="C1070" s="2">
        <v>0.5</v>
      </c>
      <c r="D1070" s="2">
        <v>0.1</v>
      </c>
      <c r="E1070" s="2">
        <v>13.6</v>
      </c>
      <c r="F1070" s="2" t="s">
        <v>2115</v>
      </c>
      <c r="G1070" s="2" t="s">
        <v>2116</v>
      </c>
    </row>
    <row r="1071" spans="1:7" ht="105" x14ac:dyDescent="0.25">
      <c r="A1071" s="2">
        <v>1070</v>
      </c>
      <c r="B1071" s="2">
        <v>55</v>
      </c>
      <c r="C1071" s="2">
        <v>0.4</v>
      </c>
      <c r="D1071" s="2">
        <v>0.2</v>
      </c>
      <c r="E1071" s="2">
        <v>12.8</v>
      </c>
      <c r="F1071" s="2" t="s">
        <v>2117</v>
      </c>
      <c r="G1071" s="2" t="s">
        <v>2118</v>
      </c>
    </row>
    <row r="1072" spans="1:7" ht="300" x14ac:dyDescent="0.25">
      <c r="A1072" s="2">
        <v>1071</v>
      </c>
      <c r="B1072" s="2">
        <v>87</v>
      </c>
      <c r="C1072" s="2">
        <v>0.8</v>
      </c>
      <c r="D1072" s="2">
        <v>0.4</v>
      </c>
      <c r="E1072" s="2">
        <v>20.100000000000001</v>
      </c>
      <c r="F1072" s="2" t="s">
        <v>2119</v>
      </c>
      <c r="G1072" s="2" t="s">
        <v>2120</v>
      </c>
    </row>
    <row r="1073" spans="1:7" ht="180" x14ac:dyDescent="0.25">
      <c r="A1073" s="2">
        <v>1072</v>
      </c>
      <c r="B1073" s="2">
        <v>281</v>
      </c>
      <c r="C1073" s="2">
        <v>2.4</v>
      </c>
      <c r="D1073" s="2">
        <v>0.7</v>
      </c>
      <c r="E1073" s="2">
        <v>66.099999999999994</v>
      </c>
      <c r="F1073" s="2" t="s">
        <v>2121</v>
      </c>
      <c r="G1073" s="2" t="s">
        <v>2122</v>
      </c>
    </row>
    <row r="1074" spans="1:7" ht="270" x14ac:dyDescent="0.25">
      <c r="A1074" s="2">
        <v>1073</v>
      </c>
      <c r="B1074" s="2">
        <v>122</v>
      </c>
      <c r="C1074" s="2">
        <v>2</v>
      </c>
      <c r="D1074" s="2">
        <v>10</v>
      </c>
      <c r="E1074" s="2">
        <v>7.6</v>
      </c>
      <c r="F1074" s="2" t="s">
        <v>2123</v>
      </c>
      <c r="G1074" s="2" t="s">
        <v>2124</v>
      </c>
    </row>
    <row r="1075" spans="1:7" ht="225" x14ac:dyDescent="0.25">
      <c r="A1075" s="2">
        <v>1074</v>
      </c>
      <c r="B1075" s="2">
        <v>324</v>
      </c>
      <c r="C1075" s="2">
        <v>4.2</v>
      </c>
      <c r="D1075" s="2">
        <v>34.299999999999997</v>
      </c>
      <c r="E1075" s="2">
        <v>55.6</v>
      </c>
      <c r="F1075" s="2" t="s">
        <v>2125</v>
      </c>
      <c r="G1075" s="2" t="s">
        <v>2126</v>
      </c>
    </row>
    <row r="1076" spans="1:7" ht="240" x14ac:dyDescent="0.25">
      <c r="A1076" s="2">
        <v>1075</v>
      </c>
      <c r="B1076" s="2">
        <v>324</v>
      </c>
      <c r="C1076" s="2">
        <v>4.2</v>
      </c>
      <c r="D1076" s="2">
        <v>34.299999999999997</v>
      </c>
      <c r="E1076" s="2">
        <v>5.6</v>
      </c>
      <c r="F1076" s="2" t="s">
        <v>2127</v>
      </c>
      <c r="G1076" s="2" t="s">
        <v>2128</v>
      </c>
    </row>
    <row r="1077" spans="1:7" ht="120" x14ac:dyDescent="0.25">
      <c r="A1077" s="2">
        <v>1076</v>
      </c>
      <c r="B1077" s="2">
        <v>98</v>
      </c>
      <c r="C1077" s="2">
        <v>2</v>
      </c>
      <c r="D1077" s="2">
        <v>0.4</v>
      </c>
      <c r="E1077" s="2">
        <v>24.5</v>
      </c>
      <c r="F1077" s="2" t="s">
        <v>2129</v>
      </c>
      <c r="G1077" s="2" t="s">
        <v>2130</v>
      </c>
    </row>
    <row r="1078" spans="1:7" ht="409.5" x14ac:dyDescent="0.25">
      <c r="A1078" s="2">
        <v>1077</v>
      </c>
      <c r="B1078" s="2">
        <v>212</v>
      </c>
      <c r="C1078" s="2">
        <v>18</v>
      </c>
      <c r="D1078" s="2">
        <v>10.6</v>
      </c>
      <c r="E1078" s="2">
        <v>59.3</v>
      </c>
      <c r="F1078" s="2" t="s">
        <v>2131</v>
      </c>
      <c r="G1078" s="2" t="s">
        <v>2132</v>
      </c>
    </row>
    <row r="1079" spans="1:7" ht="225" x14ac:dyDescent="0.25">
      <c r="A1079" s="2">
        <v>1078</v>
      </c>
      <c r="B1079" s="2">
        <v>108</v>
      </c>
      <c r="C1079" s="2">
        <v>17.600000000000001</v>
      </c>
      <c r="D1079" s="2">
        <v>4.2</v>
      </c>
      <c r="E1079" s="2">
        <v>0</v>
      </c>
      <c r="F1079" s="2" t="s">
        <v>2133</v>
      </c>
      <c r="G1079" s="2" t="s">
        <v>2134</v>
      </c>
    </row>
    <row r="1080" spans="1:7" ht="240" x14ac:dyDescent="0.25">
      <c r="A1080" s="2">
        <v>1079</v>
      </c>
      <c r="B1080" s="2">
        <v>182</v>
      </c>
      <c r="C1080" s="2">
        <v>32</v>
      </c>
      <c r="D1080" s="2">
        <v>6</v>
      </c>
      <c r="E1080" s="2">
        <v>0</v>
      </c>
      <c r="F1080" s="2" t="s">
        <v>2135</v>
      </c>
      <c r="G1080" s="2" t="s">
        <v>2136</v>
      </c>
    </row>
    <row r="1081" spans="1:7" ht="375" x14ac:dyDescent="0.25">
      <c r="A1081" s="2">
        <v>1080</v>
      </c>
      <c r="B1081" s="2">
        <v>301</v>
      </c>
      <c r="C1081" s="2">
        <v>55</v>
      </c>
      <c r="D1081" s="2">
        <v>9</v>
      </c>
      <c r="E1081" s="2">
        <v>0</v>
      </c>
      <c r="F1081" s="2" t="s">
        <v>2137</v>
      </c>
      <c r="G1081" s="2" t="s">
        <v>2138</v>
      </c>
    </row>
    <row r="1082" spans="1:7" ht="409.5" x14ac:dyDescent="0.25">
      <c r="A1082" s="2">
        <v>1081</v>
      </c>
      <c r="B1082" s="2">
        <v>273</v>
      </c>
      <c r="C1082" s="2">
        <v>17.5</v>
      </c>
      <c r="D1082" s="2">
        <v>22</v>
      </c>
      <c r="E1082" s="2">
        <v>0</v>
      </c>
      <c r="F1082" s="2" t="s">
        <v>2139</v>
      </c>
      <c r="G1082" s="2" t="s">
        <v>2140</v>
      </c>
    </row>
    <row r="1083" spans="1:7" ht="150" x14ac:dyDescent="0.25">
      <c r="A1083" s="2">
        <v>1082</v>
      </c>
      <c r="B1083" s="2">
        <v>289</v>
      </c>
      <c r="C1083" s="2">
        <v>16</v>
      </c>
      <c r="D1083" s="2">
        <v>25</v>
      </c>
      <c r="E1083" s="2">
        <v>0</v>
      </c>
      <c r="F1083" s="2" t="s">
        <v>2141</v>
      </c>
      <c r="G1083" s="2" t="s">
        <v>2142</v>
      </c>
    </row>
    <row r="1084" spans="1:7" ht="409.5" x14ac:dyDescent="0.25">
      <c r="A1084" s="2">
        <v>1083</v>
      </c>
      <c r="B1084" s="2">
        <v>174</v>
      </c>
      <c r="C1084" s="2">
        <v>19.600000000000001</v>
      </c>
      <c r="D1084" s="2">
        <v>10</v>
      </c>
      <c r="E1084" s="2">
        <v>0</v>
      </c>
      <c r="F1084" s="2" t="s">
        <v>2143</v>
      </c>
      <c r="G1084" s="2" t="s">
        <v>2140</v>
      </c>
    </row>
    <row r="1085" spans="1:7" ht="210" x14ac:dyDescent="0.25">
      <c r="A1085" s="2">
        <v>1084</v>
      </c>
      <c r="B1085" s="2">
        <v>201</v>
      </c>
      <c r="C1085" s="2">
        <v>18.8</v>
      </c>
      <c r="D1085" s="2">
        <v>14</v>
      </c>
      <c r="E1085" s="2">
        <v>0</v>
      </c>
      <c r="F1085" s="2" t="s">
        <v>2144</v>
      </c>
      <c r="G1085" s="2" t="s">
        <v>2145</v>
      </c>
    </row>
    <row r="1086" spans="1:7" ht="270" x14ac:dyDescent="0.25">
      <c r="A1086" s="2">
        <v>1085</v>
      </c>
      <c r="B1086" s="2">
        <v>448</v>
      </c>
      <c r="C1086" s="2">
        <v>14.5</v>
      </c>
      <c r="D1086" s="2">
        <v>42.3</v>
      </c>
      <c r="E1086" s="2">
        <v>2.2999999999999998</v>
      </c>
      <c r="F1086" s="2" t="s">
        <v>2146</v>
      </c>
      <c r="G1086" s="2" t="s">
        <v>2147</v>
      </c>
    </row>
    <row r="1087" spans="1:7" ht="195" x14ac:dyDescent="0.25">
      <c r="A1087" s="2">
        <v>1086</v>
      </c>
      <c r="B1087" s="2">
        <v>183</v>
      </c>
      <c r="C1087" s="2">
        <v>12</v>
      </c>
      <c r="D1087" s="2">
        <v>14.4</v>
      </c>
      <c r="E1087" s="2">
        <v>1.4</v>
      </c>
      <c r="F1087" s="2" t="s">
        <v>2148</v>
      </c>
      <c r="G1087" s="2" t="s">
        <v>2149</v>
      </c>
    </row>
    <row r="1088" spans="1:7" ht="345" x14ac:dyDescent="0.25">
      <c r="A1088" s="2">
        <v>1087</v>
      </c>
      <c r="B1088" s="2">
        <v>98</v>
      </c>
      <c r="C1088" s="2">
        <v>21.9</v>
      </c>
      <c r="D1088" s="2">
        <v>1.1000000000000001</v>
      </c>
      <c r="E1088" s="2">
        <v>0</v>
      </c>
      <c r="F1088" s="2" t="s">
        <v>2150</v>
      </c>
      <c r="G1088" s="2" t="s">
        <v>650</v>
      </c>
    </row>
    <row r="1089" spans="1:7" ht="165" x14ac:dyDescent="0.25">
      <c r="A1089" s="2">
        <v>1088</v>
      </c>
      <c r="B1089" s="2">
        <v>137</v>
      </c>
      <c r="C1089" s="2">
        <v>15</v>
      </c>
      <c r="D1089" s="2">
        <v>8.1</v>
      </c>
      <c r="E1089" s="2">
        <v>0.9</v>
      </c>
      <c r="F1089" s="2" t="s">
        <v>2151</v>
      </c>
      <c r="G1089" s="2" t="s">
        <v>776</v>
      </c>
    </row>
    <row r="1090" spans="1:7" ht="180" x14ac:dyDescent="0.25">
      <c r="A1090" s="2">
        <v>1089</v>
      </c>
      <c r="B1090" s="2">
        <v>274</v>
      </c>
      <c r="C1090" s="2">
        <v>16</v>
      </c>
      <c r="D1090" s="2">
        <v>22</v>
      </c>
      <c r="E1090" s="2">
        <v>3</v>
      </c>
      <c r="F1090" s="2" t="s">
        <v>2152</v>
      </c>
      <c r="G1090" s="2" t="s">
        <v>2153</v>
      </c>
    </row>
    <row r="1091" spans="1:7" ht="240" x14ac:dyDescent="0.25">
      <c r="A1091" s="2">
        <v>1090</v>
      </c>
      <c r="B1091" s="2">
        <v>84</v>
      </c>
      <c r="C1091" s="2">
        <v>10.5</v>
      </c>
      <c r="D1091" s="2">
        <v>4.5999999999999996</v>
      </c>
      <c r="E1091" s="2">
        <v>0.2</v>
      </c>
      <c r="F1091" s="2" t="s">
        <v>2154</v>
      </c>
      <c r="G1091" s="2" t="s">
        <v>2155</v>
      </c>
    </row>
    <row r="1092" spans="1:7" ht="210" x14ac:dyDescent="0.25">
      <c r="A1092" s="2">
        <v>1091</v>
      </c>
      <c r="B1092" s="2">
        <v>132</v>
      </c>
      <c r="C1092" s="2">
        <v>19.7</v>
      </c>
      <c r="D1092" s="2">
        <v>3.2</v>
      </c>
      <c r="E1092" s="2">
        <v>6</v>
      </c>
      <c r="F1092" s="2" t="s">
        <v>2156</v>
      </c>
      <c r="G1092" s="2" t="s">
        <v>2157</v>
      </c>
    </row>
    <row r="1093" spans="1:7" ht="240" x14ac:dyDescent="0.25">
      <c r="A1093" s="2">
        <v>1092</v>
      </c>
      <c r="B1093" s="2">
        <v>123</v>
      </c>
      <c r="C1093" s="2">
        <v>10.4</v>
      </c>
      <c r="D1093" s="2">
        <v>8.6</v>
      </c>
      <c r="E1093" s="2">
        <v>0.8</v>
      </c>
      <c r="F1093" s="2" t="s">
        <v>2158</v>
      </c>
      <c r="G1093" s="2" t="s">
        <v>1888</v>
      </c>
    </row>
    <row r="1094" spans="1:7" ht="240" x14ac:dyDescent="0.25">
      <c r="A1094" s="2">
        <v>1093</v>
      </c>
      <c r="B1094" s="2">
        <v>360</v>
      </c>
      <c r="C1094" s="2">
        <v>57.3</v>
      </c>
      <c r="D1094" s="2">
        <v>6</v>
      </c>
      <c r="E1094" s="2">
        <v>19.2</v>
      </c>
      <c r="F1094" s="2" t="s">
        <v>2159</v>
      </c>
      <c r="G1094" s="2" t="s">
        <v>2160</v>
      </c>
    </row>
    <row r="1095" spans="1:7" ht="210" x14ac:dyDescent="0.25">
      <c r="A1095" s="2">
        <v>1094</v>
      </c>
      <c r="B1095" s="2">
        <v>268</v>
      </c>
      <c r="C1095" s="2">
        <v>23.9</v>
      </c>
      <c r="D1095" s="2">
        <v>12.7</v>
      </c>
      <c r="E1095" s="2">
        <v>14.5</v>
      </c>
      <c r="F1095" s="2" t="s">
        <v>2161</v>
      </c>
      <c r="G1095" s="2" t="s">
        <v>2162</v>
      </c>
    </row>
    <row r="1096" spans="1:7" ht="270" x14ac:dyDescent="0.25">
      <c r="A1096" s="2">
        <v>1095</v>
      </c>
      <c r="B1096" s="2">
        <v>126</v>
      </c>
      <c r="C1096" s="2">
        <v>14</v>
      </c>
      <c r="D1096" s="2">
        <v>7.2</v>
      </c>
      <c r="E1096" s="2">
        <v>1.5</v>
      </c>
      <c r="F1096" s="2" t="s">
        <v>2163</v>
      </c>
      <c r="G1096" s="2" t="s">
        <v>2164</v>
      </c>
    </row>
    <row r="1097" spans="1:7" ht="315" x14ac:dyDescent="0.25">
      <c r="A1097" s="2">
        <v>1096</v>
      </c>
      <c r="B1097" s="2">
        <v>281</v>
      </c>
      <c r="C1097" s="2">
        <v>37.5</v>
      </c>
      <c r="D1097" s="2">
        <v>0.3</v>
      </c>
      <c r="E1097" s="2">
        <v>32.1</v>
      </c>
      <c r="F1097" s="2" t="s">
        <v>2165</v>
      </c>
      <c r="G1097" s="2" t="s">
        <v>2166</v>
      </c>
    </row>
    <row r="1098" spans="1:7" ht="135" x14ac:dyDescent="0.25">
      <c r="A1098" s="2">
        <v>1097</v>
      </c>
      <c r="B1098" s="2">
        <v>338</v>
      </c>
      <c r="C1098" s="2">
        <v>21.1</v>
      </c>
      <c r="D1098" s="2">
        <v>27</v>
      </c>
      <c r="E1098" s="2">
        <v>1</v>
      </c>
      <c r="F1098" s="2" t="s">
        <v>2167</v>
      </c>
      <c r="G1098" s="2" t="s">
        <v>2168</v>
      </c>
    </row>
    <row r="1099" spans="1:7" ht="409.5" x14ac:dyDescent="0.25">
      <c r="A1099" s="2">
        <v>1098</v>
      </c>
      <c r="B1099" s="2">
        <v>344</v>
      </c>
      <c r="C1099" s="2">
        <v>30</v>
      </c>
      <c r="D1099" s="2">
        <v>20</v>
      </c>
      <c r="E1099" s="2">
        <v>43</v>
      </c>
      <c r="F1099" s="2" t="s">
        <v>2169</v>
      </c>
      <c r="G1099" s="2" t="s">
        <v>2170</v>
      </c>
    </row>
    <row r="1100" spans="1:7" ht="360" x14ac:dyDescent="0.25">
      <c r="A1100" s="2">
        <v>1099</v>
      </c>
      <c r="B1100" s="2">
        <v>166</v>
      </c>
      <c r="C1100" s="2">
        <v>2.2999999999999998</v>
      </c>
      <c r="D1100" s="2">
        <v>2.8</v>
      </c>
      <c r="E1100" s="2">
        <v>32.9</v>
      </c>
      <c r="F1100" s="2" t="s">
        <v>2171</v>
      </c>
      <c r="G1100" s="2" t="s">
        <v>2172</v>
      </c>
    </row>
    <row r="1101" spans="1:7" ht="225" x14ac:dyDescent="0.25">
      <c r="A1101" s="2">
        <v>1100</v>
      </c>
      <c r="B1101" s="2">
        <v>283</v>
      </c>
      <c r="C1101" s="2">
        <v>12.1</v>
      </c>
      <c r="D1101" s="2">
        <v>16.8</v>
      </c>
      <c r="E1101" s="2">
        <v>20.9</v>
      </c>
      <c r="F1101" s="2" t="s">
        <v>2173</v>
      </c>
      <c r="G1101" s="2" t="s">
        <v>2174</v>
      </c>
    </row>
    <row r="1102" spans="1:7" ht="135" x14ac:dyDescent="0.25">
      <c r="A1102" s="2">
        <v>1101</v>
      </c>
      <c r="B1102" s="2">
        <v>110</v>
      </c>
      <c r="C1102" s="2">
        <v>15.5</v>
      </c>
      <c r="D1102" s="2">
        <v>0.5</v>
      </c>
      <c r="E1102" s="2">
        <v>11.5</v>
      </c>
      <c r="F1102" s="2" t="s">
        <v>2175</v>
      </c>
      <c r="G1102" s="2" t="s">
        <v>2176</v>
      </c>
    </row>
    <row r="1103" spans="1:7" ht="210" x14ac:dyDescent="0.25">
      <c r="A1103" s="2">
        <v>1102</v>
      </c>
      <c r="B1103" s="2">
        <v>179</v>
      </c>
      <c r="C1103" s="2">
        <v>22.5</v>
      </c>
      <c r="D1103" s="2">
        <v>3.5</v>
      </c>
      <c r="E1103" s="2">
        <v>13.3</v>
      </c>
      <c r="F1103" s="2" t="s">
        <v>2177</v>
      </c>
      <c r="G1103" s="2" t="s">
        <v>2178</v>
      </c>
    </row>
    <row r="1104" spans="1:7" ht="409.5" x14ac:dyDescent="0.25">
      <c r="A1104" s="2">
        <v>1103</v>
      </c>
      <c r="B1104" s="2">
        <v>274</v>
      </c>
      <c r="C1104" s="2">
        <v>12.9</v>
      </c>
      <c r="D1104" s="2">
        <v>18.600000000000001</v>
      </c>
      <c r="E1104" s="2">
        <v>13.6</v>
      </c>
      <c r="F1104" s="2" t="s">
        <v>2179</v>
      </c>
      <c r="G1104" s="2" t="s">
        <v>2180</v>
      </c>
    </row>
    <row r="1105" spans="1:7" ht="150" x14ac:dyDescent="0.25">
      <c r="A1105" s="2">
        <v>1104</v>
      </c>
      <c r="B1105" s="2">
        <v>126.7</v>
      </c>
      <c r="C1105" s="2">
        <v>14</v>
      </c>
      <c r="D1105" s="2">
        <v>7.3</v>
      </c>
      <c r="E1105" s="2">
        <v>1.3</v>
      </c>
      <c r="F1105" s="2" t="s">
        <v>2181</v>
      </c>
      <c r="G1105" s="2" t="s">
        <v>2182</v>
      </c>
    </row>
    <row r="1106" spans="1:7" ht="195" x14ac:dyDescent="0.25">
      <c r="A1106" s="2">
        <v>1105</v>
      </c>
      <c r="B1106" s="2">
        <v>22</v>
      </c>
      <c r="C1106" s="2">
        <v>2.2999999999999998</v>
      </c>
      <c r="D1106" s="2">
        <v>0.3</v>
      </c>
      <c r="E1106" s="2">
        <v>4</v>
      </c>
      <c r="F1106" s="2" t="s">
        <v>2183</v>
      </c>
      <c r="G1106" s="2" t="s">
        <v>2184</v>
      </c>
    </row>
    <row r="1107" spans="1:7" ht="255" x14ac:dyDescent="0.25">
      <c r="A1107" s="2">
        <v>1106</v>
      </c>
      <c r="B1107" s="2">
        <v>9</v>
      </c>
      <c r="C1107" s="2">
        <v>1</v>
      </c>
      <c r="D1107" s="2">
        <v>0.1</v>
      </c>
      <c r="E1107" s="2">
        <v>1.7</v>
      </c>
      <c r="F1107" s="2" t="s">
        <v>2185</v>
      </c>
      <c r="G1107" s="2" t="s">
        <v>2186</v>
      </c>
    </row>
    <row r="1108" spans="1:7" ht="150" x14ac:dyDescent="0.25">
      <c r="A1108" s="2">
        <v>1107</v>
      </c>
      <c r="B1108" s="2">
        <v>30</v>
      </c>
      <c r="C1108" s="2">
        <v>1.9</v>
      </c>
      <c r="D1108" s="2">
        <v>0.5</v>
      </c>
      <c r="E1108" s="2">
        <v>4.4000000000000004</v>
      </c>
      <c r="F1108" s="2" t="s">
        <v>2187</v>
      </c>
      <c r="G1108" s="2" t="s">
        <v>2188</v>
      </c>
    </row>
    <row r="1109" spans="1:7" ht="210" x14ac:dyDescent="0.25">
      <c r="A1109" s="2">
        <v>1108</v>
      </c>
      <c r="B1109" s="2">
        <v>19</v>
      </c>
      <c r="C1109" s="2">
        <v>1.3</v>
      </c>
      <c r="D1109" s="2">
        <v>0.2</v>
      </c>
      <c r="E1109" s="2">
        <v>2.9</v>
      </c>
      <c r="F1109" s="2" t="s">
        <v>2189</v>
      </c>
      <c r="G1109" s="2" t="s">
        <v>2190</v>
      </c>
    </row>
    <row r="1110" spans="1:7" ht="225" x14ac:dyDescent="0.25">
      <c r="A1110" s="2">
        <v>1109</v>
      </c>
      <c r="B1110" s="2">
        <v>92</v>
      </c>
      <c r="C1110" s="2">
        <v>0.5</v>
      </c>
      <c r="D1110" s="2">
        <v>1.1000000000000001</v>
      </c>
      <c r="E1110" s="2">
        <v>22.4</v>
      </c>
      <c r="F1110" s="2" t="s">
        <v>2191</v>
      </c>
      <c r="G1110" s="2" t="s">
        <v>2192</v>
      </c>
    </row>
    <row r="1111" spans="1:7" ht="150" x14ac:dyDescent="0.25">
      <c r="A1111" s="2">
        <v>1110</v>
      </c>
      <c r="B1111" s="2">
        <v>64</v>
      </c>
      <c r="C1111" s="2">
        <v>1</v>
      </c>
      <c r="D1111" s="2">
        <v>3.1</v>
      </c>
      <c r="E1111" s="2">
        <v>8</v>
      </c>
      <c r="F1111" s="2" t="s">
        <v>2193</v>
      </c>
      <c r="G1111" s="2" t="s">
        <v>2194</v>
      </c>
    </row>
    <row r="1112" spans="1:7" ht="135" x14ac:dyDescent="0.25">
      <c r="A1112" s="2">
        <v>1111</v>
      </c>
      <c r="B1112" s="2">
        <v>111</v>
      </c>
      <c r="C1112" s="2">
        <v>0.9</v>
      </c>
      <c r="D1112" s="2">
        <v>2.2999999999999998</v>
      </c>
      <c r="E1112" s="2">
        <v>21.6</v>
      </c>
      <c r="F1112" s="2" t="s">
        <v>2195</v>
      </c>
      <c r="G1112" s="2" t="s">
        <v>2196</v>
      </c>
    </row>
    <row r="1113" spans="1:7" ht="180" x14ac:dyDescent="0.25">
      <c r="A1113" s="2">
        <v>1112</v>
      </c>
      <c r="B1113" s="2">
        <v>92</v>
      </c>
      <c r="C1113" s="2">
        <v>0.5</v>
      </c>
      <c r="D1113" s="2">
        <v>1.1000000000000001</v>
      </c>
      <c r="E1113" s="2">
        <v>22.4</v>
      </c>
      <c r="F1113" s="2" t="s">
        <v>2197</v>
      </c>
      <c r="G1113" s="2" t="s">
        <v>2198</v>
      </c>
    </row>
    <row r="1114" spans="1:7" ht="150" x14ac:dyDescent="0.25">
      <c r="A1114" s="2">
        <v>1113</v>
      </c>
      <c r="B1114" s="2">
        <v>29</v>
      </c>
      <c r="C1114" s="2">
        <v>0.7</v>
      </c>
      <c r="D1114" s="2">
        <v>0.6</v>
      </c>
      <c r="E1114" s="2">
        <v>5</v>
      </c>
      <c r="F1114" s="2" t="s">
        <v>2199</v>
      </c>
      <c r="G1114" s="2" t="s">
        <v>2200</v>
      </c>
    </row>
    <row r="1115" spans="1:7" ht="225" x14ac:dyDescent="0.25">
      <c r="A1115" s="2">
        <v>1114</v>
      </c>
      <c r="B1115" s="2">
        <v>49</v>
      </c>
      <c r="C1115" s="2">
        <v>1.7</v>
      </c>
      <c r="D1115" s="2">
        <v>0.3</v>
      </c>
      <c r="E1115" s="2">
        <v>9.8000000000000007</v>
      </c>
      <c r="F1115" s="2" t="s">
        <v>2201</v>
      </c>
      <c r="G1115" s="2" t="s">
        <v>2202</v>
      </c>
    </row>
    <row r="1116" spans="1:7" ht="150" x14ac:dyDescent="0.25">
      <c r="A1116" s="2">
        <v>1115</v>
      </c>
      <c r="B1116" s="2">
        <v>178</v>
      </c>
      <c r="C1116" s="2">
        <v>2.6</v>
      </c>
      <c r="D1116" s="2">
        <v>13.9</v>
      </c>
      <c r="E1116" s="2">
        <v>10.6</v>
      </c>
      <c r="F1116" s="2" t="s">
        <v>2203</v>
      </c>
      <c r="G1116" s="2" t="s">
        <v>2204</v>
      </c>
    </row>
    <row r="1117" spans="1:7" ht="150" x14ac:dyDescent="0.25">
      <c r="A1117" s="2">
        <v>1116</v>
      </c>
      <c r="B1117" s="2">
        <v>133</v>
      </c>
      <c r="C1117" s="2">
        <v>7.3</v>
      </c>
      <c r="D1117" s="2">
        <v>6.6</v>
      </c>
      <c r="E1117" s="2">
        <v>11.2</v>
      </c>
      <c r="F1117" s="2" t="s">
        <v>2205</v>
      </c>
      <c r="G1117" s="2" t="s">
        <v>2206</v>
      </c>
    </row>
    <row r="1118" spans="1:7" ht="180" x14ac:dyDescent="0.25">
      <c r="A1118" s="2">
        <v>1117</v>
      </c>
      <c r="B1118" s="2">
        <v>64</v>
      </c>
      <c r="C1118" s="2">
        <v>2.1</v>
      </c>
      <c r="D1118" s="2">
        <v>0.6</v>
      </c>
      <c r="E1118" s="2">
        <v>12.5</v>
      </c>
      <c r="F1118" s="2" t="s">
        <v>2207</v>
      </c>
      <c r="G1118" s="2" t="s">
        <v>2208</v>
      </c>
    </row>
    <row r="1119" spans="1:7" ht="255" x14ac:dyDescent="0.25">
      <c r="A1119" s="2">
        <v>1118</v>
      </c>
      <c r="B1119" s="2">
        <v>36</v>
      </c>
      <c r="C1119" s="2">
        <v>2.7</v>
      </c>
      <c r="D1119" s="2">
        <v>0.7</v>
      </c>
      <c r="E1119" s="2">
        <v>4.8</v>
      </c>
      <c r="F1119" s="2" t="s">
        <v>2209</v>
      </c>
      <c r="G1119" s="2" t="s">
        <v>2210</v>
      </c>
    </row>
    <row r="1120" spans="1:7" ht="180" x14ac:dyDescent="0.25">
      <c r="A1120" s="2">
        <v>1119</v>
      </c>
      <c r="B1120" s="2">
        <v>49</v>
      </c>
      <c r="C1120" s="2">
        <v>3.1</v>
      </c>
      <c r="D1120" s="2">
        <v>2.5</v>
      </c>
      <c r="E1120" s="2">
        <v>3.6</v>
      </c>
      <c r="F1120" s="2" t="s">
        <v>2211</v>
      </c>
      <c r="G1120" s="2" t="s">
        <v>2212</v>
      </c>
    </row>
    <row r="1121" spans="1:7" ht="315" x14ac:dyDescent="0.25">
      <c r="A1121" s="2">
        <v>1120</v>
      </c>
      <c r="B1121" s="2">
        <v>27</v>
      </c>
      <c r="C1121" s="2">
        <v>1.3</v>
      </c>
      <c r="D1121" s="2">
        <v>2</v>
      </c>
      <c r="E1121" s="2">
        <v>1</v>
      </c>
      <c r="F1121" s="2" t="s">
        <v>2213</v>
      </c>
      <c r="G1121" s="2" t="s">
        <v>2214</v>
      </c>
    </row>
    <row r="1122" spans="1:7" ht="409.5" x14ac:dyDescent="0.25">
      <c r="A1122" s="2">
        <v>1121</v>
      </c>
      <c r="B1122" s="2">
        <v>67</v>
      </c>
      <c r="C1122" s="2">
        <v>5.2</v>
      </c>
      <c r="D1122" s="2">
        <v>2.9</v>
      </c>
      <c r="E1122" s="2">
        <v>5.0999999999999996</v>
      </c>
      <c r="F1122" s="2" t="s">
        <v>2215</v>
      </c>
      <c r="G1122" s="2" t="s">
        <v>2216</v>
      </c>
    </row>
    <row r="1123" spans="1:7" ht="210" x14ac:dyDescent="0.25">
      <c r="A1123" s="2">
        <v>1122</v>
      </c>
      <c r="B1123" s="2">
        <v>57</v>
      </c>
      <c r="C1123" s="2">
        <v>5.4</v>
      </c>
      <c r="D1123" s="2">
        <v>2.6</v>
      </c>
      <c r="E1123" s="2">
        <v>3.1</v>
      </c>
      <c r="F1123" s="2" t="s">
        <v>2217</v>
      </c>
      <c r="G1123" s="2" t="s">
        <v>2218</v>
      </c>
    </row>
    <row r="1124" spans="1:7" ht="150" x14ac:dyDescent="0.25">
      <c r="A1124" s="2">
        <v>1123</v>
      </c>
      <c r="B1124" s="2">
        <v>15</v>
      </c>
      <c r="C1124" s="2">
        <v>1.2</v>
      </c>
      <c r="D1124" s="2">
        <v>0.2</v>
      </c>
      <c r="E1124" s="2">
        <v>2.9</v>
      </c>
      <c r="F1124" s="2" t="s">
        <v>2219</v>
      </c>
      <c r="G1124" s="2" t="s">
        <v>2220</v>
      </c>
    </row>
    <row r="1125" spans="1:7" ht="409.5" x14ac:dyDescent="0.25">
      <c r="A1125" s="2">
        <v>1124</v>
      </c>
      <c r="B1125" s="2">
        <v>17</v>
      </c>
      <c r="C1125" s="2">
        <v>1.7</v>
      </c>
      <c r="D1125" s="2">
        <v>0.3</v>
      </c>
      <c r="E1125" s="2">
        <v>3</v>
      </c>
      <c r="F1125" s="2" t="s">
        <v>2221</v>
      </c>
      <c r="G1125" s="2" t="s">
        <v>2222</v>
      </c>
    </row>
    <row r="1126" spans="1:7" ht="360" x14ac:dyDescent="0.25">
      <c r="A1126" s="2">
        <v>1125</v>
      </c>
      <c r="B1126" s="2">
        <v>19</v>
      </c>
      <c r="C1126" s="2">
        <v>2.7</v>
      </c>
      <c r="D1126" s="2">
        <v>0.2</v>
      </c>
      <c r="E1126" s="2">
        <v>2.9</v>
      </c>
      <c r="F1126" s="2" t="s">
        <v>2223</v>
      </c>
      <c r="G1126" s="2" t="s">
        <v>2224</v>
      </c>
    </row>
    <row r="1127" spans="1:7" ht="120" x14ac:dyDescent="0.25">
      <c r="A1127" s="2">
        <v>1126</v>
      </c>
      <c r="B1127" s="2">
        <v>20</v>
      </c>
      <c r="C1127" s="2">
        <v>1</v>
      </c>
      <c r="D1127" s="2">
        <v>0.1</v>
      </c>
      <c r="E1127" s="2">
        <v>4.5999999999999996</v>
      </c>
      <c r="F1127" s="2" t="s">
        <v>2225</v>
      </c>
      <c r="G1127" s="2" t="s">
        <v>2226</v>
      </c>
    </row>
    <row r="1128" spans="1:7" ht="135" x14ac:dyDescent="0.25">
      <c r="A1128" s="2">
        <v>1127</v>
      </c>
      <c r="B1128" s="2">
        <v>28</v>
      </c>
      <c r="C1128" s="2">
        <v>0.5</v>
      </c>
      <c r="D1128" s="2">
        <v>0.2</v>
      </c>
      <c r="E1128" s="2">
        <v>6.9</v>
      </c>
      <c r="F1128" s="2" t="s">
        <v>2227</v>
      </c>
      <c r="G1128" s="2" t="s">
        <v>2228</v>
      </c>
    </row>
    <row r="1129" spans="1:7" ht="180" x14ac:dyDescent="0.25">
      <c r="A1129" s="2">
        <v>1128</v>
      </c>
      <c r="B1129" s="2">
        <v>192.5</v>
      </c>
      <c r="C1129" s="2">
        <v>4.5</v>
      </c>
      <c r="D1129" s="2">
        <v>6</v>
      </c>
      <c r="E1129" s="2">
        <v>30.3</v>
      </c>
      <c r="F1129" s="2" t="s">
        <v>2229</v>
      </c>
      <c r="G1129" s="2" t="s">
        <v>2230</v>
      </c>
    </row>
    <row r="1130" spans="1:7" ht="270" x14ac:dyDescent="0.25">
      <c r="A1130" s="2">
        <v>1129</v>
      </c>
      <c r="B1130" s="2">
        <v>64</v>
      </c>
      <c r="C1130" s="2">
        <v>0.6</v>
      </c>
      <c r="D1130" s="2">
        <v>0.3</v>
      </c>
      <c r="E1130" s="2">
        <v>14.8</v>
      </c>
      <c r="F1130" s="2" t="s">
        <v>2231</v>
      </c>
      <c r="G1130" s="2" t="s">
        <v>2232</v>
      </c>
    </row>
    <row r="1131" spans="1:7" ht="165" x14ac:dyDescent="0.25">
      <c r="A1131" s="2">
        <v>1130</v>
      </c>
      <c r="B1131" s="2">
        <v>353</v>
      </c>
      <c r="C1131" s="2">
        <v>0.7</v>
      </c>
      <c r="D1131" s="2">
        <v>0.2</v>
      </c>
      <c r="E1131" s="2">
        <v>84.7</v>
      </c>
      <c r="F1131" s="2" t="s">
        <v>2233</v>
      </c>
      <c r="G1131" s="2" t="s">
        <v>2234</v>
      </c>
    </row>
    <row r="1132" spans="1:7" ht="150" x14ac:dyDescent="0.25">
      <c r="A1132" s="2">
        <v>1131</v>
      </c>
      <c r="B1132" s="2">
        <v>88</v>
      </c>
      <c r="C1132" s="2">
        <v>7.9</v>
      </c>
      <c r="D1132" s="2">
        <v>1.6</v>
      </c>
      <c r="E1132" s="2">
        <v>10.6</v>
      </c>
      <c r="F1132" s="2" t="s">
        <v>2235</v>
      </c>
      <c r="G1132" s="2" t="s">
        <v>2236</v>
      </c>
    </row>
    <row r="1133" spans="1:7" ht="120" x14ac:dyDescent="0.25">
      <c r="A1133" s="2">
        <v>1132</v>
      </c>
      <c r="B1133" s="2">
        <v>298</v>
      </c>
      <c r="C1133" s="2">
        <v>8</v>
      </c>
      <c r="D1133" s="2">
        <v>23.8</v>
      </c>
      <c r="E1133" s="2">
        <v>48.9</v>
      </c>
      <c r="F1133" s="2" t="s">
        <v>2237</v>
      </c>
      <c r="G1133" s="2" t="s">
        <v>428</v>
      </c>
    </row>
    <row r="1134" spans="1:7" ht="120" x14ac:dyDescent="0.25">
      <c r="A1134" s="2">
        <v>1133</v>
      </c>
      <c r="B1134" s="2">
        <v>478</v>
      </c>
      <c r="C1134" s="2">
        <v>2.5</v>
      </c>
      <c r="D1134" s="2">
        <v>21.2</v>
      </c>
      <c r="E1134" s="2">
        <v>69.2</v>
      </c>
      <c r="F1134" s="2" t="s">
        <v>2238</v>
      </c>
      <c r="G1134" s="2" t="s">
        <v>2239</v>
      </c>
    </row>
    <row r="1135" spans="1:7" ht="210" x14ac:dyDescent="0.25">
      <c r="A1135" s="2">
        <v>1134</v>
      </c>
      <c r="B1135" s="2">
        <v>213</v>
      </c>
      <c r="C1135" s="2">
        <v>0</v>
      </c>
      <c r="D1135" s="2">
        <v>0</v>
      </c>
      <c r="E1135" s="2">
        <v>55</v>
      </c>
      <c r="F1135" s="2" t="s">
        <v>2240</v>
      </c>
      <c r="G1135" s="2" t="s">
        <v>2241</v>
      </c>
    </row>
    <row r="1136" spans="1:7" ht="165" x14ac:dyDescent="0.25">
      <c r="A1136" s="2">
        <v>1135</v>
      </c>
      <c r="B1136" s="2">
        <v>88</v>
      </c>
      <c r="C1136" s="2">
        <v>3.2</v>
      </c>
      <c r="D1136" s="2">
        <v>8</v>
      </c>
      <c r="E1136" s="2">
        <v>0.8</v>
      </c>
      <c r="F1136" s="2" t="s">
        <v>2242</v>
      </c>
      <c r="G1136" s="2" t="s">
        <v>351</v>
      </c>
    </row>
    <row r="1137" spans="1:7" ht="409.5" x14ac:dyDescent="0.25">
      <c r="A1137" s="2">
        <v>1136</v>
      </c>
      <c r="B1137" s="2">
        <v>474</v>
      </c>
      <c r="C1137" s="2">
        <v>11.2</v>
      </c>
      <c r="D1137" s="2">
        <v>42.5</v>
      </c>
      <c r="E1137" s="2">
        <v>11.7</v>
      </c>
      <c r="F1137" s="2" t="s">
        <v>2243</v>
      </c>
      <c r="G1137" s="2" t="s">
        <v>2244</v>
      </c>
    </row>
    <row r="1138" spans="1:7" ht="409.5" x14ac:dyDescent="0.25">
      <c r="A1138" s="2">
        <v>1137</v>
      </c>
      <c r="B1138" s="2">
        <v>81</v>
      </c>
      <c r="C1138" s="2">
        <v>5.0999999999999996</v>
      </c>
      <c r="D1138" s="2">
        <v>4.5</v>
      </c>
      <c r="E1138" s="2">
        <v>5.0999999999999996</v>
      </c>
      <c r="F1138" s="2" t="s">
        <v>2245</v>
      </c>
      <c r="G1138" s="2" t="s">
        <v>2246</v>
      </c>
    </row>
    <row r="1139" spans="1:7" ht="120" x14ac:dyDescent="0.25">
      <c r="A1139" s="2">
        <v>1138</v>
      </c>
      <c r="B1139" s="2">
        <v>285</v>
      </c>
      <c r="C1139" s="2">
        <v>1</v>
      </c>
      <c r="D1139" s="2">
        <v>18</v>
      </c>
      <c r="E1139" s="2">
        <v>28</v>
      </c>
      <c r="F1139" s="2" t="s">
        <v>2247</v>
      </c>
      <c r="G1139" s="2" t="s">
        <v>2248</v>
      </c>
    </row>
    <row r="1140" spans="1:7" ht="225" x14ac:dyDescent="0.25">
      <c r="A1140" s="2">
        <v>1139</v>
      </c>
      <c r="B1140" s="2">
        <v>146</v>
      </c>
      <c r="C1140" s="2">
        <v>1.2</v>
      </c>
      <c r="D1140" s="2">
        <v>0.3</v>
      </c>
      <c r="E1140" s="2">
        <v>34.700000000000003</v>
      </c>
      <c r="F1140" s="2" t="s">
        <v>2249</v>
      </c>
      <c r="G1140" s="2" t="s">
        <v>2250</v>
      </c>
    </row>
    <row r="1141" spans="1:7" ht="409.5" x14ac:dyDescent="0.25">
      <c r="A1141" s="2">
        <v>1140</v>
      </c>
      <c r="B1141" s="2">
        <v>173</v>
      </c>
      <c r="C1141" s="2">
        <v>0.5</v>
      </c>
      <c r="D1141" s="2">
        <v>0.1</v>
      </c>
      <c r="E1141" s="2">
        <v>42.5</v>
      </c>
      <c r="F1141" s="2" t="s">
        <v>2251</v>
      </c>
      <c r="G1141" s="2" t="s">
        <v>2252</v>
      </c>
    </row>
    <row r="1142" spans="1:7" ht="210" x14ac:dyDescent="0.25">
      <c r="A1142" s="2">
        <v>1141</v>
      </c>
      <c r="B1142" s="2">
        <v>95.3</v>
      </c>
      <c r="C1142" s="2">
        <v>4.4000000000000004</v>
      </c>
      <c r="D1142" s="2">
        <v>2.2000000000000002</v>
      </c>
      <c r="E1142" s="2">
        <v>14.4</v>
      </c>
      <c r="F1142" s="2" t="s">
        <v>2253</v>
      </c>
      <c r="G1142" s="2" t="s">
        <v>2254</v>
      </c>
    </row>
    <row r="1143" spans="1:7" ht="165" x14ac:dyDescent="0.25">
      <c r="A1143" s="2">
        <v>1142</v>
      </c>
      <c r="B1143" s="2">
        <v>65</v>
      </c>
      <c r="C1143" s="2">
        <v>1</v>
      </c>
      <c r="D1143" s="2">
        <v>0.3</v>
      </c>
      <c r="E1143" s="2">
        <v>16.3</v>
      </c>
      <c r="F1143" s="2" t="s">
        <v>2255</v>
      </c>
      <c r="G1143" s="2" t="s">
        <v>2256</v>
      </c>
    </row>
    <row r="1144" spans="1:7" ht="105" x14ac:dyDescent="0.25">
      <c r="A1144" s="2">
        <v>1143</v>
      </c>
      <c r="B1144" s="2">
        <v>213</v>
      </c>
      <c r="C1144" s="2">
        <v>0</v>
      </c>
      <c r="D1144" s="2">
        <v>0</v>
      </c>
      <c r="E1144" s="2">
        <v>55</v>
      </c>
      <c r="F1144" s="2" t="s">
        <v>2257</v>
      </c>
      <c r="G1144" s="2" t="s">
        <v>2258</v>
      </c>
    </row>
    <row r="1145" spans="1:7" ht="150" x14ac:dyDescent="0.25">
      <c r="A1145" s="2">
        <v>1144</v>
      </c>
      <c r="B1145" s="2">
        <v>71</v>
      </c>
      <c r="C1145" s="2">
        <v>7.5</v>
      </c>
      <c r="D1145" s="2">
        <v>3.6</v>
      </c>
      <c r="E1145" s="2">
        <v>2.2000000000000002</v>
      </c>
      <c r="F1145" s="2" t="s">
        <v>2259</v>
      </c>
      <c r="G1145" s="2" t="s">
        <v>2260</v>
      </c>
    </row>
    <row r="1146" spans="1:7" ht="255" x14ac:dyDescent="0.25">
      <c r="A1146" s="2">
        <v>1145</v>
      </c>
      <c r="B1146" s="2">
        <v>49</v>
      </c>
      <c r="C1146" s="2">
        <v>5.8</v>
      </c>
      <c r="D1146" s="2">
        <v>0.5</v>
      </c>
      <c r="E1146" s="2">
        <v>5.3</v>
      </c>
      <c r="F1146" s="2" t="s">
        <v>2261</v>
      </c>
      <c r="G1146" s="2" t="s">
        <v>2262</v>
      </c>
    </row>
    <row r="1147" spans="1:7" ht="210" x14ac:dyDescent="0.25">
      <c r="A1147" s="2">
        <v>1146</v>
      </c>
      <c r="B1147" s="2">
        <v>68</v>
      </c>
      <c r="C1147" s="2">
        <v>9</v>
      </c>
      <c r="D1147" s="2">
        <v>1.9</v>
      </c>
      <c r="E1147" s="2">
        <v>3.7</v>
      </c>
      <c r="F1147" s="2" t="s">
        <v>2263</v>
      </c>
      <c r="G1147" s="2" t="s">
        <v>2264</v>
      </c>
    </row>
    <row r="1148" spans="1:7" ht="240" x14ac:dyDescent="0.25">
      <c r="A1148" s="2">
        <v>1147</v>
      </c>
      <c r="B1148" s="2">
        <v>34</v>
      </c>
      <c r="C1148" s="2">
        <v>5.5</v>
      </c>
      <c r="D1148" s="2">
        <v>0.8</v>
      </c>
      <c r="E1148" s="2">
        <v>1.1000000000000001</v>
      </c>
      <c r="F1148" s="2" t="s">
        <v>2265</v>
      </c>
      <c r="G1148" s="2" t="s">
        <v>2266</v>
      </c>
    </row>
    <row r="1149" spans="1:7" ht="240" x14ac:dyDescent="0.25">
      <c r="A1149" s="2">
        <v>1148</v>
      </c>
      <c r="B1149" s="2">
        <v>71</v>
      </c>
      <c r="C1149" s="2">
        <v>7.4</v>
      </c>
      <c r="D1149" s="2">
        <v>2.6</v>
      </c>
      <c r="E1149" s="2">
        <v>4.5</v>
      </c>
      <c r="F1149" s="2" t="s">
        <v>2267</v>
      </c>
      <c r="G1149" s="2" t="s">
        <v>2268</v>
      </c>
    </row>
    <row r="1150" spans="1:7" ht="150" x14ac:dyDescent="0.25">
      <c r="A1150" s="2">
        <v>1149</v>
      </c>
      <c r="B1150" s="2">
        <v>12</v>
      </c>
      <c r="C1150" s="2">
        <v>0.5</v>
      </c>
      <c r="D1150" s="2">
        <v>0.1</v>
      </c>
      <c r="E1150" s="2">
        <v>2</v>
      </c>
      <c r="F1150" s="2" t="s">
        <v>2269</v>
      </c>
      <c r="G1150" s="2" t="s">
        <v>2270</v>
      </c>
    </row>
    <row r="1151" spans="1:7" ht="225" x14ac:dyDescent="0.25">
      <c r="A1151" s="2">
        <v>1150</v>
      </c>
      <c r="B1151" s="2">
        <v>15</v>
      </c>
      <c r="C1151" s="2">
        <v>0.6</v>
      </c>
      <c r="D1151" s="2">
        <v>0.1</v>
      </c>
      <c r="E1151" s="2">
        <v>3.1</v>
      </c>
      <c r="F1151" s="2" t="s">
        <v>2271</v>
      </c>
      <c r="G1151" s="2" t="s">
        <v>2272</v>
      </c>
    </row>
    <row r="1152" spans="1:7" ht="150" x14ac:dyDescent="0.25">
      <c r="A1152" s="2">
        <v>1151</v>
      </c>
      <c r="B1152" s="2">
        <v>89</v>
      </c>
      <c r="C1152" s="2">
        <v>7.2</v>
      </c>
      <c r="D1152" s="2">
        <v>5</v>
      </c>
      <c r="E1152" s="2">
        <v>3.9</v>
      </c>
      <c r="F1152" s="2" t="s">
        <v>2273</v>
      </c>
      <c r="G1152" s="2" t="s">
        <v>2274</v>
      </c>
    </row>
    <row r="1153" spans="1:7" ht="240" x14ac:dyDescent="0.25">
      <c r="A1153" s="2">
        <v>1152</v>
      </c>
      <c r="B1153" s="2">
        <v>42</v>
      </c>
      <c r="C1153" s="2">
        <v>3.9</v>
      </c>
      <c r="D1153" s="2">
        <v>1.7</v>
      </c>
      <c r="E1153" s="2">
        <v>2.8</v>
      </c>
      <c r="F1153" s="2" t="s">
        <v>2275</v>
      </c>
      <c r="G1153" s="2" t="s">
        <v>2276</v>
      </c>
    </row>
    <row r="1154" spans="1:7" ht="135" x14ac:dyDescent="0.25">
      <c r="A1154" s="2">
        <v>1153</v>
      </c>
      <c r="B1154" s="2">
        <v>110</v>
      </c>
      <c r="C1154" s="2">
        <v>2.9</v>
      </c>
      <c r="D1154" s="2">
        <v>9.5</v>
      </c>
      <c r="E1154" s="2">
        <v>3.2</v>
      </c>
      <c r="F1154" s="2" t="s">
        <v>2277</v>
      </c>
      <c r="G1154" s="2" t="s">
        <v>2278</v>
      </c>
    </row>
    <row r="1155" spans="1:7" ht="285" x14ac:dyDescent="0.25">
      <c r="A1155" s="2">
        <v>1154</v>
      </c>
      <c r="B1155" s="2">
        <v>135</v>
      </c>
      <c r="C1155" s="2">
        <v>2.5</v>
      </c>
      <c r="D1155" s="2">
        <v>8.8000000000000007</v>
      </c>
      <c r="E1155" s="2">
        <v>11.5</v>
      </c>
      <c r="F1155" s="2" t="s">
        <v>2279</v>
      </c>
      <c r="G1155" s="2" t="s">
        <v>2280</v>
      </c>
    </row>
    <row r="1156" spans="1:7" ht="330" x14ac:dyDescent="0.25">
      <c r="A1156" s="2">
        <v>1155</v>
      </c>
      <c r="B1156" s="2">
        <v>127.5</v>
      </c>
      <c r="C1156" s="2">
        <v>2.6</v>
      </c>
      <c r="D1156" s="2">
        <v>9.4</v>
      </c>
      <c r="E1156" s="2">
        <v>8.3000000000000007</v>
      </c>
      <c r="F1156" s="2" t="s">
        <v>2281</v>
      </c>
      <c r="G1156" s="2" t="s">
        <v>2282</v>
      </c>
    </row>
    <row r="1157" spans="1:7" ht="210" x14ac:dyDescent="0.25">
      <c r="A1157" s="2">
        <v>1156</v>
      </c>
      <c r="B1157" s="2">
        <v>92</v>
      </c>
      <c r="C1157" s="2">
        <v>11.8</v>
      </c>
      <c r="D1157" s="2">
        <v>4.3</v>
      </c>
      <c r="E1157" s="2">
        <v>1.4</v>
      </c>
      <c r="F1157" s="2" t="s">
        <v>2283</v>
      </c>
      <c r="G1157" s="2" t="s">
        <v>2284</v>
      </c>
    </row>
    <row r="1158" spans="1:7" ht="165" x14ac:dyDescent="0.25">
      <c r="A1158" s="2">
        <v>1157</v>
      </c>
      <c r="B1158" s="2">
        <v>38</v>
      </c>
      <c r="C1158" s="2">
        <v>2.6</v>
      </c>
      <c r="D1158" s="2">
        <v>2.2999999999999998</v>
      </c>
      <c r="E1158" s="2">
        <v>1.8</v>
      </c>
      <c r="F1158" s="2" t="s">
        <v>2285</v>
      </c>
      <c r="G1158" s="2" t="s">
        <v>2286</v>
      </c>
    </row>
    <row r="1159" spans="1:7" ht="360" x14ac:dyDescent="0.25">
      <c r="A1159" s="2">
        <v>1158</v>
      </c>
      <c r="B1159" s="2">
        <v>60</v>
      </c>
      <c r="C1159" s="2">
        <v>3.5</v>
      </c>
      <c r="D1159" s="2">
        <v>4.5</v>
      </c>
      <c r="E1159" s="2">
        <v>1.3</v>
      </c>
      <c r="F1159" s="2" t="s">
        <v>2287</v>
      </c>
      <c r="G1159" s="2" t="s">
        <v>2288</v>
      </c>
    </row>
    <row r="1160" spans="1:7" ht="165" x14ac:dyDescent="0.25">
      <c r="A1160" s="2">
        <v>1159</v>
      </c>
      <c r="B1160" s="2">
        <v>127</v>
      </c>
      <c r="C1160" s="2">
        <v>5.9</v>
      </c>
      <c r="D1160" s="2">
        <v>6.6</v>
      </c>
      <c r="E1160" s="2">
        <v>11</v>
      </c>
      <c r="F1160" s="2" t="s">
        <v>2289</v>
      </c>
      <c r="G1160" s="2" t="s">
        <v>2290</v>
      </c>
    </row>
    <row r="1161" spans="1:7" ht="165" x14ac:dyDescent="0.25">
      <c r="A1161" s="2">
        <v>1160</v>
      </c>
      <c r="B1161" s="2">
        <v>94</v>
      </c>
      <c r="C1161" s="2">
        <v>3</v>
      </c>
      <c r="D1161" s="2">
        <v>6.8</v>
      </c>
      <c r="E1161" s="2">
        <v>5.0999999999999996</v>
      </c>
      <c r="F1161" s="2" t="s">
        <v>2291</v>
      </c>
      <c r="G1161" s="2" t="s">
        <v>2292</v>
      </c>
    </row>
    <row r="1162" spans="1:7" ht="150" x14ac:dyDescent="0.25">
      <c r="A1162" s="2">
        <v>1161</v>
      </c>
      <c r="B1162" s="2">
        <v>75</v>
      </c>
      <c r="C1162" s="2">
        <v>3.6</v>
      </c>
      <c r="D1162" s="2">
        <v>5.2</v>
      </c>
      <c r="E1162" s="2">
        <v>3.5</v>
      </c>
      <c r="F1162" s="2" t="s">
        <v>2293</v>
      </c>
      <c r="G1162" s="2" t="s">
        <v>2294</v>
      </c>
    </row>
    <row r="1163" spans="1:7" ht="165" x14ac:dyDescent="0.25">
      <c r="A1163" s="2">
        <v>1162</v>
      </c>
      <c r="B1163" s="2">
        <v>80</v>
      </c>
      <c r="C1163" s="2">
        <v>3.2</v>
      </c>
      <c r="D1163" s="2">
        <v>3.5</v>
      </c>
      <c r="E1163" s="2">
        <v>9</v>
      </c>
      <c r="F1163" s="2" t="s">
        <v>2295</v>
      </c>
      <c r="G1163" s="2" t="s">
        <v>2296</v>
      </c>
    </row>
    <row r="1164" spans="1:7" ht="150" x14ac:dyDescent="0.25">
      <c r="A1164" s="2">
        <v>1163</v>
      </c>
      <c r="B1164" s="2">
        <v>86</v>
      </c>
      <c r="C1164" s="2">
        <v>2.2999999999999998</v>
      </c>
      <c r="D1164" s="2">
        <v>8.5</v>
      </c>
      <c r="E1164" s="2">
        <v>0</v>
      </c>
      <c r="F1164" s="2" t="s">
        <v>2297</v>
      </c>
      <c r="G1164" s="2" t="s">
        <v>2298</v>
      </c>
    </row>
    <row r="1165" spans="1:7" ht="150" x14ac:dyDescent="0.25">
      <c r="A1165" s="2">
        <v>1164</v>
      </c>
      <c r="B1165" s="2">
        <v>117.1</v>
      </c>
      <c r="C1165" s="2">
        <v>0.4</v>
      </c>
      <c r="D1165" s="2">
        <v>8.6</v>
      </c>
      <c r="E1165" s="2">
        <v>9.6</v>
      </c>
      <c r="F1165" s="2" t="s">
        <v>2299</v>
      </c>
      <c r="G1165" s="2" t="s">
        <v>2300</v>
      </c>
    </row>
    <row r="1166" spans="1:7" ht="210" x14ac:dyDescent="0.25">
      <c r="A1166" s="2">
        <v>1165</v>
      </c>
      <c r="B1166" s="2">
        <v>139</v>
      </c>
      <c r="C1166" s="2">
        <v>7.4</v>
      </c>
      <c r="D1166" s="2">
        <v>2.1</v>
      </c>
      <c r="E1166" s="2">
        <v>22.6</v>
      </c>
      <c r="F1166" s="2" t="s">
        <v>2301</v>
      </c>
      <c r="G1166" s="2" t="s">
        <v>2302</v>
      </c>
    </row>
    <row r="1167" spans="1:7" ht="225" x14ac:dyDescent="0.25">
      <c r="A1167" s="2">
        <v>1166</v>
      </c>
      <c r="B1167" s="2">
        <v>101</v>
      </c>
      <c r="C1167" s="2">
        <v>1.7</v>
      </c>
      <c r="D1167" s="2">
        <v>0.6</v>
      </c>
      <c r="E1167" s="2">
        <v>35.200000000000003</v>
      </c>
      <c r="F1167" s="2" t="s">
        <v>2303</v>
      </c>
      <c r="G1167" s="2" t="s">
        <v>2304</v>
      </c>
    </row>
    <row r="1168" spans="1:7" ht="165" x14ac:dyDescent="0.25">
      <c r="A1168" s="2">
        <v>1167</v>
      </c>
      <c r="B1168" s="2">
        <v>75</v>
      </c>
      <c r="C1168" s="2">
        <v>5.6</v>
      </c>
      <c r="D1168" s="2">
        <v>0.4</v>
      </c>
      <c r="E1168" s="2">
        <v>12.2</v>
      </c>
      <c r="F1168" s="2" t="s">
        <v>2305</v>
      </c>
      <c r="G1168" s="2" t="s">
        <v>2306</v>
      </c>
    </row>
    <row r="1169" spans="1:7" ht="225" x14ac:dyDescent="0.25">
      <c r="A1169" s="2">
        <v>1168</v>
      </c>
      <c r="B1169" s="2">
        <v>119</v>
      </c>
      <c r="C1169" s="2">
        <v>1.4</v>
      </c>
      <c r="D1169" s="2">
        <v>0.2</v>
      </c>
      <c r="E1169" s="2">
        <v>28.1</v>
      </c>
      <c r="F1169" s="2" t="s">
        <v>2307</v>
      </c>
      <c r="G1169" s="2" t="s">
        <v>2308</v>
      </c>
    </row>
    <row r="1170" spans="1:7" ht="120" x14ac:dyDescent="0.25">
      <c r="A1170" s="2">
        <v>1169</v>
      </c>
      <c r="B1170" s="2">
        <v>126</v>
      </c>
      <c r="C1170" s="2">
        <v>1.6</v>
      </c>
      <c r="D1170" s="2">
        <v>0.2</v>
      </c>
      <c r="E1170" s="2">
        <v>24.5</v>
      </c>
      <c r="F1170" s="2" t="s">
        <v>2309</v>
      </c>
      <c r="G1170" s="2" t="s">
        <v>2310</v>
      </c>
    </row>
    <row r="1171" spans="1:7" ht="225" x14ac:dyDescent="0.25">
      <c r="A1171" s="2">
        <v>1170</v>
      </c>
      <c r="B1171" s="2">
        <v>418</v>
      </c>
      <c r="C1171" s="2">
        <v>19</v>
      </c>
      <c r="D1171" s="2">
        <v>9</v>
      </c>
      <c r="E1171" s="2">
        <v>65.5</v>
      </c>
      <c r="F1171" s="2" t="s">
        <v>2311</v>
      </c>
      <c r="G1171" s="2" t="s">
        <v>2312</v>
      </c>
    </row>
    <row r="1172" spans="1:7" ht="240" x14ac:dyDescent="0.25">
      <c r="A1172" s="2">
        <v>1171</v>
      </c>
      <c r="B1172" s="2">
        <v>513</v>
      </c>
      <c r="C1172" s="2">
        <v>24.6</v>
      </c>
      <c r="D1172" s="2">
        <v>30</v>
      </c>
      <c r="E1172" s="2">
        <v>36.200000000000003</v>
      </c>
      <c r="F1172" s="2" t="s">
        <v>2313</v>
      </c>
      <c r="G1172" s="2" t="s">
        <v>2314</v>
      </c>
    </row>
    <row r="1173" spans="1:7" ht="195" x14ac:dyDescent="0.25">
      <c r="A1173" s="2">
        <v>1172</v>
      </c>
      <c r="B1173" s="2">
        <v>64</v>
      </c>
      <c r="C1173" s="2">
        <v>4.3</v>
      </c>
      <c r="D1173" s="2">
        <v>2.2999999999999998</v>
      </c>
      <c r="E1173" s="2">
        <v>6.6</v>
      </c>
      <c r="F1173" s="2" t="s">
        <v>2315</v>
      </c>
      <c r="G1173" s="2" t="s">
        <v>2316</v>
      </c>
    </row>
    <row r="1174" spans="1:7" ht="330" x14ac:dyDescent="0.25">
      <c r="A1174" s="2">
        <v>1173</v>
      </c>
      <c r="B1174" s="2">
        <v>41</v>
      </c>
      <c r="C1174" s="2">
        <v>3.5</v>
      </c>
      <c r="D1174" s="2">
        <v>2.5</v>
      </c>
      <c r="E1174" s="2">
        <v>5</v>
      </c>
      <c r="F1174" s="2" t="s">
        <v>2317</v>
      </c>
      <c r="G1174" s="2" t="s">
        <v>2318</v>
      </c>
    </row>
    <row r="1175" spans="1:7" ht="240" x14ac:dyDescent="0.25">
      <c r="A1175" s="2">
        <v>1174</v>
      </c>
      <c r="B1175" s="2">
        <v>336</v>
      </c>
      <c r="C1175" s="2">
        <v>8.1999999999999993</v>
      </c>
      <c r="D1175" s="2">
        <v>10</v>
      </c>
      <c r="E1175" s="2">
        <v>55</v>
      </c>
      <c r="F1175" s="2" t="s">
        <v>2319</v>
      </c>
      <c r="G1175" s="2" t="s">
        <v>2320</v>
      </c>
    </row>
    <row r="1176" spans="1:7" ht="240" x14ac:dyDescent="0.25">
      <c r="A1176" s="2">
        <v>1175</v>
      </c>
      <c r="B1176" s="2">
        <v>138</v>
      </c>
      <c r="C1176" s="2">
        <v>7</v>
      </c>
      <c r="D1176" s="2">
        <v>7.9</v>
      </c>
      <c r="E1176" s="2">
        <v>9.9</v>
      </c>
      <c r="F1176" s="2" t="s">
        <v>2321</v>
      </c>
      <c r="G1176" s="2" t="s">
        <v>2322</v>
      </c>
    </row>
    <row r="1177" spans="1:7" ht="270" x14ac:dyDescent="0.25">
      <c r="A1177" s="2">
        <v>1176</v>
      </c>
      <c r="B1177" s="2">
        <v>160</v>
      </c>
      <c r="C1177" s="2">
        <v>6.3</v>
      </c>
      <c r="D1177" s="2">
        <v>12</v>
      </c>
      <c r="E1177" s="2">
        <v>7.1</v>
      </c>
      <c r="F1177" s="2" t="s">
        <v>2323</v>
      </c>
      <c r="G1177" s="2" t="s">
        <v>2324</v>
      </c>
    </row>
    <row r="1178" spans="1:7" ht="240" x14ac:dyDescent="0.25">
      <c r="A1178" s="2">
        <v>1177</v>
      </c>
      <c r="B1178" s="2">
        <v>61</v>
      </c>
      <c r="C1178" s="2">
        <v>3.2</v>
      </c>
      <c r="D1178" s="2">
        <v>3.5</v>
      </c>
      <c r="E1178" s="2">
        <v>4.3</v>
      </c>
      <c r="F1178" s="2" t="s">
        <v>2325</v>
      </c>
      <c r="G1178" s="2" t="s">
        <v>2326</v>
      </c>
    </row>
    <row r="1179" spans="1:7" ht="210" x14ac:dyDescent="0.25">
      <c r="A1179" s="2">
        <v>1178</v>
      </c>
      <c r="B1179" s="2">
        <v>36</v>
      </c>
      <c r="C1179" s="2">
        <v>3.5</v>
      </c>
      <c r="D1179" s="2">
        <v>0.1</v>
      </c>
      <c r="E1179" s="2">
        <v>5.0999999999999996</v>
      </c>
      <c r="F1179" s="2" t="s">
        <v>2327</v>
      </c>
      <c r="G1179" s="2" t="s">
        <v>2328</v>
      </c>
    </row>
    <row r="1180" spans="1:7" ht="120" x14ac:dyDescent="0.25">
      <c r="A1180" s="2">
        <v>1179</v>
      </c>
      <c r="B1180" s="2">
        <v>359</v>
      </c>
      <c r="C1180" s="2">
        <v>35.6</v>
      </c>
      <c r="D1180" s="2">
        <v>1</v>
      </c>
      <c r="E1180" s="2">
        <v>52</v>
      </c>
      <c r="F1180" s="2" t="s">
        <v>2329</v>
      </c>
      <c r="G1180" s="2" t="s">
        <v>2330</v>
      </c>
    </row>
    <row r="1181" spans="1:7" ht="135" x14ac:dyDescent="0.25">
      <c r="A1181" s="2">
        <v>1180</v>
      </c>
      <c r="B1181" s="2">
        <v>36</v>
      </c>
      <c r="C1181" s="2">
        <v>3.5</v>
      </c>
      <c r="D1181" s="2">
        <v>0.1</v>
      </c>
      <c r="E1181" s="2">
        <v>5.0999999999999996</v>
      </c>
      <c r="F1181" s="2" t="s">
        <v>2331</v>
      </c>
      <c r="G1181" s="2" t="s">
        <v>2332</v>
      </c>
    </row>
    <row r="1182" spans="1:7" ht="225" x14ac:dyDescent="0.25">
      <c r="A1182" s="2">
        <v>1181</v>
      </c>
      <c r="B1182" s="2">
        <v>87</v>
      </c>
      <c r="C1182" s="2">
        <v>5.3</v>
      </c>
      <c r="D1182" s="2">
        <v>5.2</v>
      </c>
      <c r="E1182" s="2">
        <v>6.3</v>
      </c>
      <c r="F1182" s="2" t="s">
        <v>2333</v>
      </c>
      <c r="G1182" s="2" t="s">
        <v>2334</v>
      </c>
    </row>
    <row r="1183" spans="1:7" ht="210" x14ac:dyDescent="0.25">
      <c r="A1183" s="2">
        <v>1182</v>
      </c>
      <c r="B1183" s="2">
        <v>90</v>
      </c>
      <c r="C1183" s="2">
        <v>1.5</v>
      </c>
      <c r="D1183" s="2">
        <v>0.1</v>
      </c>
      <c r="E1183" s="2">
        <v>21.9</v>
      </c>
      <c r="F1183" s="2" t="s">
        <v>2335</v>
      </c>
      <c r="G1183" s="2" t="s">
        <v>2336</v>
      </c>
    </row>
    <row r="1184" spans="1:7" ht="225" x14ac:dyDescent="0.25">
      <c r="A1184" s="2">
        <v>1183</v>
      </c>
      <c r="B1184" s="2">
        <v>69</v>
      </c>
      <c r="C1184" s="2">
        <v>1</v>
      </c>
      <c r="D1184" s="2">
        <v>0.1</v>
      </c>
      <c r="E1184" s="2">
        <v>15.7</v>
      </c>
      <c r="F1184" s="2" t="s">
        <v>2337</v>
      </c>
      <c r="G1184" s="2" t="s">
        <v>2338</v>
      </c>
    </row>
    <row r="1185" spans="1:7" ht="195" x14ac:dyDescent="0.25">
      <c r="A1185" s="2">
        <v>1184</v>
      </c>
      <c r="B1185" s="2">
        <v>74</v>
      </c>
      <c r="C1185" s="2">
        <v>1.4</v>
      </c>
      <c r="D1185" s="2">
        <v>0.1</v>
      </c>
      <c r="E1185" s="2">
        <v>17.2</v>
      </c>
      <c r="F1185" s="2" t="s">
        <v>2339</v>
      </c>
      <c r="G1185" s="2" t="s">
        <v>2340</v>
      </c>
    </row>
    <row r="1186" spans="1:7" ht="150" x14ac:dyDescent="0.25">
      <c r="A1186" s="2">
        <v>1185</v>
      </c>
      <c r="B1186" s="2">
        <v>347</v>
      </c>
      <c r="C1186" s="2">
        <v>0.5</v>
      </c>
      <c r="D1186" s="2">
        <v>0.9</v>
      </c>
      <c r="E1186" s="2">
        <v>84.2</v>
      </c>
      <c r="F1186" s="2" t="s">
        <v>2341</v>
      </c>
      <c r="G1186" s="2" t="s">
        <v>2342</v>
      </c>
    </row>
    <row r="1187" spans="1:7" ht="240" x14ac:dyDescent="0.25">
      <c r="A1187" s="2">
        <v>1186</v>
      </c>
      <c r="B1187" s="2">
        <v>68</v>
      </c>
      <c r="C1187" s="2">
        <v>7.8</v>
      </c>
      <c r="D1187" s="2">
        <v>4.5999999999999996</v>
      </c>
      <c r="E1187" s="2">
        <v>1.6</v>
      </c>
      <c r="F1187" s="2" t="s">
        <v>2343</v>
      </c>
      <c r="G1187" s="2" t="s">
        <v>2344</v>
      </c>
    </row>
    <row r="1188" spans="1:7" ht="150" x14ac:dyDescent="0.25">
      <c r="A1188" s="2">
        <v>1187</v>
      </c>
      <c r="B1188" s="2">
        <v>115</v>
      </c>
      <c r="C1188" s="2">
        <v>9.6999999999999993</v>
      </c>
      <c r="D1188" s="2">
        <v>8.5</v>
      </c>
      <c r="E1188" s="2">
        <v>2.5</v>
      </c>
      <c r="F1188" s="2" t="s">
        <v>2345</v>
      </c>
      <c r="G1188" s="2" t="s">
        <v>2346</v>
      </c>
    </row>
    <row r="1189" spans="1:7" ht="135" x14ac:dyDescent="0.25">
      <c r="A1189" s="2">
        <v>1188</v>
      </c>
      <c r="B1189" s="2">
        <v>328</v>
      </c>
      <c r="C1189" s="2">
        <v>12.6</v>
      </c>
      <c r="D1189" s="2">
        <v>19.899999999999999</v>
      </c>
      <c r="E1189" s="2">
        <v>24.6</v>
      </c>
      <c r="F1189" s="2" t="s">
        <v>2347</v>
      </c>
      <c r="G1189" s="2" t="s">
        <v>2348</v>
      </c>
    </row>
    <row r="1190" spans="1:7" ht="285" x14ac:dyDescent="0.25">
      <c r="A1190" s="2">
        <v>1189</v>
      </c>
      <c r="B1190" s="2">
        <v>148</v>
      </c>
      <c r="C1190" s="2">
        <v>13.8</v>
      </c>
      <c r="D1190" s="2">
        <v>8.5</v>
      </c>
      <c r="E1190" s="2">
        <v>4</v>
      </c>
      <c r="F1190" s="2" t="s">
        <v>2349</v>
      </c>
      <c r="G1190" s="2" t="s">
        <v>2350</v>
      </c>
    </row>
    <row r="1191" spans="1:7" ht="240" x14ac:dyDescent="0.25">
      <c r="A1191" s="2">
        <v>1190</v>
      </c>
      <c r="B1191" s="2">
        <v>120</v>
      </c>
      <c r="C1191" s="2">
        <v>1.5</v>
      </c>
      <c r="D1191" s="2">
        <v>0.3</v>
      </c>
      <c r="E1191" s="2">
        <v>28.2</v>
      </c>
      <c r="F1191" s="2" t="s">
        <v>2351</v>
      </c>
      <c r="G1191" s="2" t="s">
        <v>2352</v>
      </c>
    </row>
    <row r="1192" spans="1:7" ht="135" x14ac:dyDescent="0.25">
      <c r="A1192" s="2">
        <v>1191</v>
      </c>
      <c r="B1192" s="2">
        <v>163</v>
      </c>
      <c r="C1192" s="2">
        <v>2.2999999999999998</v>
      </c>
      <c r="D1192" s="2">
        <v>0.5</v>
      </c>
      <c r="E1192" s="2">
        <v>36.4</v>
      </c>
      <c r="F1192" s="2" t="s">
        <v>2353</v>
      </c>
      <c r="G1192" s="2" t="s">
        <v>2354</v>
      </c>
    </row>
    <row r="1193" spans="1:7" ht="150" x14ac:dyDescent="0.25">
      <c r="A1193" s="2">
        <v>1192</v>
      </c>
      <c r="B1193" s="2">
        <v>115</v>
      </c>
      <c r="C1193" s="2">
        <v>1.8</v>
      </c>
      <c r="D1193" s="2">
        <v>0.5</v>
      </c>
      <c r="E1193" s="2">
        <v>25.9</v>
      </c>
      <c r="F1193" s="2" t="s">
        <v>2355</v>
      </c>
      <c r="G1193" s="2" t="s">
        <v>2356</v>
      </c>
    </row>
    <row r="1194" spans="1:7" ht="150" x14ac:dyDescent="0.25">
      <c r="A1194" s="2">
        <v>1193</v>
      </c>
      <c r="B1194" s="2">
        <v>120</v>
      </c>
      <c r="C1194" s="2">
        <v>1.5</v>
      </c>
      <c r="D1194" s="2">
        <v>0.3</v>
      </c>
      <c r="E1194" s="2">
        <v>28.2</v>
      </c>
      <c r="F1194" s="2" t="s">
        <v>2357</v>
      </c>
      <c r="G1194" s="2" t="s">
        <v>2358</v>
      </c>
    </row>
    <row r="1195" spans="1:7" ht="240" x14ac:dyDescent="0.25">
      <c r="A1195" s="2">
        <v>1194</v>
      </c>
      <c r="B1195" s="2">
        <v>98</v>
      </c>
      <c r="C1195" s="2">
        <v>1.9</v>
      </c>
      <c r="D1195" s="2">
        <v>0.2</v>
      </c>
      <c r="E1195" s="2">
        <v>23.7</v>
      </c>
      <c r="F1195" s="2" t="s">
        <v>2359</v>
      </c>
      <c r="G1195" s="2" t="s">
        <v>2360</v>
      </c>
    </row>
    <row r="1196" spans="1:7" ht="270" x14ac:dyDescent="0.25">
      <c r="A1196" s="2">
        <v>1195</v>
      </c>
      <c r="B1196" s="2">
        <v>166</v>
      </c>
      <c r="C1196" s="2">
        <v>10.4</v>
      </c>
      <c r="D1196" s="2">
        <v>4.9000000000000004</v>
      </c>
      <c r="E1196" s="2">
        <v>24.1</v>
      </c>
      <c r="F1196" s="2" t="s">
        <v>2361</v>
      </c>
      <c r="G1196" s="2" t="s">
        <v>2362</v>
      </c>
    </row>
    <row r="1197" spans="1:7" ht="330" x14ac:dyDescent="0.25">
      <c r="A1197" s="2">
        <v>1196</v>
      </c>
      <c r="B1197" s="2">
        <v>88</v>
      </c>
      <c r="C1197" s="2">
        <v>3.2</v>
      </c>
      <c r="D1197" s="2">
        <v>2.1</v>
      </c>
      <c r="E1197" s="2">
        <v>14</v>
      </c>
      <c r="F1197" s="2" t="s">
        <v>2363</v>
      </c>
      <c r="G1197" s="2" t="s">
        <v>2364</v>
      </c>
    </row>
    <row r="1198" spans="1:7" ht="225" x14ac:dyDescent="0.25">
      <c r="A1198" s="2">
        <v>1197</v>
      </c>
      <c r="B1198" s="2">
        <v>76</v>
      </c>
      <c r="C1198" s="2">
        <v>9</v>
      </c>
      <c r="D1198" s="2">
        <v>2.6</v>
      </c>
      <c r="E1198" s="2">
        <v>6.4</v>
      </c>
      <c r="F1198" s="2" t="s">
        <v>2365</v>
      </c>
      <c r="G1198" s="2" t="s">
        <v>2366</v>
      </c>
    </row>
    <row r="1199" spans="1:7" ht="409.5" x14ac:dyDescent="0.25">
      <c r="A1199" s="2">
        <v>1198</v>
      </c>
      <c r="B1199" s="2">
        <v>28</v>
      </c>
      <c r="C1199" s="2">
        <v>3</v>
      </c>
      <c r="D1199" s="2">
        <v>0.8</v>
      </c>
      <c r="E1199" s="2">
        <v>4</v>
      </c>
      <c r="F1199" s="2" t="s">
        <v>2367</v>
      </c>
      <c r="G1199" s="2" t="s">
        <v>2368</v>
      </c>
    </row>
    <row r="1200" spans="1:7" ht="285" x14ac:dyDescent="0.25">
      <c r="A1200" s="2">
        <v>1199</v>
      </c>
      <c r="B1200" s="2">
        <v>34</v>
      </c>
      <c r="C1200" s="2">
        <v>3.7</v>
      </c>
      <c r="D1200" s="2">
        <v>1.2</v>
      </c>
      <c r="E1200" s="2">
        <v>4.3</v>
      </c>
      <c r="F1200" s="2" t="s">
        <v>2369</v>
      </c>
      <c r="G1200" s="2" t="s">
        <v>2370</v>
      </c>
    </row>
    <row r="1201" spans="1:7" ht="315" x14ac:dyDescent="0.25">
      <c r="A1201" s="2">
        <v>1200</v>
      </c>
      <c r="B1201" s="2">
        <v>104</v>
      </c>
      <c r="C1201" s="2">
        <v>12.9</v>
      </c>
      <c r="D1201" s="2">
        <v>6.8</v>
      </c>
      <c r="E1201" s="2">
        <v>1.2</v>
      </c>
      <c r="F1201" s="2" t="s">
        <v>2371</v>
      </c>
      <c r="G1201" s="2" t="s">
        <v>2372</v>
      </c>
    </row>
    <row r="1202" spans="1:7" ht="210" x14ac:dyDescent="0.25">
      <c r="A1202" s="2">
        <v>1201</v>
      </c>
      <c r="B1202" s="2">
        <v>99</v>
      </c>
      <c r="C1202" s="2">
        <v>1.7</v>
      </c>
      <c r="D1202" s="2">
        <v>0.3</v>
      </c>
      <c r="E1202" s="2">
        <v>22.4</v>
      </c>
      <c r="F1202" s="2" t="s">
        <v>2373</v>
      </c>
      <c r="G1202" s="2" t="s">
        <v>2374</v>
      </c>
    </row>
    <row r="1203" spans="1:7" ht="300" x14ac:dyDescent="0.25">
      <c r="A1203" s="2">
        <v>1202</v>
      </c>
      <c r="B1203" s="2">
        <v>166</v>
      </c>
      <c r="C1203" s="2">
        <v>3.8</v>
      </c>
      <c r="D1203" s="2">
        <v>1</v>
      </c>
      <c r="E1203" s="2">
        <v>34.4</v>
      </c>
      <c r="F1203" s="2" t="s">
        <v>2375</v>
      </c>
      <c r="G1203" s="2" t="s">
        <v>2376</v>
      </c>
    </row>
    <row r="1204" spans="1:7" ht="150" x14ac:dyDescent="0.25">
      <c r="A1204" s="2">
        <v>1203</v>
      </c>
      <c r="B1204" s="2">
        <v>172</v>
      </c>
      <c r="C1204" s="2">
        <v>3</v>
      </c>
      <c r="D1204" s="2">
        <v>0.5</v>
      </c>
      <c r="E1204" s="2">
        <v>37.5</v>
      </c>
      <c r="F1204" s="2" t="s">
        <v>2377</v>
      </c>
      <c r="G1204" s="2" t="s">
        <v>2378</v>
      </c>
    </row>
    <row r="1205" spans="1:7" ht="285" x14ac:dyDescent="0.25">
      <c r="A1205" s="2">
        <v>1204</v>
      </c>
      <c r="B1205" s="2">
        <v>169</v>
      </c>
      <c r="C1205" s="2">
        <v>1.4</v>
      </c>
      <c r="D1205" s="2">
        <v>0.3</v>
      </c>
      <c r="E1205" s="2">
        <v>40.200000000000003</v>
      </c>
      <c r="F1205" s="2" t="s">
        <v>2379</v>
      </c>
      <c r="G1205" s="2" t="s">
        <v>2380</v>
      </c>
    </row>
    <row r="1206" spans="1:7" ht="210" x14ac:dyDescent="0.25">
      <c r="A1206" s="2">
        <v>1205</v>
      </c>
      <c r="B1206" s="2">
        <v>358</v>
      </c>
      <c r="C1206" s="2">
        <v>7.5</v>
      </c>
      <c r="D1206" s="2">
        <v>4.3</v>
      </c>
      <c r="E1206" s="2">
        <v>70.400000000000006</v>
      </c>
      <c r="F1206" s="2" t="s">
        <v>2381</v>
      </c>
      <c r="G1206" s="2" t="s">
        <v>2382</v>
      </c>
    </row>
    <row r="1207" spans="1:7" ht="300" x14ac:dyDescent="0.25">
      <c r="A1207" s="2">
        <v>1206</v>
      </c>
      <c r="B1207" s="2">
        <v>277</v>
      </c>
      <c r="C1207" s="2">
        <v>9.1</v>
      </c>
      <c r="D1207" s="2">
        <v>4.7</v>
      </c>
      <c r="E1207" s="2">
        <v>49.6</v>
      </c>
      <c r="F1207" s="2" t="s">
        <v>2383</v>
      </c>
      <c r="G1207" s="2" t="s">
        <v>2384</v>
      </c>
    </row>
    <row r="1208" spans="1:7" ht="165" x14ac:dyDescent="0.25">
      <c r="A1208" s="2">
        <v>1207</v>
      </c>
      <c r="B1208" s="2">
        <v>25</v>
      </c>
      <c r="C1208" s="2">
        <v>4.5999999999999996</v>
      </c>
      <c r="D1208" s="2">
        <v>0.4</v>
      </c>
      <c r="E1208" s="2">
        <v>3</v>
      </c>
      <c r="F1208" s="2" t="s">
        <v>2385</v>
      </c>
      <c r="G1208" s="2" t="s">
        <v>2386</v>
      </c>
    </row>
    <row r="1209" spans="1:7" ht="240" x14ac:dyDescent="0.25">
      <c r="A1209" s="2">
        <v>1208</v>
      </c>
      <c r="B1209" s="2">
        <v>83</v>
      </c>
      <c r="C1209" s="2">
        <v>10.4</v>
      </c>
      <c r="D1209" s="2">
        <v>3.4</v>
      </c>
      <c r="E1209" s="2">
        <v>2.8</v>
      </c>
      <c r="F1209" s="2" t="s">
        <v>2387</v>
      </c>
      <c r="G1209" s="2" t="s">
        <v>2388</v>
      </c>
    </row>
    <row r="1210" spans="1:7" ht="409.5" x14ac:dyDescent="0.25">
      <c r="A1210" s="2">
        <v>1209</v>
      </c>
      <c r="B1210" s="2">
        <v>132</v>
      </c>
      <c r="C1210" s="2">
        <v>19.5</v>
      </c>
      <c r="D1210" s="2">
        <v>0.7</v>
      </c>
      <c r="E1210" s="2">
        <v>67.8</v>
      </c>
      <c r="F1210" s="2" t="s">
        <v>2389</v>
      </c>
      <c r="G1210" s="2" t="s">
        <v>2390</v>
      </c>
    </row>
    <row r="1211" spans="1:7" ht="120" x14ac:dyDescent="0.25">
      <c r="A1211" s="2">
        <v>1210</v>
      </c>
      <c r="B1211" s="2">
        <v>300</v>
      </c>
      <c r="C1211" s="2">
        <v>28.3</v>
      </c>
      <c r="D1211" s="2">
        <v>4.8</v>
      </c>
      <c r="E1211" s="2">
        <v>53.6</v>
      </c>
      <c r="F1211" s="2" t="s">
        <v>2391</v>
      </c>
      <c r="G1211" s="2" t="s">
        <v>2392</v>
      </c>
    </row>
    <row r="1212" spans="1:7" ht="180" x14ac:dyDescent="0.25">
      <c r="A1212" s="2">
        <v>1211</v>
      </c>
      <c r="B1212" s="2">
        <v>299</v>
      </c>
      <c r="C1212" s="2">
        <v>24.1</v>
      </c>
      <c r="D1212" s="2">
        <v>3.5</v>
      </c>
      <c r="E1212" s="2">
        <v>59</v>
      </c>
      <c r="F1212" s="2" t="s">
        <v>2393</v>
      </c>
      <c r="G1212" s="2" t="s">
        <v>2394</v>
      </c>
    </row>
    <row r="1213" spans="1:7" ht="90" x14ac:dyDescent="0.25">
      <c r="A1213" s="2">
        <v>1212</v>
      </c>
      <c r="B1213" s="2">
        <v>34</v>
      </c>
      <c r="C1213" s="2">
        <v>2</v>
      </c>
      <c r="D1213" s="2">
        <v>0.1</v>
      </c>
      <c r="E1213" s="2">
        <v>7.9</v>
      </c>
      <c r="F1213" s="2" t="s">
        <v>2395</v>
      </c>
      <c r="G1213" s="2" t="s">
        <v>2396</v>
      </c>
    </row>
    <row r="1214" spans="1:7" ht="120" x14ac:dyDescent="0.25">
      <c r="A1214" s="2">
        <v>1213</v>
      </c>
      <c r="B1214" s="2">
        <v>294</v>
      </c>
      <c r="C1214" s="2">
        <v>8.3000000000000007</v>
      </c>
      <c r="D1214" s="2">
        <v>1.7</v>
      </c>
      <c r="E1214" s="2">
        <v>72.599999999999994</v>
      </c>
      <c r="F1214" s="2" t="s">
        <v>2397</v>
      </c>
      <c r="G1214" s="2" t="s">
        <v>2398</v>
      </c>
    </row>
    <row r="1215" spans="1:7" ht="409.5" x14ac:dyDescent="0.25">
      <c r="A1215" s="2">
        <v>1214</v>
      </c>
      <c r="B1215" s="2">
        <v>53</v>
      </c>
      <c r="C1215" s="2">
        <v>1.9</v>
      </c>
      <c r="D1215" s="2">
        <v>0.9</v>
      </c>
      <c r="E1215" s="2">
        <v>9.4</v>
      </c>
      <c r="F1215" s="2" t="s">
        <v>2399</v>
      </c>
      <c r="G1215" s="2" t="s">
        <v>2400</v>
      </c>
    </row>
    <row r="1216" spans="1:7" ht="240" x14ac:dyDescent="0.25">
      <c r="A1216" s="2">
        <v>1215</v>
      </c>
      <c r="B1216" s="2">
        <v>162</v>
      </c>
      <c r="C1216" s="2">
        <v>12.8</v>
      </c>
      <c r="D1216" s="2">
        <v>11.5</v>
      </c>
      <c r="E1216" s="2">
        <v>0.7</v>
      </c>
      <c r="F1216" s="2" t="s">
        <v>2401</v>
      </c>
      <c r="G1216" s="2" t="s">
        <v>2402</v>
      </c>
    </row>
    <row r="1217" spans="1:7" ht="195" x14ac:dyDescent="0.25">
      <c r="A1217" s="2">
        <v>1216</v>
      </c>
      <c r="B1217" s="2">
        <v>361</v>
      </c>
      <c r="C1217" s="2">
        <v>19.3</v>
      </c>
      <c r="D1217" s="2">
        <v>31.9</v>
      </c>
      <c r="E1217" s="2">
        <v>0.7</v>
      </c>
      <c r="F1217" s="2" t="s">
        <v>2403</v>
      </c>
      <c r="G1217" s="2" t="s">
        <v>2404</v>
      </c>
    </row>
    <row r="1218" spans="1:7" ht="300" x14ac:dyDescent="0.25">
      <c r="A1218" s="2">
        <v>1217</v>
      </c>
      <c r="B1218" s="2">
        <v>50</v>
      </c>
      <c r="C1218" s="2">
        <v>10.8</v>
      </c>
      <c r="D1218" s="2">
        <v>0</v>
      </c>
      <c r="E1218" s="2">
        <v>0.8</v>
      </c>
      <c r="F1218" s="2" t="s">
        <v>2405</v>
      </c>
      <c r="G1218" s="2" t="s">
        <v>2406</v>
      </c>
    </row>
    <row r="1219" spans="1:7" ht="240" x14ac:dyDescent="0.25">
      <c r="A1219" s="2">
        <v>1218</v>
      </c>
      <c r="B1219" s="2">
        <v>383</v>
      </c>
      <c r="C1219" s="2">
        <v>15.1</v>
      </c>
      <c r="D1219" s="2">
        <v>32.9</v>
      </c>
      <c r="E1219" s="2">
        <v>8.3000000000000007</v>
      </c>
      <c r="F1219" s="2" t="s">
        <v>2407</v>
      </c>
      <c r="G1219" s="2" t="s">
        <v>2408</v>
      </c>
    </row>
    <row r="1220" spans="1:7" ht="225" x14ac:dyDescent="0.25">
      <c r="A1220" s="2">
        <v>1219</v>
      </c>
      <c r="B1220" s="2">
        <v>251</v>
      </c>
      <c r="C1220" s="2">
        <v>16.3</v>
      </c>
      <c r="D1220" s="2">
        <v>19.399999999999999</v>
      </c>
      <c r="E1220" s="2">
        <v>1.4</v>
      </c>
      <c r="F1220" s="2" t="s">
        <v>2409</v>
      </c>
      <c r="G1220" s="2" t="s">
        <v>2410</v>
      </c>
    </row>
    <row r="1221" spans="1:7" ht="225" x14ac:dyDescent="0.25">
      <c r="A1221" s="2">
        <v>1220</v>
      </c>
      <c r="B1221" s="2">
        <v>179</v>
      </c>
      <c r="C1221" s="2">
        <v>13.6</v>
      </c>
      <c r="D1221" s="2">
        <v>13.3</v>
      </c>
      <c r="E1221" s="2">
        <v>4.4000000000000004</v>
      </c>
      <c r="F1221" s="2" t="s">
        <v>2411</v>
      </c>
      <c r="G1221" s="2" t="s">
        <v>2412</v>
      </c>
    </row>
    <row r="1222" spans="1:7" ht="150" x14ac:dyDescent="0.25">
      <c r="A1222" s="2">
        <v>1221</v>
      </c>
      <c r="B1222" s="2">
        <v>386</v>
      </c>
      <c r="C1222" s="2">
        <v>17</v>
      </c>
      <c r="D1222" s="2">
        <v>35</v>
      </c>
      <c r="E1222" s="2">
        <v>0.8</v>
      </c>
      <c r="F1222" s="2" t="s">
        <v>2413</v>
      </c>
      <c r="G1222" s="2" t="s">
        <v>2414</v>
      </c>
    </row>
    <row r="1223" spans="1:7" ht="150" x14ac:dyDescent="0.25">
      <c r="A1223" s="2">
        <v>1222</v>
      </c>
      <c r="B1223" s="2">
        <v>54</v>
      </c>
      <c r="C1223" s="2">
        <v>11</v>
      </c>
      <c r="D1223" s="2">
        <v>0</v>
      </c>
      <c r="E1223" s="2">
        <v>0.8</v>
      </c>
      <c r="F1223" s="2" t="s">
        <v>2415</v>
      </c>
      <c r="G1223" s="2" t="s">
        <v>2416</v>
      </c>
    </row>
    <row r="1224" spans="1:7" ht="180" x14ac:dyDescent="0.25">
      <c r="A1224" s="2">
        <v>1223</v>
      </c>
      <c r="B1224" s="2">
        <v>54</v>
      </c>
      <c r="C1224" s="2">
        <v>11</v>
      </c>
      <c r="D1224" s="2">
        <v>0</v>
      </c>
      <c r="E1224" s="2">
        <v>0.8</v>
      </c>
      <c r="F1224" s="2" t="s">
        <v>2417</v>
      </c>
      <c r="G1224" s="2" t="s">
        <v>2418</v>
      </c>
    </row>
    <row r="1225" spans="1:7" ht="120" x14ac:dyDescent="0.25">
      <c r="A1225" s="2">
        <v>1224</v>
      </c>
      <c r="B1225" s="2">
        <v>320</v>
      </c>
      <c r="C1225" s="2">
        <v>15.1</v>
      </c>
      <c r="D1225" s="2">
        <v>30.5</v>
      </c>
      <c r="E1225" s="2">
        <v>0.9</v>
      </c>
      <c r="F1225" s="2" t="s">
        <v>2419</v>
      </c>
      <c r="G1225" s="2" t="s">
        <v>2420</v>
      </c>
    </row>
    <row r="1226" spans="1:7" ht="409.5" x14ac:dyDescent="0.25">
      <c r="A1226" s="2">
        <v>1225</v>
      </c>
      <c r="B1226" s="2">
        <v>301</v>
      </c>
      <c r="C1226" s="2">
        <v>20</v>
      </c>
      <c r="D1226" s="2">
        <v>23.7</v>
      </c>
      <c r="E1226" s="2">
        <v>0</v>
      </c>
      <c r="F1226" s="2" t="s">
        <v>2421</v>
      </c>
      <c r="G1226" s="2" t="s">
        <v>2422</v>
      </c>
    </row>
    <row r="1227" spans="1:7" ht="165" x14ac:dyDescent="0.25">
      <c r="A1227" s="2">
        <v>1226</v>
      </c>
      <c r="B1227" s="2">
        <v>187</v>
      </c>
      <c r="C1227" s="2">
        <v>10.9</v>
      </c>
      <c r="D1227" s="2">
        <v>12.4</v>
      </c>
      <c r="E1227" s="2">
        <v>7.9</v>
      </c>
      <c r="F1227" s="2" t="s">
        <v>2423</v>
      </c>
      <c r="G1227" s="2" t="s">
        <v>2424</v>
      </c>
    </row>
    <row r="1228" spans="1:7" ht="225" x14ac:dyDescent="0.25">
      <c r="A1228" s="2">
        <v>1227</v>
      </c>
      <c r="B1228" s="2">
        <v>195</v>
      </c>
      <c r="C1228" s="2">
        <v>13.6</v>
      </c>
      <c r="D1228" s="2">
        <v>13.6</v>
      </c>
      <c r="E1228" s="2">
        <v>1.4</v>
      </c>
      <c r="F1228" s="2" t="s">
        <v>2425</v>
      </c>
      <c r="G1228" s="2" t="s">
        <v>2412</v>
      </c>
    </row>
    <row r="1229" spans="1:7" ht="165" x14ac:dyDescent="0.25">
      <c r="A1229" s="2">
        <v>1228</v>
      </c>
      <c r="B1229" s="2">
        <v>116</v>
      </c>
      <c r="C1229" s="2">
        <v>10.7</v>
      </c>
      <c r="D1229" s="2">
        <v>7</v>
      </c>
      <c r="E1229" s="2">
        <v>1.6</v>
      </c>
      <c r="F1229" s="2" t="s">
        <v>2426</v>
      </c>
      <c r="G1229" s="2" t="s">
        <v>2427</v>
      </c>
    </row>
    <row r="1230" spans="1:7" ht="195" x14ac:dyDescent="0.25">
      <c r="A1230" s="2">
        <v>1229</v>
      </c>
      <c r="B1230" s="2">
        <v>144</v>
      </c>
      <c r="C1230" s="2">
        <v>12</v>
      </c>
      <c r="D1230" s="2">
        <v>10.199999999999999</v>
      </c>
      <c r="E1230" s="2">
        <v>0</v>
      </c>
      <c r="F1230" s="2" t="s">
        <v>2428</v>
      </c>
      <c r="G1230" s="2" t="s">
        <v>2429</v>
      </c>
    </row>
    <row r="1231" spans="1:7" ht="180" x14ac:dyDescent="0.25">
      <c r="A1231" s="2">
        <v>1230</v>
      </c>
      <c r="B1231" s="2">
        <v>425</v>
      </c>
      <c r="C1231" s="2">
        <v>31</v>
      </c>
      <c r="D1231" s="2">
        <v>28</v>
      </c>
      <c r="E1231" s="2">
        <v>10</v>
      </c>
      <c r="F1231" s="2" t="s">
        <v>2430</v>
      </c>
      <c r="G1231" s="2" t="s">
        <v>2431</v>
      </c>
    </row>
    <row r="1232" spans="1:7" ht="330" x14ac:dyDescent="0.25">
      <c r="A1232" s="2">
        <v>1231</v>
      </c>
      <c r="B1232" s="2">
        <v>119</v>
      </c>
      <c r="C1232" s="2">
        <v>4.4000000000000004</v>
      </c>
      <c r="D1232" s="2">
        <v>3.5</v>
      </c>
      <c r="E1232" s="2">
        <v>18.3</v>
      </c>
      <c r="F1232" s="2" t="s">
        <v>2432</v>
      </c>
      <c r="G1232" s="2" t="s">
        <v>2433</v>
      </c>
    </row>
    <row r="1233" spans="1:7" ht="180" x14ac:dyDescent="0.25">
      <c r="A1233" s="2">
        <v>1232</v>
      </c>
      <c r="B1233" s="2">
        <v>73</v>
      </c>
      <c r="C1233" s="2">
        <v>5.7</v>
      </c>
      <c r="D1233" s="2">
        <v>1.3</v>
      </c>
      <c r="E1233" s="2">
        <v>4.2</v>
      </c>
      <c r="F1233" s="2" t="s">
        <v>2434</v>
      </c>
      <c r="G1233" s="2" t="s">
        <v>2435</v>
      </c>
    </row>
    <row r="1234" spans="1:7" ht="270" x14ac:dyDescent="0.25">
      <c r="A1234" s="2">
        <v>1233</v>
      </c>
      <c r="B1234" s="2">
        <v>76</v>
      </c>
      <c r="C1234" s="2">
        <v>6.8</v>
      </c>
      <c r="D1234" s="2">
        <v>0.7</v>
      </c>
      <c r="E1234" s="2">
        <v>10.6</v>
      </c>
      <c r="F1234" s="2" t="s">
        <v>2436</v>
      </c>
      <c r="G1234" s="2" t="s">
        <v>2437</v>
      </c>
    </row>
    <row r="1235" spans="1:7" ht="225" x14ac:dyDescent="0.25">
      <c r="A1235" s="2">
        <v>1234</v>
      </c>
      <c r="B1235" s="2">
        <v>328</v>
      </c>
      <c r="C1235" s="2">
        <v>18.399999999999999</v>
      </c>
      <c r="D1235" s="2">
        <v>23.2</v>
      </c>
      <c r="E1235" s="2">
        <v>12.8</v>
      </c>
      <c r="F1235" s="2" t="s">
        <v>2438</v>
      </c>
      <c r="G1235" s="2" t="s">
        <v>2439</v>
      </c>
    </row>
    <row r="1236" spans="1:7" ht="240" x14ac:dyDescent="0.25">
      <c r="A1236" s="2">
        <v>1235</v>
      </c>
      <c r="B1236" s="2">
        <v>139</v>
      </c>
      <c r="C1236" s="2">
        <v>12.5</v>
      </c>
      <c r="D1236" s="2">
        <v>0.8</v>
      </c>
      <c r="E1236" s="2">
        <v>21.9</v>
      </c>
      <c r="F1236" s="2" t="s">
        <v>2440</v>
      </c>
      <c r="G1236" s="2" t="s">
        <v>2441</v>
      </c>
    </row>
    <row r="1237" spans="1:7" ht="195" x14ac:dyDescent="0.25">
      <c r="A1237" s="2">
        <v>1236</v>
      </c>
      <c r="B1237" s="2">
        <v>212</v>
      </c>
      <c r="C1237" s="2">
        <v>17.5</v>
      </c>
      <c r="D1237" s="2">
        <v>10</v>
      </c>
      <c r="E1237" s="2">
        <v>12.9</v>
      </c>
      <c r="F1237" s="2" t="s">
        <v>2442</v>
      </c>
      <c r="G1237" s="2" t="s">
        <v>2443</v>
      </c>
    </row>
    <row r="1238" spans="1:7" ht="195" x14ac:dyDescent="0.25">
      <c r="A1238" s="2">
        <v>1237</v>
      </c>
      <c r="B1238" s="2">
        <v>143</v>
      </c>
      <c r="C1238" s="2">
        <v>12</v>
      </c>
      <c r="D1238" s="2">
        <v>5.5</v>
      </c>
      <c r="E1238" s="2">
        <v>11.4</v>
      </c>
      <c r="F1238" s="2" t="s">
        <v>2444</v>
      </c>
      <c r="G1238" s="2" t="s">
        <v>2445</v>
      </c>
    </row>
    <row r="1239" spans="1:7" ht="285" x14ac:dyDescent="0.25">
      <c r="A1239" s="2">
        <v>1238</v>
      </c>
      <c r="B1239" s="2">
        <v>350</v>
      </c>
      <c r="C1239" s="2">
        <v>24.5</v>
      </c>
      <c r="D1239" s="2">
        <v>26.6</v>
      </c>
      <c r="E1239" s="2">
        <v>10.4</v>
      </c>
      <c r="F1239" s="2" t="s">
        <v>2446</v>
      </c>
      <c r="G1239" s="2" t="s">
        <v>2447</v>
      </c>
    </row>
    <row r="1240" spans="1:7" ht="180" x14ac:dyDescent="0.25">
      <c r="A1240" s="2">
        <v>1239</v>
      </c>
      <c r="B1240" s="2">
        <v>201</v>
      </c>
      <c r="C1240" s="2">
        <v>20.8</v>
      </c>
      <c r="D1240" s="2">
        <v>8.8000000000000007</v>
      </c>
      <c r="E1240" s="2">
        <v>13.5</v>
      </c>
      <c r="F1240" s="2" t="s">
        <v>2448</v>
      </c>
      <c r="G1240" s="2" t="s">
        <v>2449</v>
      </c>
    </row>
    <row r="1241" spans="1:7" ht="225" x14ac:dyDescent="0.25">
      <c r="A1241" s="2">
        <v>1240</v>
      </c>
      <c r="B1241" s="2">
        <v>141</v>
      </c>
      <c r="C1241" s="2">
        <v>10.199999999999999</v>
      </c>
      <c r="D1241" s="2">
        <v>1.3</v>
      </c>
      <c r="E1241" s="2">
        <v>23.2</v>
      </c>
      <c r="F1241" s="2" t="s">
        <v>2450</v>
      </c>
      <c r="G1241" s="2" t="s">
        <v>2451</v>
      </c>
    </row>
    <row r="1242" spans="1:7" ht="150" x14ac:dyDescent="0.25">
      <c r="A1242" s="2">
        <v>1241</v>
      </c>
      <c r="B1242" s="2">
        <v>146</v>
      </c>
      <c r="C1242" s="2">
        <v>11.7</v>
      </c>
      <c r="D1242" s="2">
        <v>2.2999999999999998</v>
      </c>
      <c r="E1242" s="2">
        <v>19.600000000000001</v>
      </c>
      <c r="F1242" s="2" t="s">
        <v>2452</v>
      </c>
      <c r="G1242" s="2" t="s">
        <v>2453</v>
      </c>
    </row>
    <row r="1243" spans="1:7" ht="150" x14ac:dyDescent="0.25">
      <c r="A1243" s="2">
        <v>1242</v>
      </c>
      <c r="B1243" s="2">
        <v>131</v>
      </c>
      <c r="C1243" s="2">
        <v>18</v>
      </c>
      <c r="D1243" s="2">
        <v>0.8</v>
      </c>
      <c r="E1243" s="2">
        <v>13</v>
      </c>
      <c r="F1243" s="2" t="s">
        <v>2454</v>
      </c>
      <c r="G1243" s="2" t="s">
        <v>2453</v>
      </c>
    </row>
    <row r="1244" spans="1:7" ht="150" x14ac:dyDescent="0.25">
      <c r="A1244" s="2">
        <v>1243</v>
      </c>
      <c r="B1244" s="2">
        <v>150</v>
      </c>
      <c r="C1244" s="2">
        <v>14</v>
      </c>
      <c r="D1244" s="2">
        <v>7.7</v>
      </c>
      <c r="E1244" s="2">
        <v>9.1</v>
      </c>
      <c r="F1244" s="2" t="s">
        <v>2455</v>
      </c>
      <c r="G1244" s="2" t="s">
        <v>2456</v>
      </c>
    </row>
    <row r="1245" spans="1:7" ht="120" x14ac:dyDescent="0.25">
      <c r="A1245" s="2">
        <v>1244</v>
      </c>
      <c r="B1245" s="2">
        <v>336</v>
      </c>
      <c r="C1245" s="2">
        <v>20</v>
      </c>
      <c r="D1245" s="2">
        <v>28</v>
      </c>
      <c r="E1245" s="2">
        <v>7.8</v>
      </c>
      <c r="F1245" s="2" t="s">
        <v>2457</v>
      </c>
      <c r="G1245" s="2" t="s">
        <v>2458</v>
      </c>
    </row>
    <row r="1246" spans="1:7" ht="180" x14ac:dyDescent="0.25">
      <c r="A1246" s="2">
        <v>1245</v>
      </c>
      <c r="B1246" s="2">
        <v>240</v>
      </c>
      <c r="C1246" s="2">
        <v>6</v>
      </c>
      <c r="D1246" s="2">
        <v>2.7</v>
      </c>
      <c r="E1246" s="2">
        <v>49.3</v>
      </c>
      <c r="F1246" s="2" t="s">
        <v>2459</v>
      </c>
      <c r="G1246" s="2" t="s">
        <v>2460</v>
      </c>
    </row>
    <row r="1247" spans="1:7" ht="150" x14ac:dyDescent="0.25">
      <c r="A1247" s="2">
        <v>1246</v>
      </c>
      <c r="B1247" s="2">
        <v>110</v>
      </c>
      <c r="C1247" s="2">
        <v>1.7</v>
      </c>
      <c r="D1247" s="2">
        <v>1.3</v>
      </c>
      <c r="E1247" s="2">
        <v>21.9</v>
      </c>
      <c r="F1247" s="2" t="s">
        <v>2461</v>
      </c>
      <c r="G1247" s="2" t="s">
        <v>2462</v>
      </c>
    </row>
    <row r="1248" spans="1:7" ht="150" x14ac:dyDescent="0.25">
      <c r="A1248" s="2">
        <v>1247</v>
      </c>
      <c r="B1248" s="2">
        <v>126</v>
      </c>
      <c r="C1248" s="2">
        <v>1.1000000000000001</v>
      </c>
      <c r="D1248" s="2">
        <v>2.2000000000000002</v>
      </c>
      <c r="E1248" s="2">
        <v>25.7</v>
      </c>
      <c r="F1248" s="2" t="s">
        <v>2463</v>
      </c>
      <c r="G1248" s="2" t="s">
        <v>2464</v>
      </c>
    </row>
    <row r="1249" spans="1:7" ht="270" x14ac:dyDescent="0.25">
      <c r="A1249" s="2">
        <v>1248</v>
      </c>
      <c r="B1249" s="2">
        <v>355</v>
      </c>
      <c r="C1249" s="2">
        <v>0.7</v>
      </c>
      <c r="D1249" s="2">
        <v>0.2</v>
      </c>
      <c r="E1249" s="2">
        <v>85.2</v>
      </c>
      <c r="F1249" s="2" t="s">
        <v>2465</v>
      </c>
      <c r="G1249" s="2" t="s">
        <v>2466</v>
      </c>
    </row>
    <row r="1250" spans="1:7" ht="225" x14ac:dyDescent="0.25">
      <c r="A1250" s="2">
        <v>1249</v>
      </c>
      <c r="B1250" s="2">
        <v>364</v>
      </c>
      <c r="C1250" s="2">
        <v>7</v>
      </c>
      <c r="D1250" s="2">
        <v>0.5</v>
      </c>
      <c r="E1250" s="2">
        <v>80</v>
      </c>
      <c r="F1250" s="2" t="s">
        <v>2467</v>
      </c>
      <c r="G1250" s="2" t="s">
        <v>2468</v>
      </c>
    </row>
    <row r="1251" spans="1:7" ht="390" x14ac:dyDescent="0.25">
      <c r="A1251" s="2">
        <v>1250</v>
      </c>
      <c r="B1251" s="2">
        <v>353</v>
      </c>
      <c r="C1251" s="2">
        <v>7</v>
      </c>
      <c r="D1251" s="2">
        <v>0.5</v>
      </c>
      <c r="E1251" s="2">
        <v>80</v>
      </c>
      <c r="F1251" s="2" t="s">
        <v>2469</v>
      </c>
      <c r="G1251" s="2" t="s">
        <v>2470</v>
      </c>
    </row>
    <row r="1252" spans="1:7" ht="225" x14ac:dyDescent="0.25">
      <c r="A1252" s="2">
        <v>1251</v>
      </c>
      <c r="B1252" s="2">
        <v>353</v>
      </c>
      <c r="C1252" s="2">
        <v>0.8</v>
      </c>
      <c r="D1252" s="2">
        <v>1.7</v>
      </c>
      <c r="E1252" s="2">
        <v>83.6</v>
      </c>
      <c r="F1252" s="2" t="s">
        <v>2471</v>
      </c>
      <c r="G1252" s="2" t="s">
        <v>2472</v>
      </c>
    </row>
    <row r="1253" spans="1:7" ht="409.5" x14ac:dyDescent="0.25">
      <c r="A1253" s="2">
        <v>1252</v>
      </c>
      <c r="B1253" s="2">
        <v>363</v>
      </c>
      <c r="C1253" s="2">
        <v>1.1000000000000001</v>
      </c>
      <c r="D1253" s="2">
        <v>0.5</v>
      </c>
      <c r="E1253" s="2">
        <v>88.2</v>
      </c>
      <c r="F1253" s="2" t="s">
        <v>2473</v>
      </c>
      <c r="G1253" s="2" t="s">
        <v>2474</v>
      </c>
    </row>
    <row r="1254" spans="1:7" ht="345" x14ac:dyDescent="0.25">
      <c r="A1254" s="2">
        <v>1253</v>
      </c>
      <c r="B1254" s="2">
        <v>355</v>
      </c>
      <c r="C1254" s="2">
        <v>0.7</v>
      </c>
      <c r="D1254" s="2">
        <v>0.2</v>
      </c>
      <c r="E1254" s="2">
        <v>85.2</v>
      </c>
      <c r="F1254" s="2" t="s">
        <v>2475</v>
      </c>
      <c r="G1254" s="2" t="s">
        <v>2476</v>
      </c>
    </row>
    <row r="1255" spans="1:7" ht="240" x14ac:dyDescent="0.25">
      <c r="A1255" s="2">
        <v>1254</v>
      </c>
      <c r="B1255" s="2">
        <v>364</v>
      </c>
      <c r="C1255" s="2">
        <v>4.5</v>
      </c>
      <c r="D1255" s="2">
        <v>1</v>
      </c>
      <c r="E1255" s="2">
        <v>83.5</v>
      </c>
      <c r="F1255" s="2" t="s">
        <v>2477</v>
      </c>
      <c r="G1255" s="2" t="s">
        <v>2478</v>
      </c>
    </row>
    <row r="1256" spans="1:7" ht="165" x14ac:dyDescent="0.25">
      <c r="A1256" s="2">
        <v>1255</v>
      </c>
      <c r="B1256" s="2">
        <v>316</v>
      </c>
      <c r="C1256" s="2">
        <v>60.1</v>
      </c>
      <c r="D1256" s="2">
        <v>6.5</v>
      </c>
      <c r="E1256" s="2">
        <v>22.4</v>
      </c>
      <c r="F1256" s="2" t="s">
        <v>2479</v>
      </c>
      <c r="G1256" s="2" t="s">
        <v>2480</v>
      </c>
    </row>
    <row r="1257" spans="1:7" ht="195" x14ac:dyDescent="0.25">
      <c r="A1257" s="2">
        <v>1256</v>
      </c>
      <c r="B1257" s="2">
        <v>355</v>
      </c>
      <c r="C1257" s="2">
        <v>9.1999999999999993</v>
      </c>
      <c r="D1257" s="2">
        <v>3.9</v>
      </c>
      <c r="E1257" s="2">
        <v>73.7</v>
      </c>
      <c r="F1257" s="2" t="s">
        <v>2481</v>
      </c>
      <c r="G1257" s="2" t="s">
        <v>232</v>
      </c>
    </row>
    <row r="1258" spans="1:7" ht="285" x14ac:dyDescent="0.25">
      <c r="A1258" s="2">
        <v>1257</v>
      </c>
      <c r="B1258" s="2">
        <v>355</v>
      </c>
      <c r="C1258" s="2">
        <v>9.1999999999999993</v>
      </c>
      <c r="D1258" s="2">
        <v>3.9</v>
      </c>
      <c r="E1258" s="2">
        <v>73.7</v>
      </c>
      <c r="F1258" s="2" t="s">
        <v>2482</v>
      </c>
      <c r="G1258" s="2" t="s">
        <v>2483</v>
      </c>
    </row>
    <row r="1259" spans="1:7" ht="150" x14ac:dyDescent="0.25">
      <c r="A1259" s="2">
        <v>1258</v>
      </c>
      <c r="B1259" s="2">
        <v>388</v>
      </c>
      <c r="C1259" s="2">
        <v>19</v>
      </c>
      <c r="D1259" s="2">
        <v>7.5</v>
      </c>
      <c r="E1259" s="2">
        <v>61.2</v>
      </c>
      <c r="F1259" s="2" t="s">
        <v>2484</v>
      </c>
      <c r="G1259" s="2" t="s">
        <v>2485</v>
      </c>
    </row>
    <row r="1260" spans="1:7" ht="195" x14ac:dyDescent="0.25">
      <c r="A1260" s="2">
        <v>1259</v>
      </c>
      <c r="B1260" s="2">
        <v>347</v>
      </c>
      <c r="C1260" s="2">
        <v>35.9</v>
      </c>
      <c r="D1260" s="2">
        <v>20.6</v>
      </c>
      <c r="E1260" s="2">
        <v>29.9</v>
      </c>
      <c r="F1260" s="2" t="s">
        <v>2486</v>
      </c>
      <c r="G1260" s="2" t="s">
        <v>2487</v>
      </c>
    </row>
    <row r="1261" spans="1:7" ht="210" x14ac:dyDescent="0.25">
      <c r="A1261" s="2">
        <v>1260</v>
      </c>
      <c r="B1261" s="2">
        <v>347</v>
      </c>
      <c r="C1261" s="2">
        <v>0.3</v>
      </c>
      <c r="D1261" s="2">
        <v>0.1</v>
      </c>
      <c r="E1261" s="2">
        <v>85.6</v>
      </c>
      <c r="F1261" s="2" t="s">
        <v>2488</v>
      </c>
      <c r="G1261" s="2" t="s">
        <v>2489</v>
      </c>
    </row>
    <row r="1262" spans="1:7" ht="165" x14ac:dyDescent="0.25">
      <c r="A1262" s="2">
        <v>1261</v>
      </c>
      <c r="B1262" s="2">
        <v>350</v>
      </c>
      <c r="C1262" s="2">
        <v>1.2</v>
      </c>
      <c r="D1262" s="2">
        <v>0.6</v>
      </c>
      <c r="E1262" s="2">
        <v>85</v>
      </c>
      <c r="F1262" s="2" t="s">
        <v>2490</v>
      </c>
      <c r="G1262" s="2" t="s">
        <v>2491</v>
      </c>
    </row>
    <row r="1263" spans="1:7" ht="150" x14ac:dyDescent="0.25">
      <c r="A1263" s="2">
        <v>1262</v>
      </c>
      <c r="B1263" s="2">
        <v>338</v>
      </c>
      <c r="C1263" s="2">
        <v>2.9</v>
      </c>
      <c r="D1263" s="2">
        <v>0.4</v>
      </c>
      <c r="E1263" s="2">
        <v>80.599999999999994</v>
      </c>
      <c r="F1263" s="2" t="s">
        <v>2492</v>
      </c>
      <c r="G1263" s="2" t="s">
        <v>2493</v>
      </c>
    </row>
    <row r="1264" spans="1:7" ht="240" x14ac:dyDescent="0.25">
      <c r="A1264" s="2">
        <v>1263</v>
      </c>
      <c r="B1264" s="2">
        <v>353</v>
      </c>
      <c r="C1264" s="2">
        <v>0.7</v>
      </c>
      <c r="D1264" s="2">
        <v>0.2</v>
      </c>
      <c r="E1264" s="2">
        <v>84.7</v>
      </c>
      <c r="F1264" s="2" t="s">
        <v>2494</v>
      </c>
      <c r="G1264" s="2" t="s">
        <v>2495</v>
      </c>
    </row>
    <row r="1265" spans="1:7" ht="165" x14ac:dyDescent="0.25">
      <c r="A1265" s="2">
        <v>1264</v>
      </c>
      <c r="B1265" s="2">
        <v>326</v>
      </c>
      <c r="C1265" s="2">
        <v>4</v>
      </c>
      <c r="D1265" s="2">
        <v>0.4</v>
      </c>
      <c r="E1265" s="2">
        <v>76.7</v>
      </c>
      <c r="F1265" s="2" t="s">
        <v>2496</v>
      </c>
      <c r="G1265" s="2" t="s">
        <v>2497</v>
      </c>
    </row>
    <row r="1266" spans="1:7" ht="135" x14ac:dyDescent="0.25">
      <c r="A1266" s="2">
        <v>1265</v>
      </c>
      <c r="B1266" s="2">
        <v>363</v>
      </c>
      <c r="C1266" s="2">
        <v>1.1000000000000001</v>
      </c>
      <c r="D1266" s="2">
        <v>0.5</v>
      </c>
      <c r="E1266" s="2">
        <v>88.2</v>
      </c>
      <c r="F1266" s="2" t="s">
        <v>2498</v>
      </c>
      <c r="G1266" s="2" t="s">
        <v>2499</v>
      </c>
    </row>
    <row r="1267" spans="1:7" ht="270" x14ac:dyDescent="0.25">
      <c r="A1267" s="2">
        <v>1266</v>
      </c>
      <c r="B1267" s="2">
        <v>353</v>
      </c>
      <c r="C1267" s="2">
        <v>2.9</v>
      </c>
      <c r="D1267" s="2">
        <v>0.5</v>
      </c>
      <c r="E1267" s="2">
        <v>84.4</v>
      </c>
      <c r="F1267" s="2" t="s">
        <v>2500</v>
      </c>
      <c r="G1267" s="2" t="s">
        <v>2501</v>
      </c>
    </row>
    <row r="1268" spans="1:7" ht="120" x14ac:dyDescent="0.25">
      <c r="A1268" s="2">
        <v>1267</v>
      </c>
      <c r="B1268" s="2">
        <v>509</v>
      </c>
      <c r="C1268" s="2">
        <v>24.6</v>
      </c>
      <c r="D1268" s="2">
        <v>30</v>
      </c>
      <c r="E1268" s="2">
        <v>36.200000000000003</v>
      </c>
      <c r="F1268" s="2" t="s">
        <v>2502</v>
      </c>
      <c r="G1268" s="2" t="s">
        <v>2503</v>
      </c>
    </row>
    <row r="1269" spans="1:7" ht="300" x14ac:dyDescent="0.25">
      <c r="A1269" s="2">
        <v>1268</v>
      </c>
      <c r="B1269" s="2">
        <v>418</v>
      </c>
      <c r="C1269" s="2">
        <v>19</v>
      </c>
      <c r="D1269" s="2">
        <v>9</v>
      </c>
      <c r="E1269" s="2">
        <v>65.5</v>
      </c>
      <c r="F1269" s="2" t="s">
        <v>2504</v>
      </c>
      <c r="G1269" s="2" t="s">
        <v>2505</v>
      </c>
    </row>
    <row r="1270" spans="1:7" ht="135" x14ac:dyDescent="0.25">
      <c r="A1270" s="2">
        <v>1269</v>
      </c>
      <c r="B1270" s="2">
        <v>362</v>
      </c>
      <c r="C1270" s="2">
        <v>35.6</v>
      </c>
      <c r="D1270" s="2">
        <v>1</v>
      </c>
      <c r="E1270" s="2">
        <v>52</v>
      </c>
      <c r="F1270" s="2" t="s">
        <v>2506</v>
      </c>
      <c r="G1270" s="2" t="s">
        <v>2507</v>
      </c>
    </row>
    <row r="1271" spans="1:7" ht="240" x14ac:dyDescent="0.25">
      <c r="A1271" s="2">
        <v>1270</v>
      </c>
      <c r="B1271" s="2">
        <v>332</v>
      </c>
      <c r="C1271" s="2">
        <v>5.7</v>
      </c>
      <c r="D1271" s="2">
        <v>0.6</v>
      </c>
      <c r="E1271" s="2">
        <v>76.099999999999994</v>
      </c>
      <c r="F1271" s="2" t="s">
        <v>2508</v>
      </c>
      <c r="G1271" s="2" t="s">
        <v>2509</v>
      </c>
    </row>
    <row r="1272" spans="1:7" ht="165" x14ac:dyDescent="0.25">
      <c r="A1272" s="2">
        <v>1271</v>
      </c>
      <c r="B1272" s="2">
        <v>365</v>
      </c>
      <c r="C1272" s="2">
        <v>8.9</v>
      </c>
      <c r="D1272" s="2">
        <v>1.3</v>
      </c>
      <c r="E1272" s="2">
        <v>77.3</v>
      </c>
      <c r="F1272" s="2" t="s">
        <v>2510</v>
      </c>
      <c r="G1272" s="2" t="s">
        <v>2511</v>
      </c>
    </row>
    <row r="1273" spans="1:7" ht="390" x14ac:dyDescent="0.25">
      <c r="A1273" s="2">
        <v>1272</v>
      </c>
      <c r="B1273" s="2">
        <v>354</v>
      </c>
      <c r="C1273" s="2">
        <v>2.8</v>
      </c>
      <c r="D1273" s="2">
        <v>0.6</v>
      </c>
      <c r="E1273" s="2">
        <v>84.4</v>
      </c>
      <c r="F1273" s="2" t="s">
        <v>2512</v>
      </c>
      <c r="G1273" s="2" t="s">
        <v>2513</v>
      </c>
    </row>
    <row r="1274" spans="1:7" ht="240" x14ac:dyDescent="0.25">
      <c r="A1274" s="2">
        <v>1273</v>
      </c>
      <c r="B1274" s="2">
        <v>155</v>
      </c>
      <c r="C1274" s="2">
        <v>22.3</v>
      </c>
      <c r="D1274" s="2">
        <v>2.9</v>
      </c>
      <c r="E1274" s="2">
        <v>9.9</v>
      </c>
      <c r="F1274" s="2" t="s">
        <v>2514</v>
      </c>
      <c r="G1274" s="2" t="s">
        <v>2515</v>
      </c>
    </row>
    <row r="1275" spans="1:7" ht="120" x14ac:dyDescent="0.25">
      <c r="A1275" s="2">
        <v>1274</v>
      </c>
      <c r="B1275" s="2">
        <v>191</v>
      </c>
      <c r="C1275" s="2">
        <v>33.1</v>
      </c>
      <c r="D1275" s="2">
        <v>3.6</v>
      </c>
      <c r="E1275" s="2">
        <v>6.6</v>
      </c>
      <c r="F1275" s="2" t="s">
        <v>2516</v>
      </c>
      <c r="G1275" s="2" t="s">
        <v>2517</v>
      </c>
    </row>
    <row r="1276" spans="1:7" ht="255" x14ac:dyDescent="0.25">
      <c r="A1276" s="2">
        <v>1275</v>
      </c>
      <c r="B1276" s="2">
        <v>174</v>
      </c>
      <c r="C1276" s="2">
        <v>30</v>
      </c>
      <c r="D1276" s="2">
        <v>3.5</v>
      </c>
      <c r="E1276" s="2">
        <v>3.5</v>
      </c>
      <c r="F1276" s="2" t="s">
        <v>2518</v>
      </c>
      <c r="G1276" s="2" t="s">
        <v>2519</v>
      </c>
    </row>
    <row r="1277" spans="1:7" ht="120" x14ac:dyDescent="0.25">
      <c r="A1277" s="2">
        <v>1276</v>
      </c>
      <c r="B1277" s="2">
        <v>174</v>
      </c>
      <c r="C1277" s="2">
        <v>30</v>
      </c>
      <c r="D1277" s="2">
        <v>3.5</v>
      </c>
      <c r="E1277" s="2">
        <v>5.6</v>
      </c>
      <c r="F1277" s="2" t="s">
        <v>2520</v>
      </c>
      <c r="G1277" s="2" t="s">
        <v>2521</v>
      </c>
    </row>
    <row r="1278" spans="1:7" ht="165" x14ac:dyDescent="0.25">
      <c r="A1278" s="2">
        <v>1277</v>
      </c>
      <c r="B1278" s="2">
        <v>365</v>
      </c>
      <c r="C1278" s="2">
        <v>23.7</v>
      </c>
      <c r="D1278" s="2">
        <v>22.3</v>
      </c>
      <c r="E1278" s="2">
        <v>17.5</v>
      </c>
      <c r="F1278" s="2" t="s">
        <v>2522</v>
      </c>
      <c r="G1278" s="2" t="s">
        <v>2523</v>
      </c>
    </row>
    <row r="1279" spans="1:7" ht="120" x14ac:dyDescent="0.25">
      <c r="A1279" s="2">
        <v>1278</v>
      </c>
      <c r="B1279" s="2">
        <v>462</v>
      </c>
      <c r="C1279" s="2">
        <v>39.1</v>
      </c>
      <c r="D1279" s="2">
        <v>32.4</v>
      </c>
      <c r="E1279" s="2">
        <v>3.5</v>
      </c>
      <c r="F1279" s="2" t="s">
        <v>2524</v>
      </c>
      <c r="G1279" s="2" t="s">
        <v>2525</v>
      </c>
    </row>
    <row r="1280" spans="1:7" ht="300" x14ac:dyDescent="0.25">
      <c r="A1280" s="2">
        <v>1279</v>
      </c>
      <c r="B1280" s="2">
        <v>24</v>
      </c>
      <c r="C1280" s="2">
        <v>1.1000000000000001</v>
      </c>
      <c r="D1280" s="2">
        <v>0.2</v>
      </c>
      <c r="E1280" s="2">
        <v>5.5</v>
      </c>
      <c r="F1280" s="2" t="s">
        <v>2526</v>
      </c>
      <c r="G1280" s="2" t="s">
        <v>2527</v>
      </c>
    </row>
    <row r="1281" spans="1:7" ht="150" x14ac:dyDescent="0.25">
      <c r="A1281" s="2">
        <v>1280</v>
      </c>
      <c r="B1281" s="2">
        <v>285</v>
      </c>
      <c r="C1281" s="2">
        <v>4.3</v>
      </c>
      <c r="D1281" s="2">
        <v>25.7</v>
      </c>
      <c r="E1281" s="2">
        <v>9.5</v>
      </c>
      <c r="F1281" s="2" t="s">
        <v>2528</v>
      </c>
      <c r="G1281" s="2" t="s">
        <v>2529</v>
      </c>
    </row>
    <row r="1282" spans="1:7" ht="90" x14ac:dyDescent="0.25">
      <c r="A1282" s="2">
        <v>1281</v>
      </c>
      <c r="B1282" s="2">
        <v>39</v>
      </c>
      <c r="C1282" s="2">
        <v>2.2999999999999998</v>
      </c>
      <c r="D1282" s="2">
        <v>1.9</v>
      </c>
      <c r="E1282" s="2">
        <v>2</v>
      </c>
      <c r="F1282" s="2" t="s">
        <v>2530</v>
      </c>
      <c r="G1282" s="2" t="s">
        <v>2531</v>
      </c>
    </row>
    <row r="1283" spans="1:7" ht="165" x14ac:dyDescent="0.25">
      <c r="A1283" s="2">
        <v>1282</v>
      </c>
      <c r="B1283" s="2">
        <v>48</v>
      </c>
      <c r="C1283" s="2">
        <v>1.5</v>
      </c>
      <c r="D1283" s="2">
        <v>0.3</v>
      </c>
      <c r="E1283" s="2">
        <v>11.3</v>
      </c>
      <c r="F1283" s="2" t="s">
        <v>2532</v>
      </c>
      <c r="G1283" s="2" t="s">
        <v>2533</v>
      </c>
    </row>
    <row r="1284" spans="1:7" ht="210" x14ac:dyDescent="0.25">
      <c r="A1284" s="2">
        <v>1283</v>
      </c>
      <c r="B1284" s="2">
        <v>45</v>
      </c>
      <c r="C1284" s="2">
        <v>1.9</v>
      </c>
      <c r="D1284" s="2">
        <v>0.8</v>
      </c>
      <c r="E1284" s="2">
        <v>7.5</v>
      </c>
      <c r="F1284" s="2" t="s">
        <v>2534</v>
      </c>
      <c r="G1284" s="2" t="s">
        <v>2535</v>
      </c>
    </row>
    <row r="1285" spans="1:7" ht="240" x14ac:dyDescent="0.25">
      <c r="A1285" s="2">
        <v>1284</v>
      </c>
      <c r="B1285" s="2">
        <v>23</v>
      </c>
      <c r="C1285" s="2">
        <v>1.8</v>
      </c>
      <c r="D1285" s="2">
        <v>0.1</v>
      </c>
      <c r="E1285" s="2">
        <v>4.9000000000000004</v>
      </c>
      <c r="F1285" s="2" t="s">
        <v>2536</v>
      </c>
      <c r="G1285" s="2" t="s">
        <v>2537</v>
      </c>
    </row>
    <row r="1286" spans="1:7" ht="195" x14ac:dyDescent="0.25">
      <c r="A1286" s="2">
        <v>1285</v>
      </c>
      <c r="B1286" s="2">
        <v>28</v>
      </c>
      <c r="C1286" s="2">
        <v>1.1000000000000001</v>
      </c>
      <c r="D1286" s="2">
        <v>0.2</v>
      </c>
      <c r="E1286" s="2">
        <v>5.5</v>
      </c>
      <c r="F1286" s="2" t="s">
        <v>2538</v>
      </c>
      <c r="G1286" s="2" t="s">
        <v>2539</v>
      </c>
    </row>
    <row r="1287" spans="1:7" ht="240" x14ac:dyDescent="0.25">
      <c r="A1287" s="2">
        <v>1286</v>
      </c>
      <c r="B1287" s="2">
        <v>52</v>
      </c>
      <c r="C1287" s="2">
        <v>2.1</v>
      </c>
      <c r="D1287" s="2">
        <v>1.1000000000000001</v>
      </c>
      <c r="E1287" s="2">
        <v>8.6</v>
      </c>
      <c r="F1287" s="2" t="s">
        <v>2540</v>
      </c>
      <c r="G1287" s="2" t="s">
        <v>2541</v>
      </c>
    </row>
    <row r="1288" spans="1:7" ht="165" x14ac:dyDescent="0.25">
      <c r="A1288" s="2">
        <v>1287</v>
      </c>
      <c r="B1288" s="2">
        <v>52</v>
      </c>
      <c r="C1288" s="2">
        <v>1.1000000000000001</v>
      </c>
      <c r="D1288" s="2">
        <v>0.4</v>
      </c>
      <c r="E1288" s="2">
        <v>11.2</v>
      </c>
      <c r="F1288" s="2" t="s">
        <v>2542</v>
      </c>
      <c r="G1288" s="2" t="s">
        <v>2543</v>
      </c>
    </row>
    <row r="1289" spans="1:7" ht="150" x14ac:dyDescent="0.25">
      <c r="A1289" s="2">
        <v>1288</v>
      </c>
      <c r="B1289" s="2">
        <v>25</v>
      </c>
      <c r="C1289" s="2">
        <v>2.1</v>
      </c>
      <c r="D1289" s="2">
        <v>0.1</v>
      </c>
      <c r="E1289" s="2">
        <v>5.3</v>
      </c>
      <c r="F1289" s="2" t="s">
        <v>2544</v>
      </c>
      <c r="G1289" s="2" t="s">
        <v>2545</v>
      </c>
    </row>
    <row r="1290" spans="1:7" ht="210" x14ac:dyDescent="0.25">
      <c r="A1290" s="2">
        <v>1289</v>
      </c>
      <c r="B1290" s="2">
        <v>23</v>
      </c>
      <c r="C1290" s="2">
        <v>1.8</v>
      </c>
      <c r="D1290" s="2">
        <v>0.1</v>
      </c>
      <c r="E1290" s="2">
        <v>4.9000000000000004</v>
      </c>
      <c r="F1290" s="2" t="s">
        <v>2546</v>
      </c>
      <c r="G1290" s="2" t="s">
        <v>2547</v>
      </c>
    </row>
    <row r="1291" spans="1:7" ht="135" x14ac:dyDescent="0.25">
      <c r="A1291" s="2">
        <v>1290</v>
      </c>
      <c r="B1291" s="2">
        <v>59</v>
      </c>
      <c r="C1291" s="2">
        <v>2.9</v>
      </c>
      <c r="D1291" s="2">
        <v>0.3</v>
      </c>
      <c r="E1291" s="2">
        <v>13.9</v>
      </c>
      <c r="F1291" s="2" t="s">
        <v>2548</v>
      </c>
      <c r="G1291" s="2" t="s">
        <v>2549</v>
      </c>
    </row>
    <row r="1292" spans="1:7" ht="195" x14ac:dyDescent="0.25">
      <c r="A1292" s="2">
        <v>1291</v>
      </c>
      <c r="B1292" s="2">
        <v>120</v>
      </c>
      <c r="C1292" s="2">
        <v>2.4</v>
      </c>
      <c r="D1292" s="2">
        <v>0.4</v>
      </c>
      <c r="E1292" s="2">
        <v>26</v>
      </c>
      <c r="F1292" s="2" t="s">
        <v>2550</v>
      </c>
      <c r="G1292" s="2" t="s">
        <v>2551</v>
      </c>
    </row>
    <row r="1293" spans="1:7" ht="240" x14ac:dyDescent="0.25">
      <c r="A1293" s="2">
        <v>1292</v>
      </c>
      <c r="B1293" s="2">
        <v>33</v>
      </c>
      <c r="C1293" s="2">
        <v>1.2</v>
      </c>
      <c r="D1293" s="2">
        <v>1.3</v>
      </c>
      <c r="E1293" s="2">
        <v>4.0999999999999996</v>
      </c>
      <c r="F1293" s="2" t="s">
        <v>2552</v>
      </c>
      <c r="G1293" s="2" t="s">
        <v>2553</v>
      </c>
    </row>
    <row r="1294" spans="1:7" ht="150" x14ac:dyDescent="0.25">
      <c r="A1294" s="2">
        <v>1293</v>
      </c>
      <c r="B1294" s="2">
        <v>516</v>
      </c>
      <c r="C1294" s="2">
        <v>17.7</v>
      </c>
      <c r="D1294" s="2">
        <v>49.5</v>
      </c>
      <c r="E1294" s="2">
        <v>0</v>
      </c>
      <c r="F1294" s="2" t="s">
        <v>2554</v>
      </c>
      <c r="G1294" s="2" t="s">
        <v>2555</v>
      </c>
    </row>
    <row r="1295" spans="1:7" ht="240" x14ac:dyDescent="0.25">
      <c r="A1295" s="2">
        <v>1294</v>
      </c>
      <c r="B1295" s="2">
        <v>355</v>
      </c>
      <c r="C1295" s="2">
        <v>6.2</v>
      </c>
      <c r="D1295" s="2">
        <v>1.2</v>
      </c>
      <c r="E1295" s="2">
        <v>79.8</v>
      </c>
      <c r="F1295" s="2" t="s">
        <v>2556</v>
      </c>
      <c r="G1295" s="2" t="s">
        <v>2557</v>
      </c>
    </row>
    <row r="1296" spans="1:7" ht="240" x14ac:dyDescent="0.25">
      <c r="A1296" s="2">
        <v>1295</v>
      </c>
      <c r="B1296" s="2">
        <v>353</v>
      </c>
      <c r="C1296" s="2">
        <v>2.4</v>
      </c>
      <c r="D1296" s="2">
        <v>1.1000000000000001</v>
      </c>
      <c r="E1296" s="2">
        <v>83.4</v>
      </c>
      <c r="F1296" s="2" t="s">
        <v>2558</v>
      </c>
      <c r="G1296" s="2" t="s">
        <v>2559</v>
      </c>
    </row>
    <row r="1297" spans="1:7" ht="135" x14ac:dyDescent="0.25">
      <c r="A1297" s="2">
        <v>1296</v>
      </c>
      <c r="B1297" s="2">
        <v>395</v>
      </c>
      <c r="C1297" s="2">
        <v>3.2</v>
      </c>
      <c r="D1297" s="2">
        <v>8.5</v>
      </c>
      <c r="E1297" s="2">
        <v>76.5</v>
      </c>
      <c r="F1297" s="2" t="s">
        <v>2560</v>
      </c>
      <c r="G1297" s="2" t="s">
        <v>2561</v>
      </c>
    </row>
    <row r="1298" spans="1:7" ht="240" x14ac:dyDescent="0.25">
      <c r="A1298" s="2">
        <v>1297</v>
      </c>
      <c r="B1298" s="2">
        <v>392</v>
      </c>
      <c r="C1298" s="2">
        <v>5.4</v>
      </c>
      <c r="D1298" s="2">
        <v>28.5</v>
      </c>
      <c r="E1298" s="2">
        <v>28.4</v>
      </c>
      <c r="F1298" s="2" t="s">
        <v>2562</v>
      </c>
      <c r="G1298" s="2" t="s">
        <v>2563</v>
      </c>
    </row>
    <row r="1299" spans="1:7" ht="240" x14ac:dyDescent="0.25">
      <c r="A1299" s="2">
        <v>1298</v>
      </c>
      <c r="B1299" s="2">
        <v>93.6</v>
      </c>
      <c r="C1299" s="2">
        <v>4.4000000000000004</v>
      </c>
      <c r="D1299" s="2">
        <v>1.8</v>
      </c>
      <c r="E1299" s="2">
        <v>15.1</v>
      </c>
      <c r="F1299" s="2" t="s">
        <v>2564</v>
      </c>
      <c r="G1299" s="2" t="s">
        <v>2565</v>
      </c>
    </row>
    <row r="1300" spans="1:7" ht="255" x14ac:dyDescent="0.25">
      <c r="A1300" s="2">
        <v>1299</v>
      </c>
      <c r="B1300" s="2">
        <v>23</v>
      </c>
      <c r="C1300" s="2">
        <v>2.9</v>
      </c>
      <c r="D1300" s="2">
        <v>0.2</v>
      </c>
      <c r="E1300" s="2">
        <v>4.0999999999999996</v>
      </c>
      <c r="F1300" s="2" t="s">
        <v>2566</v>
      </c>
      <c r="G1300" s="2" t="s">
        <v>2567</v>
      </c>
    </row>
    <row r="1301" spans="1:7" ht="165" x14ac:dyDescent="0.25">
      <c r="A1301" s="2">
        <v>1300</v>
      </c>
      <c r="B1301" s="2">
        <v>35</v>
      </c>
      <c r="C1301" s="2">
        <v>5</v>
      </c>
      <c r="D1301" s="2">
        <v>0.2</v>
      </c>
      <c r="E1301" s="2">
        <v>5.8</v>
      </c>
      <c r="F1301" s="2" t="s">
        <v>2568</v>
      </c>
      <c r="G1301" s="2" t="s">
        <v>2569</v>
      </c>
    </row>
    <row r="1302" spans="1:7" ht="165" x14ac:dyDescent="0.25">
      <c r="A1302" s="2">
        <v>1301</v>
      </c>
      <c r="B1302" s="2">
        <v>67</v>
      </c>
      <c r="C1302" s="2">
        <v>9</v>
      </c>
      <c r="D1302" s="2">
        <v>2.6</v>
      </c>
      <c r="E1302" s="2">
        <v>6.4</v>
      </c>
      <c r="F1302" s="2" t="s">
        <v>2570</v>
      </c>
      <c r="G1302" s="2" t="s">
        <v>2571</v>
      </c>
    </row>
    <row r="1303" spans="1:7" ht="255" x14ac:dyDescent="0.25">
      <c r="A1303" s="2">
        <v>1302</v>
      </c>
      <c r="B1303" s="2">
        <v>28</v>
      </c>
      <c r="C1303" s="2">
        <v>3</v>
      </c>
      <c r="D1303" s="2">
        <v>0.8</v>
      </c>
      <c r="E1303" s="2">
        <v>4</v>
      </c>
      <c r="F1303" s="2" t="s">
        <v>2572</v>
      </c>
      <c r="G1303" s="2" t="s">
        <v>2573</v>
      </c>
    </row>
    <row r="1304" spans="1:7" ht="165" x14ac:dyDescent="0.25">
      <c r="A1304" s="2">
        <v>1303</v>
      </c>
      <c r="B1304" s="2">
        <v>20</v>
      </c>
      <c r="C1304" s="2">
        <v>1</v>
      </c>
      <c r="D1304" s="2">
        <v>0.2</v>
      </c>
      <c r="E1304" s="2">
        <v>3.5</v>
      </c>
      <c r="F1304" s="2" t="s">
        <v>2574</v>
      </c>
      <c r="G1304" s="2" t="s">
        <v>2575</v>
      </c>
    </row>
    <row r="1305" spans="1:7" ht="165" x14ac:dyDescent="0.25">
      <c r="A1305" s="2">
        <v>1304</v>
      </c>
      <c r="B1305" s="2">
        <v>20</v>
      </c>
      <c r="C1305" s="2">
        <v>1</v>
      </c>
      <c r="D1305" s="2">
        <v>0.3</v>
      </c>
      <c r="E1305" s="2">
        <v>4.2</v>
      </c>
      <c r="F1305" s="2" t="s">
        <v>2576</v>
      </c>
      <c r="G1305" s="2" t="s">
        <v>2577</v>
      </c>
    </row>
    <row r="1306" spans="1:7" ht="150" x14ac:dyDescent="0.25">
      <c r="A1306" s="2">
        <v>1305</v>
      </c>
      <c r="B1306" s="2">
        <v>24</v>
      </c>
      <c r="C1306" s="2">
        <v>1.3</v>
      </c>
      <c r="D1306" s="2">
        <v>0.5</v>
      </c>
      <c r="E1306" s="2">
        <v>4.7</v>
      </c>
      <c r="F1306" s="2" t="s">
        <v>2578</v>
      </c>
      <c r="G1306" s="2" t="s">
        <v>2579</v>
      </c>
    </row>
    <row r="1307" spans="1:7" ht="180" x14ac:dyDescent="0.25">
      <c r="A1307" s="2">
        <v>1306</v>
      </c>
      <c r="B1307" s="2">
        <v>24</v>
      </c>
      <c r="C1307" s="2">
        <v>2</v>
      </c>
      <c r="D1307" s="2">
        <v>0.7</v>
      </c>
      <c r="E1307" s="2">
        <v>3.3</v>
      </c>
      <c r="F1307" s="2" t="s">
        <v>2580</v>
      </c>
      <c r="G1307" s="2" t="s">
        <v>2581</v>
      </c>
    </row>
    <row r="1308" spans="1:7" ht="345" x14ac:dyDescent="0.25">
      <c r="A1308" s="2">
        <v>1307</v>
      </c>
      <c r="B1308" s="2">
        <v>189</v>
      </c>
      <c r="C1308" s="2">
        <v>11.3</v>
      </c>
      <c r="D1308" s="2">
        <v>15.7</v>
      </c>
      <c r="E1308" s="2">
        <v>0.6</v>
      </c>
      <c r="F1308" s="2" t="s">
        <v>2582</v>
      </c>
      <c r="G1308" s="2" t="s">
        <v>2583</v>
      </c>
    </row>
    <row r="1309" spans="1:7" ht="409.5" x14ac:dyDescent="0.25">
      <c r="A1309" s="2">
        <v>1308</v>
      </c>
      <c r="B1309" s="2">
        <v>48</v>
      </c>
      <c r="C1309" s="2">
        <v>1.4</v>
      </c>
      <c r="D1309" s="2">
        <v>4.2</v>
      </c>
      <c r="E1309" s="2">
        <v>2.6</v>
      </c>
      <c r="F1309" s="2" t="s">
        <v>2584</v>
      </c>
      <c r="G1309" s="2" t="s">
        <v>2585</v>
      </c>
    </row>
    <row r="1310" spans="1:7" ht="210" x14ac:dyDescent="0.25">
      <c r="A1310" s="2">
        <v>1309</v>
      </c>
      <c r="B1310" s="2">
        <v>186</v>
      </c>
      <c r="C1310" s="2">
        <v>1.9</v>
      </c>
      <c r="D1310" s="2">
        <v>0.2</v>
      </c>
      <c r="E1310" s="2">
        <v>44.3</v>
      </c>
      <c r="F1310" s="2" t="s">
        <v>2586</v>
      </c>
      <c r="G1310" s="2" t="s">
        <v>2587</v>
      </c>
    </row>
    <row r="1311" spans="1:7" ht="150" x14ac:dyDescent="0.25">
      <c r="A1311" s="2">
        <v>1310</v>
      </c>
      <c r="B1311" s="2">
        <v>160</v>
      </c>
      <c r="C1311" s="2">
        <v>3.7</v>
      </c>
      <c r="D1311" s="2">
        <v>1.3</v>
      </c>
      <c r="E1311" s="2">
        <v>55.3</v>
      </c>
      <c r="F1311" s="2" t="s">
        <v>2588</v>
      </c>
      <c r="G1311" s="2" t="s">
        <v>2589</v>
      </c>
    </row>
    <row r="1312" spans="1:7" ht="150" x14ac:dyDescent="0.25">
      <c r="A1312" s="2">
        <v>1311</v>
      </c>
      <c r="B1312" s="2">
        <v>100</v>
      </c>
      <c r="C1312" s="2">
        <v>0.7</v>
      </c>
      <c r="D1312" s="2">
        <v>0.3</v>
      </c>
      <c r="E1312" s="2">
        <v>23.8</v>
      </c>
      <c r="F1312" s="2" t="s">
        <v>2590</v>
      </c>
      <c r="G1312" s="2" t="s">
        <v>2591</v>
      </c>
    </row>
    <row r="1313" spans="1:7" ht="120" x14ac:dyDescent="0.25">
      <c r="A1313" s="2">
        <v>1312</v>
      </c>
      <c r="B1313" s="2">
        <v>119</v>
      </c>
      <c r="C1313" s="2">
        <v>0.5</v>
      </c>
      <c r="D1313" s="2">
        <v>0.4</v>
      </c>
      <c r="E1313" s="2">
        <v>25.1</v>
      </c>
      <c r="F1313" s="2" t="s">
        <v>2592</v>
      </c>
      <c r="G1313" s="2" t="s">
        <v>2593</v>
      </c>
    </row>
    <row r="1314" spans="1:7" ht="150" x14ac:dyDescent="0.25">
      <c r="A1314" s="2">
        <v>1313</v>
      </c>
      <c r="B1314" s="2">
        <v>83</v>
      </c>
      <c r="C1314" s="2">
        <v>1.5</v>
      </c>
      <c r="D1314" s="2">
        <v>0.2</v>
      </c>
      <c r="E1314" s="2">
        <v>18.8</v>
      </c>
      <c r="F1314" s="2" t="s">
        <v>2594</v>
      </c>
      <c r="G1314" s="2" t="s">
        <v>2595</v>
      </c>
    </row>
    <row r="1315" spans="1:7" ht="165" x14ac:dyDescent="0.25">
      <c r="A1315" s="2">
        <v>1314</v>
      </c>
      <c r="B1315" s="2">
        <v>123</v>
      </c>
      <c r="C1315" s="2">
        <v>1.8</v>
      </c>
      <c r="D1315" s="2">
        <v>0.7</v>
      </c>
      <c r="E1315" s="2">
        <v>27.9</v>
      </c>
      <c r="F1315" s="2" t="s">
        <v>2596</v>
      </c>
      <c r="G1315" s="2" t="s">
        <v>2597</v>
      </c>
    </row>
    <row r="1316" spans="1:7" ht="165" x14ac:dyDescent="0.25">
      <c r="A1316" s="2">
        <v>1315</v>
      </c>
      <c r="B1316" s="2">
        <v>151</v>
      </c>
      <c r="C1316" s="2">
        <v>1.6</v>
      </c>
      <c r="D1316" s="2">
        <v>0.3</v>
      </c>
      <c r="E1316" s="2">
        <v>35.4</v>
      </c>
      <c r="F1316" s="2" t="s">
        <v>2598</v>
      </c>
      <c r="G1316" s="2" t="s">
        <v>1164</v>
      </c>
    </row>
    <row r="1317" spans="1:7" ht="240" x14ac:dyDescent="0.25">
      <c r="A1317" s="2">
        <v>1316</v>
      </c>
      <c r="B1317" s="2">
        <v>123</v>
      </c>
      <c r="C1317" s="2">
        <v>1.8</v>
      </c>
      <c r="D1317" s="2">
        <v>0.7</v>
      </c>
      <c r="E1317" s="2">
        <v>27.9</v>
      </c>
      <c r="F1317" s="2" t="s">
        <v>2599</v>
      </c>
      <c r="G1317" s="2" t="s">
        <v>2600</v>
      </c>
    </row>
    <row r="1318" spans="1:7" ht="135" x14ac:dyDescent="0.25">
      <c r="A1318" s="2">
        <v>1317</v>
      </c>
      <c r="B1318" s="2">
        <v>114</v>
      </c>
      <c r="C1318" s="2">
        <v>1.4</v>
      </c>
      <c r="D1318" s="2">
        <v>9.6</v>
      </c>
      <c r="E1318" s="2">
        <v>25.6</v>
      </c>
      <c r="F1318" s="2" t="s">
        <v>2601</v>
      </c>
      <c r="G1318" s="2" t="s">
        <v>2602</v>
      </c>
    </row>
    <row r="1319" spans="1:7" ht="195" x14ac:dyDescent="0.25">
      <c r="A1319" s="2">
        <v>1318</v>
      </c>
      <c r="B1319" s="2">
        <v>184</v>
      </c>
      <c r="C1319" s="2">
        <v>1.4</v>
      </c>
      <c r="D1319" s="2">
        <v>0.3</v>
      </c>
      <c r="E1319" s="2">
        <v>22.5</v>
      </c>
      <c r="F1319" s="2" t="s">
        <v>2603</v>
      </c>
      <c r="G1319" s="2" t="s">
        <v>626</v>
      </c>
    </row>
    <row r="1320" spans="1:7" ht="195" x14ac:dyDescent="0.25">
      <c r="A1320" s="2">
        <v>1319</v>
      </c>
      <c r="B1320" s="2">
        <v>108</v>
      </c>
      <c r="C1320" s="2">
        <v>0.5</v>
      </c>
      <c r="D1320" s="2">
        <v>0.4</v>
      </c>
      <c r="E1320" s="2">
        <v>25.6</v>
      </c>
      <c r="F1320" s="2" t="s">
        <v>2604</v>
      </c>
      <c r="G1320" s="2" t="s">
        <v>2605</v>
      </c>
    </row>
    <row r="1321" spans="1:7" ht="210" x14ac:dyDescent="0.25">
      <c r="A1321" s="2">
        <v>1320</v>
      </c>
      <c r="B1321" s="2">
        <v>165</v>
      </c>
      <c r="C1321" s="2">
        <v>0.9</v>
      </c>
      <c r="D1321" s="2">
        <v>0.2</v>
      </c>
      <c r="E1321" s="2">
        <v>39.799999999999997</v>
      </c>
      <c r="F1321" s="2" t="s">
        <v>2606</v>
      </c>
      <c r="G1321" s="2" t="s">
        <v>2607</v>
      </c>
    </row>
    <row r="1322" spans="1:7" ht="165" x14ac:dyDescent="0.25">
      <c r="A1322" s="2">
        <v>1321</v>
      </c>
      <c r="B1322" s="2">
        <v>82</v>
      </c>
      <c r="C1322" s="2">
        <v>5.8</v>
      </c>
      <c r="D1322" s="2">
        <v>1.3</v>
      </c>
      <c r="E1322" s="2">
        <v>11.7</v>
      </c>
      <c r="F1322" s="2" t="s">
        <v>2608</v>
      </c>
      <c r="G1322" s="2" t="s">
        <v>2609</v>
      </c>
    </row>
    <row r="1323" spans="1:7" ht="210" x14ac:dyDescent="0.25">
      <c r="A1323" s="2">
        <v>1322</v>
      </c>
      <c r="B1323" s="2">
        <v>56</v>
      </c>
      <c r="C1323" s="2">
        <v>11.4</v>
      </c>
      <c r="D1323" s="2">
        <v>0.6</v>
      </c>
      <c r="E1323" s="2">
        <v>1.2</v>
      </c>
      <c r="F1323" s="2" t="s">
        <v>2610</v>
      </c>
      <c r="G1323" s="2" t="s">
        <v>2611</v>
      </c>
    </row>
    <row r="1324" spans="1:7" ht="330" x14ac:dyDescent="0.25">
      <c r="A1324" s="2">
        <v>1323</v>
      </c>
      <c r="B1324" s="2">
        <v>81</v>
      </c>
      <c r="C1324" s="2">
        <v>16.5</v>
      </c>
      <c r="D1324" s="2">
        <v>0.3</v>
      </c>
      <c r="E1324" s="2">
        <v>3</v>
      </c>
      <c r="F1324" s="2" t="s">
        <v>2612</v>
      </c>
      <c r="G1324" s="2" t="s">
        <v>2613</v>
      </c>
    </row>
    <row r="1325" spans="1:7" ht="180" x14ac:dyDescent="0.25">
      <c r="A1325" s="2">
        <v>1324</v>
      </c>
      <c r="B1325" s="2">
        <v>295</v>
      </c>
      <c r="C1325" s="2">
        <v>62.4</v>
      </c>
      <c r="D1325" s="2">
        <v>2.2999999999999998</v>
      </c>
      <c r="E1325" s="2">
        <v>1.8</v>
      </c>
      <c r="F1325" s="2" t="s">
        <v>2614</v>
      </c>
      <c r="G1325" s="2" t="s">
        <v>2615</v>
      </c>
    </row>
    <row r="1326" spans="1:7" ht="120" x14ac:dyDescent="0.25">
      <c r="A1326" s="2">
        <v>1325</v>
      </c>
      <c r="B1326" s="2">
        <v>278</v>
      </c>
      <c r="C1326" s="2">
        <v>62.6</v>
      </c>
      <c r="D1326" s="2">
        <v>4.0999999999999996</v>
      </c>
      <c r="E1326" s="2">
        <v>2.2000000000000002</v>
      </c>
      <c r="F1326" s="2" t="s">
        <v>2616</v>
      </c>
      <c r="G1326" s="2" t="s">
        <v>2617</v>
      </c>
    </row>
    <row r="1327" spans="1:7" ht="285" x14ac:dyDescent="0.25">
      <c r="A1327" s="2">
        <v>1326</v>
      </c>
      <c r="B1327" s="2">
        <v>273</v>
      </c>
      <c r="C1327" s="2">
        <v>47.8</v>
      </c>
      <c r="D1327" s="2">
        <v>3.8</v>
      </c>
      <c r="E1327" s="2">
        <v>12.5</v>
      </c>
      <c r="F1327" s="2" t="s">
        <v>2618</v>
      </c>
      <c r="G1327" s="2" t="s">
        <v>2619</v>
      </c>
    </row>
    <row r="1328" spans="1:7" ht="240" x14ac:dyDescent="0.25">
      <c r="A1328" s="2">
        <v>1327</v>
      </c>
      <c r="B1328" s="2">
        <v>91</v>
      </c>
      <c r="C1328" s="2">
        <v>21</v>
      </c>
      <c r="D1328" s="2">
        <v>0.2</v>
      </c>
      <c r="E1328" s="2">
        <v>0.1</v>
      </c>
      <c r="F1328" s="2" t="s">
        <v>2620</v>
      </c>
      <c r="G1328" s="2" t="s">
        <v>2621</v>
      </c>
    </row>
    <row r="1329" spans="1:7" ht="225" x14ac:dyDescent="0.25">
      <c r="A1329" s="2">
        <v>1328</v>
      </c>
      <c r="B1329" s="2">
        <v>380</v>
      </c>
      <c r="C1329" s="2">
        <v>11.9</v>
      </c>
      <c r="D1329" s="2">
        <v>30.3</v>
      </c>
      <c r="E1329" s="2">
        <v>14.9</v>
      </c>
      <c r="F1329" s="2" t="s">
        <v>2622</v>
      </c>
      <c r="G1329" s="2" t="s">
        <v>2623</v>
      </c>
    </row>
    <row r="1330" spans="1:7" ht="285" x14ac:dyDescent="0.25">
      <c r="A1330" s="2">
        <v>1329</v>
      </c>
      <c r="B1330" s="2">
        <v>241</v>
      </c>
      <c r="C1330" s="2">
        <v>5.8</v>
      </c>
      <c r="D1330" s="2">
        <v>21.6</v>
      </c>
      <c r="E1330" s="2">
        <v>5.8</v>
      </c>
      <c r="F1330" s="2" t="s">
        <v>2624</v>
      </c>
      <c r="G1330" s="2" t="s">
        <v>2625</v>
      </c>
    </row>
    <row r="1331" spans="1:7" ht="390" x14ac:dyDescent="0.25">
      <c r="A1331" s="2">
        <v>1330</v>
      </c>
      <c r="B1331" s="2">
        <v>120</v>
      </c>
      <c r="C1331" s="2">
        <v>2.8</v>
      </c>
      <c r="D1331" s="2">
        <v>0.5</v>
      </c>
      <c r="E1331" s="2">
        <v>82.3</v>
      </c>
      <c r="F1331" s="2" t="s">
        <v>2626</v>
      </c>
      <c r="G1331" s="2" t="s">
        <v>2627</v>
      </c>
    </row>
    <row r="1332" spans="1:7" ht="150" x14ac:dyDescent="0.25">
      <c r="A1332" s="2">
        <v>1331</v>
      </c>
      <c r="B1332" s="2">
        <v>34</v>
      </c>
      <c r="C1332" s="2">
        <v>2.4</v>
      </c>
      <c r="D1332" s="2">
        <v>0.3</v>
      </c>
      <c r="E1332" s="2">
        <v>5.5</v>
      </c>
      <c r="F1332" s="2" t="s">
        <v>2628</v>
      </c>
      <c r="G1332" s="2" t="s">
        <v>2629</v>
      </c>
    </row>
    <row r="1333" spans="1:7" ht="165" x14ac:dyDescent="0.25">
      <c r="A1333" s="2">
        <v>1332</v>
      </c>
      <c r="B1333" s="2">
        <v>130</v>
      </c>
      <c r="C1333" s="2">
        <v>14</v>
      </c>
      <c r="D1333" s="2">
        <v>7.2</v>
      </c>
      <c r="E1333" s="2">
        <v>1.5</v>
      </c>
      <c r="F1333" s="2" t="s">
        <v>2630</v>
      </c>
      <c r="G1333" s="2" t="s">
        <v>2631</v>
      </c>
    </row>
    <row r="1334" spans="1:7" ht="409.5" x14ac:dyDescent="0.25">
      <c r="A1334" s="2">
        <v>1333</v>
      </c>
      <c r="B1334" s="2">
        <v>101</v>
      </c>
      <c r="C1334" s="2">
        <v>2</v>
      </c>
      <c r="D1334" s="2">
        <v>0.2</v>
      </c>
      <c r="E1334" s="2">
        <v>19.8</v>
      </c>
      <c r="F1334" s="2" t="s">
        <v>2632</v>
      </c>
      <c r="G1334" s="2" t="s">
        <v>2633</v>
      </c>
    </row>
    <row r="1335" spans="1:7" ht="150" x14ac:dyDescent="0.25">
      <c r="A1335" s="2">
        <v>1334</v>
      </c>
      <c r="B1335" s="2">
        <v>363</v>
      </c>
      <c r="C1335" s="2">
        <v>8.6999999999999993</v>
      </c>
      <c r="D1335" s="2">
        <v>0.4</v>
      </c>
      <c r="E1335" s="2">
        <v>78.7</v>
      </c>
      <c r="F1335" s="2" t="s">
        <v>2634</v>
      </c>
      <c r="G1335" s="2" t="s">
        <v>2635</v>
      </c>
    </row>
    <row r="1336" spans="1:7" ht="165" x14ac:dyDescent="0.25">
      <c r="A1336" s="2">
        <v>1335</v>
      </c>
      <c r="B1336" s="2">
        <v>303</v>
      </c>
      <c r="C1336" s="2">
        <v>6.3</v>
      </c>
      <c r="D1336" s="2">
        <v>2.7</v>
      </c>
      <c r="E1336" s="2">
        <v>63.3</v>
      </c>
      <c r="F1336" s="2" t="s">
        <v>2636</v>
      </c>
      <c r="G1336" s="2" t="s">
        <v>2637</v>
      </c>
    </row>
    <row r="1337" spans="1:7" ht="150" x14ac:dyDescent="0.25">
      <c r="A1337" s="2">
        <v>1336</v>
      </c>
      <c r="B1337" s="2">
        <v>45</v>
      </c>
      <c r="C1337" s="2">
        <v>0.8</v>
      </c>
      <c r="D1337" s="2">
        <v>0.9</v>
      </c>
      <c r="E1337" s="2">
        <v>8.1</v>
      </c>
      <c r="F1337" s="2" t="s">
        <v>2638</v>
      </c>
      <c r="G1337" s="2" t="s">
        <v>2639</v>
      </c>
    </row>
    <row r="1338" spans="1:7" ht="255" x14ac:dyDescent="0.25">
      <c r="A1338" s="2">
        <v>1337</v>
      </c>
      <c r="B1338" s="2">
        <v>424</v>
      </c>
      <c r="C1338" s="2">
        <v>1.3</v>
      </c>
      <c r="D1338" s="2">
        <v>10.7</v>
      </c>
      <c r="E1338" s="2">
        <v>80.7</v>
      </c>
      <c r="F1338" s="2" t="s">
        <v>2640</v>
      </c>
      <c r="G1338" s="2" t="s">
        <v>2641</v>
      </c>
    </row>
    <row r="1339" spans="1:7" ht="255" x14ac:dyDescent="0.25">
      <c r="A1339" s="2">
        <v>1338</v>
      </c>
      <c r="B1339" s="2">
        <v>568</v>
      </c>
      <c r="C1339" s="2">
        <v>19.3</v>
      </c>
      <c r="D1339" s="2">
        <v>51.1</v>
      </c>
      <c r="E1339" s="2">
        <v>18.100000000000001</v>
      </c>
      <c r="F1339" s="2" t="s">
        <v>2642</v>
      </c>
      <c r="G1339" s="2" t="s">
        <v>2643</v>
      </c>
    </row>
    <row r="1340" spans="1:7" ht="195" x14ac:dyDescent="0.25">
      <c r="A1340" s="2">
        <v>1339</v>
      </c>
      <c r="B1340" s="2">
        <v>355</v>
      </c>
      <c r="C1340" s="2">
        <v>3.2</v>
      </c>
      <c r="D1340" s="2">
        <v>15.1</v>
      </c>
      <c r="E1340" s="2">
        <v>51.4</v>
      </c>
      <c r="F1340" s="2" t="s">
        <v>2644</v>
      </c>
      <c r="G1340" s="2" t="s">
        <v>2645</v>
      </c>
    </row>
    <row r="1341" spans="1:7" ht="255" x14ac:dyDescent="0.25">
      <c r="A1341" s="2">
        <v>1340</v>
      </c>
      <c r="B1341" s="2">
        <v>143</v>
      </c>
      <c r="C1341" s="2">
        <v>3.1</v>
      </c>
      <c r="D1341" s="2">
        <v>7.8</v>
      </c>
      <c r="E1341" s="2">
        <v>15</v>
      </c>
      <c r="F1341" s="2" t="s">
        <v>2646</v>
      </c>
      <c r="G1341" s="2" t="s">
        <v>2647</v>
      </c>
    </row>
    <row r="1342" spans="1:7" ht="150" x14ac:dyDescent="0.25">
      <c r="A1342" s="2">
        <v>1341</v>
      </c>
      <c r="B1342" s="2">
        <v>452</v>
      </c>
      <c r="C1342" s="2">
        <v>14.5</v>
      </c>
      <c r="D1342" s="2">
        <v>42.3</v>
      </c>
      <c r="E1342" s="2">
        <v>2.2999999999999998</v>
      </c>
      <c r="F1342" s="2" t="s">
        <v>2648</v>
      </c>
      <c r="G1342" s="2" t="s">
        <v>2649</v>
      </c>
    </row>
    <row r="1343" spans="1:7" ht="240" x14ac:dyDescent="0.25">
      <c r="A1343" s="2">
        <v>1342</v>
      </c>
      <c r="B1343" s="2">
        <v>42</v>
      </c>
      <c r="C1343" s="2">
        <v>1.2</v>
      </c>
      <c r="D1343" s="2">
        <v>0.6</v>
      </c>
      <c r="E1343" s="2">
        <v>9.3000000000000007</v>
      </c>
      <c r="F1343" s="2" t="s">
        <v>2650</v>
      </c>
      <c r="G1343" s="2" t="s">
        <v>2651</v>
      </c>
    </row>
    <row r="1344" spans="1:7" ht="285" x14ac:dyDescent="0.25">
      <c r="A1344" s="2">
        <v>1343</v>
      </c>
      <c r="B1344" s="2">
        <v>37</v>
      </c>
      <c r="C1344" s="2">
        <v>1</v>
      </c>
      <c r="D1344" s="2">
        <v>0.6</v>
      </c>
      <c r="E1344" s="2">
        <v>8.3000000000000007</v>
      </c>
      <c r="F1344" s="2" t="s">
        <v>2652</v>
      </c>
      <c r="G1344" s="2" t="s">
        <v>2653</v>
      </c>
    </row>
    <row r="1345" spans="1:7" ht="240" x14ac:dyDescent="0.25">
      <c r="A1345" s="2">
        <v>1344</v>
      </c>
      <c r="B1345" s="2">
        <v>28</v>
      </c>
      <c r="C1345" s="2">
        <v>0.7</v>
      </c>
      <c r="D1345" s="2">
        <v>0.5</v>
      </c>
      <c r="E1345" s="2">
        <v>6.3</v>
      </c>
      <c r="F1345" s="2" t="s">
        <v>2654</v>
      </c>
      <c r="G1345" s="2" t="s">
        <v>2655</v>
      </c>
    </row>
    <row r="1346" spans="1:7" ht="135" x14ac:dyDescent="0.25">
      <c r="A1346" s="2">
        <v>1345</v>
      </c>
      <c r="B1346" s="2">
        <v>254</v>
      </c>
      <c r="C1346" s="2">
        <v>3</v>
      </c>
      <c r="D1346" s="2">
        <v>1.1000000000000001</v>
      </c>
      <c r="E1346" s="2">
        <v>58.1</v>
      </c>
      <c r="F1346" s="2" t="s">
        <v>2656</v>
      </c>
      <c r="G1346" s="2" t="s">
        <v>2657</v>
      </c>
    </row>
    <row r="1347" spans="1:7" ht="270" x14ac:dyDescent="0.25">
      <c r="A1347" s="2">
        <v>1346</v>
      </c>
      <c r="B1347" s="2">
        <v>52</v>
      </c>
      <c r="C1347" s="2">
        <v>3.3</v>
      </c>
      <c r="D1347" s="2">
        <v>2.5</v>
      </c>
      <c r="E1347" s="2">
        <v>4</v>
      </c>
      <c r="F1347" s="2" t="s">
        <v>2658</v>
      </c>
      <c r="G1347" s="2" t="s">
        <v>2659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47"/>
  <sheetViews>
    <sheetView topLeftCell="A30" workbookViewId="0"/>
  </sheetViews>
  <sheetFormatPr defaultRowHeight="15" x14ac:dyDescent="0.25"/>
  <cols>
    <col min="1" max="1" width="25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09.5" x14ac:dyDescent="0.25">
      <c r="A2" s="4">
        <v>1</v>
      </c>
      <c r="B2" s="5">
        <v>0.2978723404255319</v>
      </c>
      <c r="C2" s="5">
        <v>0.1108433734939759</v>
      </c>
      <c r="D2" s="5">
        <v>0.28399999999999997</v>
      </c>
      <c r="E2" s="5">
        <v>0</v>
      </c>
      <c r="F2" s="2" t="s">
        <v>7</v>
      </c>
      <c r="G2" s="2" t="s">
        <v>8</v>
      </c>
    </row>
    <row r="3" spans="1:7" ht="150" x14ac:dyDescent="0.25">
      <c r="A3" s="4">
        <v>2</v>
      </c>
      <c r="B3" s="5">
        <v>0.54574468085106387</v>
      </c>
      <c r="C3" s="5">
        <v>0.28554216867469878</v>
      </c>
      <c r="D3" s="5">
        <v>0.37</v>
      </c>
      <c r="E3" s="5">
        <v>3.2921174652241113E-2</v>
      </c>
      <c r="F3" s="2" t="s">
        <v>9</v>
      </c>
      <c r="G3" s="2" t="s">
        <v>10</v>
      </c>
    </row>
    <row r="4" spans="1:7" ht="225" x14ac:dyDescent="0.25">
      <c r="A4" s="4">
        <v>3</v>
      </c>
      <c r="B4" s="5">
        <v>0</v>
      </c>
      <c r="C4" s="5">
        <v>0</v>
      </c>
      <c r="D4" s="5">
        <v>2E-3</v>
      </c>
      <c r="E4" s="5">
        <v>0</v>
      </c>
      <c r="F4" s="2" t="s">
        <v>11</v>
      </c>
      <c r="G4" s="2" t="s">
        <v>12</v>
      </c>
    </row>
    <row r="5" spans="1:7" ht="285" x14ac:dyDescent="0.25">
      <c r="A5" s="4">
        <v>4</v>
      </c>
      <c r="B5" s="5">
        <v>4.7872340425531908E-2</v>
      </c>
      <c r="C5" s="5">
        <v>1.3253012048192771E-2</v>
      </c>
      <c r="D5" s="5">
        <v>4.0000000000000001E-3</v>
      </c>
      <c r="E5" s="5">
        <v>1.6692426584234931E-2</v>
      </c>
      <c r="F5" s="2" t="s">
        <v>13</v>
      </c>
      <c r="G5" s="2" t="s">
        <v>14</v>
      </c>
    </row>
    <row r="6" spans="1:7" ht="120" x14ac:dyDescent="0.25">
      <c r="A6" s="4">
        <v>5</v>
      </c>
      <c r="B6" s="5">
        <v>3.9361702127659583E-2</v>
      </c>
      <c r="C6" s="5">
        <v>5.301204819277109E-2</v>
      </c>
      <c r="D6" s="5">
        <v>5.0000000000000001E-3</v>
      </c>
      <c r="E6" s="5">
        <v>5.8732612055641424E-3</v>
      </c>
      <c r="F6" s="2" t="s">
        <v>15</v>
      </c>
      <c r="G6" s="2" t="s">
        <v>16</v>
      </c>
    </row>
    <row r="7" spans="1:7" ht="150" x14ac:dyDescent="0.25">
      <c r="A7" s="4">
        <v>6</v>
      </c>
      <c r="B7" s="5">
        <v>9.0425531914893623E-2</v>
      </c>
      <c r="C7" s="5">
        <v>1.084337349397591E-2</v>
      </c>
      <c r="D7" s="5">
        <v>6.5000000000000002E-2</v>
      </c>
      <c r="E7" s="5">
        <v>1.1901081916537871E-2</v>
      </c>
      <c r="F7" s="2" t="s">
        <v>17</v>
      </c>
      <c r="G7" s="2" t="s">
        <v>18</v>
      </c>
    </row>
    <row r="8" spans="1:7" ht="270" x14ac:dyDescent="0.25">
      <c r="A8" s="4">
        <v>7</v>
      </c>
      <c r="B8" s="5">
        <v>0.10212765957446809</v>
      </c>
      <c r="C8" s="5">
        <v>4.457831325301205E-2</v>
      </c>
      <c r="D8" s="5">
        <v>6.0000000000000001E-3</v>
      </c>
      <c r="E8" s="5">
        <v>2.952086553323029E-2</v>
      </c>
      <c r="F8" s="2" t="s">
        <v>19</v>
      </c>
      <c r="G8" s="2" t="s">
        <v>20</v>
      </c>
    </row>
    <row r="9" spans="1:7" ht="135" x14ac:dyDescent="0.25">
      <c r="A9" s="4">
        <v>8</v>
      </c>
      <c r="B9" s="5">
        <v>0.44042553191489359</v>
      </c>
      <c r="C9" s="5">
        <v>0.32048192771084338</v>
      </c>
      <c r="D9" s="5">
        <v>0.183</v>
      </c>
      <c r="E9" s="5">
        <v>6.383307573415764E-2</v>
      </c>
      <c r="F9" s="2" t="s">
        <v>21</v>
      </c>
      <c r="G9" s="2" t="s">
        <v>22</v>
      </c>
    </row>
    <row r="10" spans="1:7" ht="405" x14ac:dyDescent="0.25">
      <c r="A10" s="4">
        <v>9</v>
      </c>
      <c r="B10" s="5">
        <v>7.9787234042553196E-2</v>
      </c>
      <c r="C10" s="5">
        <v>4.9397590361445781E-2</v>
      </c>
      <c r="D10" s="5">
        <v>2.1000000000000001E-2</v>
      </c>
      <c r="E10" s="5">
        <v>1.653786707882535E-2</v>
      </c>
      <c r="F10" s="2" t="s">
        <v>23</v>
      </c>
      <c r="G10" s="2" t="s">
        <v>24</v>
      </c>
    </row>
    <row r="11" spans="1:7" ht="195" x14ac:dyDescent="0.25">
      <c r="A11" s="4">
        <v>10</v>
      </c>
      <c r="B11" s="5">
        <v>7.1276595744680857E-2</v>
      </c>
      <c r="C11" s="5">
        <v>6.0240963855421693E-2</v>
      </c>
      <c r="D11" s="5">
        <v>2.1000000000000001E-2</v>
      </c>
      <c r="E11" s="5">
        <v>1.2519319938176199E-2</v>
      </c>
      <c r="F11" s="2" t="s">
        <v>25</v>
      </c>
      <c r="G11" s="2" t="s">
        <v>26</v>
      </c>
    </row>
    <row r="12" spans="1:7" ht="270" x14ac:dyDescent="0.25">
      <c r="A12" s="4">
        <v>11</v>
      </c>
      <c r="B12" s="5">
        <v>0.19574468085106381</v>
      </c>
      <c r="C12" s="5">
        <v>0.22650602409638559</v>
      </c>
      <c r="D12" s="5">
        <v>0.14000000000000001</v>
      </c>
      <c r="E12" s="5">
        <v>0</v>
      </c>
      <c r="F12" s="2" t="s">
        <v>27</v>
      </c>
      <c r="G12" s="2" t="s">
        <v>28</v>
      </c>
    </row>
    <row r="13" spans="1:7" ht="240" x14ac:dyDescent="0.25">
      <c r="A13" s="4">
        <v>12</v>
      </c>
      <c r="B13" s="5">
        <v>0.18510638297872339</v>
      </c>
      <c r="C13" s="5">
        <v>0.236144578313253</v>
      </c>
      <c r="D13" s="5">
        <v>0.1</v>
      </c>
      <c r="E13" s="5">
        <v>0</v>
      </c>
      <c r="F13" s="2" t="s">
        <v>29</v>
      </c>
      <c r="G13" s="2" t="s">
        <v>30</v>
      </c>
    </row>
    <row r="14" spans="1:7" ht="270" x14ac:dyDescent="0.25">
      <c r="A14" s="4">
        <v>13</v>
      </c>
      <c r="B14" s="5">
        <v>0.2021276595744681</v>
      </c>
      <c r="C14" s="5">
        <v>0.2301204819277109</v>
      </c>
      <c r="D14" s="5">
        <v>0.12</v>
      </c>
      <c r="E14" s="5">
        <v>0</v>
      </c>
      <c r="F14" s="2" t="s">
        <v>31</v>
      </c>
      <c r="G14" s="2" t="s">
        <v>32</v>
      </c>
    </row>
    <row r="15" spans="1:7" ht="120" x14ac:dyDescent="0.25">
      <c r="A15" s="4">
        <v>14</v>
      </c>
      <c r="B15" s="5">
        <v>0.1053191489361702</v>
      </c>
      <c r="C15" s="5">
        <v>5.5421686746987948E-2</v>
      </c>
      <c r="D15" s="5">
        <v>0.01</v>
      </c>
      <c r="E15" s="5">
        <v>2.782071097372488E-2</v>
      </c>
      <c r="F15" s="2" t="s">
        <v>33</v>
      </c>
      <c r="G15" s="2" t="s">
        <v>34</v>
      </c>
    </row>
    <row r="16" spans="1:7" ht="135" x14ac:dyDescent="0.25">
      <c r="A16" s="4">
        <v>15</v>
      </c>
      <c r="B16" s="5">
        <v>2.6595744680851061E-2</v>
      </c>
      <c r="C16" s="5">
        <v>1.9277108433734941E-2</v>
      </c>
      <c r="D16" s="5">
        <v>2E-3</v>
      </c>
      <c r="E16" s="5">
        <v>8.1916537867078813E-3</v>
      </c>
      <c r="F16" s="2" t="s">
        <v>35</v>
      </c>
      <c r="G16" s="2" t="s">
        <v>36</v>
      </c>
    </row>
    <row r="17" spans="1:7" ht="120" x14ac:dyDescent="0.25">
      <c r="A17" s="4">
        <v>16</v>
      </c>
      <c r="B17" s="5">
        <v>3.1914893617021267E-2</v>
      </c>
      <c r="C17" s="5">
        <v>6.024096385542169E-3</v>
      </c>
      <c r="D17" s="5">
        <v>2E-3</v>
      </c>
      <c r="E17" s="5">
        <v>1.0510046367851619E-2</v>
      </c>
      <c r="F17" s="2" t="s">
        <v>37</v>
      </c>
      <c r="G17" s="2" t="s">
        <v>38</v>
      </c>
    </row>
    <row r="18" spans="1:7" ht="210" x14ac:dyDescent="0.25">
      <c r="A18" s="4">
        <v>17</v>
      </c>
      <c r="B18" s="5">
        <v>0.37659574468085111</v>
      </c>
      <c r="C18" s="5">
        <v>0.1975903614457831</v>
      </c>
      <c r="D18" s="5">
        <v>0.315</v>
      </c>
      <c r="E18" s="5">
        <v>0</v>
      </c>
      <c r="F18" s="2" t="s">
        <v>39</v>
      </c>
      <c r="G18" s="2" t="s">
        <v>40</v>
      </c>
    </row>
    <row r="19" spans="1:7" ht="180" x14ac:dyDescent="0.25">
      <c r="A19" s="4">
        <v>18</v>
      </c>
      <c r="B19" s="5">
        <v>0.13404255319148939</v>
      </c>
      <c r="C19" s="5">
        <v>4.0963855421686748E-2</v>
      </c>
      <c r="D19" s="5">
        <v>7.9000000000000001E-2</v>
      </c>
      <c r="E19" s="5">
        <v>1.591962905718702E-2</v>
      </c>
      <c r="F19" s="2" t="s">
        <v>41</v>
      </c>
      <c r="G19" s="2" t="s">
        <v>42</v>
      </c>
    </row>
    <row r="20" spans="1:7" ht="240" x14ac:dyDescent="0.25">
      <c r="A20" s="4">
        <v>19</v>
      </c>
      <c r="B20" s="5">
        <v>6.1702127659574467E-2</v>
      </c>
      <c r="C20" s="5">
        <v>3.6144578313253009E-3</v>
      </c>
      <c r="D20" s="5">
        <v>4.0000000000000001E-3</v>
      </c>
      <c r="E20" s="5">
        <v>2.302936630602782E-2</v>
      </c>
      <c r="F20" s="2" t="s">
        <v>43</v>
      </c>
      <c r="G20" s="2" t="s">
        <v>44</v>
      </c>
    </row>
    <row r="21" spans="1:7" ht="135" x14ac:dyDescent="0.25">
      <c r="A21" s="4">
        <v>20</v>
      </c>
      <c r="B21" s="5">
        <v>6.063829787234043E-2</v>
      </c>
      <c r="C21" s="5">
        <v>6.024096385542169E-3</v>
      </c>
      <c r="D21" s="5">
        <v>4.0000000000000001E-3</v>
      </c>
      <c r="E21" s="5">
        <v>1.9783616692426589E-2</v>
      </c>
      <c r="F21" s="2" t="s">
        <v>45</v>
      </c>
      <c r="G21" s="2" t="s">
        <v>46</v>
      </c>
    </row>
    <row r="22" spans="1:7" ht="240" x14ac:dyDescent="0.25">
      <c r="A22" s="4">
        <v>21</v>
      </c>
      <c r="B22" s="5">
        <v>3.9361702127659583E-2</v>
      </c>
      <c r="C22" s="5">
        <v>9.6385542168674707E-3</v>
      </c>
      <c r="D22" s="5">
        <v>5.0000000000000001E-3</v>
      </c>
      <c r="E22" s="5">
        <v>1.2828438948995361E-2</v>
      </c>
      <c r="F22" s="2" t="s">
        <v>47</v>
      </c>
      <c r="G22" s="2" t="s">
        <v>48</v>
      </c>
    </row>
    <row r="23" spans="1:7" ht="135" x14ac:dyDescent="0.25">
      <c r="A23" s="4">
        <v>22</v>
      </c>
      <c r="B23" s="5">
        <v>0.1202127659574468</v>
      </c>
      <c r="C23" s="5">
        <v>1.084337349397591E-2</v>
      </c>
      <c r="D23" s="5">
        <v>7.2000000000000008E-2</v>
      </c>
      <c r="E23" s="5">
        <v>1.7310664605873261E-2</v>
      </c>
      <c r="F23" s="2" t="s">
        <v>49</v>
      </c>
      <c r="G23" s="2" t="s">
        <v>50</v>
      </c>
    </row>
    <row r="24" spans="1:7" ht="270" x14ac:dyDescent="0.25">
      <c r="A24" s="4">
        <v>23</v>
      </c>
      <c r="B24" s="5">
        <v>0.1085106382978723</v>
      </c>
      <c r="C24" s="5">
        <v>1.204819277108434E-2</v>
      </c>
      <c r="D24" s="5">
        <v>2E-3</v>
      </c>
      <c r="E24" s="5">
        <v>3.7248840803709431E-2</v>
      </c>
      <c r="F24" s="2" t="s">
        <v>51</v>
      </c>
      <c r="G24" s="2" t="s">
        <v>52</v>
      </c>
    </row>
    <row r="25" spans="1:7" ht="409.5" x14ac:dyDescent="0.25">
      <c r="A25" s="4">
        <v>24</v>
      </c>
      <c r="B25" s="5">
        <v>0.2946808510638298</v>
      </c>
      <c r="C25" s="5">
        <v>2.891566265060241E-2</v>
      </c>
      <c r="D25" s="5">
        <v>0.25</v>
      </c>
      <c r="E25" s="5">
        <v>1.653786707882535E-2</v>
      </c>
      <c r="F25" s="2" t="s">
        <v>53</v>
      </c>
      <c r="G25" s="2" t="s">
        <v>54</v>
      </c>
    </row>
    <row r="26" spans="1:7" ht="150" x14ac:dyDescent="0.25">
      <c r="A26" s="4">
        <v>25</v>
      </c>
      <c r="B26" s="5">
        <v>7.9787234042553196E-2</v>
      </c>
      <c r="C26" s="5">
        <v>2.4096385542168681E-3</v>
      </c>
      <c r="D26" s="5">
        <v>1.0999999999999999E-2</v>
      </c>
      <c r="E26" s="5">
        <v>2.4884080370942811E-2</v>
      </c>
      <c r="F26" s="2" t="s">
        <v>55</v>
      </c>
      <c r="G26" s="2" t="s">
        <v>56</v>
      </c>
    </row>
    <row r="27" spans="1:7" ht="210" x14ac:dyDescent="0.25">
      <c r="A27" s="4">
        <v>26</v>
      </c>
      <c r="B27" s="5">
        <v>0.25425531914893618</v>
      </c>
      <c r="C27" s="5">
        <v>3.3734939759036138E-2</v>
      </c>
      <c r="D27" s="5">
        <v>6.0000000000000001E-3</v>
      </c>
      <c r="E27" s="5">
        <v>9.6599690880989172E-2</v>
      </c>
      <c r="F27" s="2" t="s">
        <v>57</v>
      </c>
      <c r="G27" s="2" t="s">
        <v>58</v>
      </c>
    </row>
    <row r="28" spans="1:7" ht="120" x14ac:dyDescent="0.25">
      <c r="A28" s="4">
        <v>27</v>
      </c>
      <c r="B28" s="5">
        <v>0.14361702127659581</v>
      </c>
      <c r="C28" s="5">
        <v>9.6385542168674707E-3</v>
      </c>
      <c r="D28" s="5">
        <v>4.0000000000000001E-3</v>
      </c>
      <c r="E28" s="5">
        <v>4.9613601236476047E-2</v>
      </c>
      <c r="F28" s="2" t="s">
        <v>59</v>
      </c>
      <c r="G28" s="2" t="s">
        <v>60</v>
      </c>
    </row>
    <row r="29" spans="1:7" ht="120" x14ac:dyDescent="0.25">
      <c r="A29" s="4">
        <v>28</v>
      </c>
      <c r="B29" s="5">
        <v>0.27765957446808509</v>
      </c>
      <c r="C29" s="5">
        <v>1.084337349397591E-2</v>
      </c>
      <c r="D29" s="5">
        <v>1.6E-2</v>
      </c>
      <c r="E29" s="5">
        <v>9.7836166924265833E-2</v>
      </c>
      <c r="F29" s="2" t="s">
        <v>61</v>
      </c>
      <c r="G29" s="2" t="s">
        <v>62</v>
      </c>
    </row>
    <row r="30" spans="1:7" ht="195" x14ac:dyDescent="0.25">
      <c r="A30" s="4">
        <v>29</v>
      </c>
      <c r="B30" s="5">
        <v>0.1042553191489362</v>
      </c>
      <c r="C30" s="5">
        <v>4.6987951807228923E-2</v>
      </c>
      <c r="D30" s="5">
        <v>2.5999999999999999E-2</v>
      </c>
      <c r="E30" s="5">
        <v>2.2874806800618239E-2</v>
      </c>
      <c r="F30" s="2" t="s">
        <v>63</v>
      </c>
      <c r="G30" s="2" t="s">
        <v>64</v>
      </c>
    </row>
    <row r="31" spans="1:7" ht="210" x14ac:dyDescent="0.25">
      <c r="A31" s="4">
        <v>30</v>
      </c>
      <c r="B31" s="5">
        <v>0.32127659574468093</v>
      </c>
      <c r="C31" s="5">
        <v>0.21927710843373491</v>
      </c>
      <c r="D31" s="5">
        <v>0.25</v>
      </c>
      <c r="E31" s="5">
        <v>0</v>
      </c>
      <c r="F31" s="2" t="s">
        <v>65</v>
      </c>
      <c r="G31" s="2" t="s">
        <v>66</v>
      </c>
    </row>
    <row r="32" spans="1:7" ht="240" x14ac:dyDescent="0.25">
      <c r="A32" s="4">
        <v>31</v>
      </c>
      <c r="B32" s="5">
        <v>0.31595744680851062</v>
      </c>
      <c r="C32" s="5">
        <v>0.43253012048192768</v>
      </c>
      <c r="D32" s="5">
        <v>0.152</v>
      </c>
      <c r="E32" s="5">
        <v>2.4729520865533232E-3</v>
      </c>
      <c r="F32" s="2" t="s">
        <v>67</v>
      </c>
      <c r="G32" s="2" t="s">
        <v>68</v>
      </c>
    </row>
    <row r="33" spans="1:7" ht="409.5" x14ac:dyDescent="0.25">
      <c r="A33" s="4">
        <v>32</v>
      </c>
      <c r="B33" s="5">
        <v>0.28723404255319152</v>
      </c>
      <c r="C33" s="5">
        <v>0.38915662650602412</v>
      </c>
      <c r="D33" s="5">
        <v>0.112</v>
      </c>
      <c r="E33" s="5">
        <v>1.530139103554869E-2</v>
      </c>
      <c r="F33" s="2" t="s">
        <v>69</v>
      </c>
      <c r="G33" s="2" t="s">
        <v>70</v>
      </c>
    </row>
    <row r="34" spans="1:7" ht="180" x14ac:dyDescent="0.25">
      <c r="A34" s="4">
        <v>33</v>
      </c>
      <c r="B34" s="5">
        <v>7.9787234042553196E-2</v>
      </c>
      <c r="C34" s="5">
        <v>0.16626506024096391</v>
      </c>
      <c r="D34" s="5">
        <v>1.9E-2</v>
      </c>
      <c r="E34" s="5">
        <v>1.081916537867079E-3</v>
      </c>
      <c r="F34" s="2" t="s">
        <v>71</v>
      </c>
      <c r="G34" s="2" t="s">
        <v>72</v>
      </c>
    </row>
    <row r="35" spans="1:7" ht="315" x14ac:dyDescent="0.25">
      <c r="A35" s="4">
        <v>34</v>
      </c>
      <c r="B35" s="5">
        <v>0.31382978723404248</v>
      </c>
      <c r="C35" s="5">
        <v>0.40963855421686751</v>
      </c>
      <c r="D35" s="5">
        <v>0.16</v>
      </c>
      <c r="E35" s="5">
        <v>2.3183925811437402E-3</v>
      </c>
      <c r="F35" s="2" t="s">
        <v>73</v>
      </c>
      <c r="G35" s="2" t="s">
        <v>74</v>
      </c>
    </row>
    <row r="36" spans="1:7" ht="240" x14ac:dyDescent="0.25">
      <c r="A36" s="4">
        <v>35</v>
      </c>
      <c r="B36" s="5">
        <v>0.3595744680851064</v>
      </c>
      <c r="C36" s="5">
        <v>0.42409638554216872</v>
      </c>
      <c r="D36" s="5">
        <v>0.20599999999999999</v>
      </c>
      <c r="E36" s="5">
        <v>6.1823802163833079E-4</v>
      </c>
      <c r="F36" s="2" t="s">
        <v>75</v>
      </c>
      <c r="G36" s="2" t="s">
        <v>76</v>
      </c>
    </row>
    <row r="37" spans="1:7" ht="195" x14ac:dyDescent="0.25">
      <c r="A37" s="4">
        <v>36</v>
      </c>
      <c r="B37" s="5">
        <v>0.29255319148936171</v>
      </c>
      <c r="C37" s="5">
        <v>0.45060240963855419</v>
      </c>
      <c r="D37" s="5">
        <v>0.122</v>
      </c>
      <c r="E37" s="5">
        <v>2.0092735703245751E-3</v>
      </c>
      <c r="F37" s="2" t="s">
        <v>77</v>
      </c>
      <c r="G37" s="2" t="s">
        <v>78</v>
      </c>
    </row>
    <row r="38" spans="1:7" ht="210" x14ac:dyDescent="0.25">
      <c r="A38" s="4">
        <v>37</v>
      </c>
      <c r="B38" s="5">
        <v>0.31702127659574469</v>
      </c>
      <c r="C38" s="5">
        <v>0.4120481927710844</v>
      </c>
      <c r="D38" s="5">
        <v>0.16800000000000001</v>
      </c>
      <c r="E38" s="5">
        <v>1.545595054095827E-4</v>
      </c>
      <c r="F38" s="2" t="s">
        <v>79</v>
      </c>
      <c r="G38" s="2" t="s">
        <v>80</v>
      </c>
    </row>
    <row r="39" spans="1:7" ht="240" x14ac:dyDescent="0.25">
      <c r="A39" s="4">
        <v>38</v>
      </c>
      <c r="B39" s="5">
        <v>0.30425531914893622</v>
      </c>
      <c r="C39" s="5">
        <v>0.38674698795180729</v>
      </c>
      <c r="D39" s="5">
        <v>0.161</v>
      </c>
      <c r="E39" s="5">
        <v>1.70015455950541E-3</v>
      </c>
      <c r="F39" s="2" t="s">
        <v>81</v>
      </c>
      <c r="G39" s="2" t="s">
        <v>82</v>
      </c>
    </row>
    <row r="40" spans="1:7" ht="255" x14ac:dyDescent="0.25">
      <c r="A40" s="4">
        <v>39</v>
      </c>
      <c r="B40" s="5">
        <v>0.31382978723404248</v>
      </c>
      <c r="C40" s="5">
        <v>0.47228915662650611</v>
      </c>
      <c r="D40" s="5">
        <v>0.13600000000000001</v>
      </c>
      <c r="E40" s="5">
        <v>1.5455950540958271E-3</v>
      </c>
      <c r="F40" s="2" t="s">
        <v>83</v>
      </c>
      <c r="G40" s="2" t="s">
        <v>84</v>
      </c>
    </row>
    <row r="41" spans="1:7" ht="409.5" x14ac:dyDescent="0.25">
      <c r="A41" s="4">
        <v>40</v>
      </c>
      <c r="B41" s="5">
        <v>0.30531914893617018</v>
      </c>
      <c r="C41" s="5">
        <v>0.37349397590361449</v>
      </c>
      <c r="D41" s="5">
        <v>0.157</v>
      </c>
      <c r="E41" s="5">
        <v>2.6275115919629061E-3</v>
      </c>
      <c r="F41" s="2" t="s">
        <v>85</v>
      </c>
      <c r="G41" s="2" t="s">
        <v>86</v>
      </c>
    </row>
    <row r="42" spans="1:7" ht="345" x14ac:dyDescent="0.25">
      <c r="A42" s="4">
        <v>41</v>
      </c>
      <c r="B42" s="5">
        <v>0.26170212765957451</v>
      </c>
      <c r="C42" s="5">
        <v>0.45662650602409638</v>
      </c>
      <c r="D42" s="5">
        <v>0.09</v>
      </c>
      <c r="E42" s="5">
        <v>1.081916537867079E-3</v>
      </c>
      <c r="F42" s="2" t="s">
        <v>87</v>
      </c>
      <c r="G42" s="2" t="s">
        <v>88</v>
      </c>
    </row>
    <row r="43" spans="1:7" ht="315" x14ac:dyDescent="0.25">
      <c r="A43" s="4">
        <v>42</v>
      </c>
      <c r="B43" s="5">
        <v>0.26063829787234039</v>
      </c>
      <c r="C43" s="5">
        <v>0.39879518072289161</v>
      </c>
      <c r="D43" s="5">
        <v>0.114</v>
      </c>
      <c r="E43" s="5">
        <v>4.6367851622874798E-4</v>
      </c>
      <c r="F43" s="2" t="s">
        <v>89</v>
      </c>
      <c r="G43" s="2" t="s">
        <v>90</v>
      </c>
    </row>
    <row r="44" spans="1:7" ht="315" x14ac:dyDescent="0.25">
      <c r="A44" s="4">
        <v>43</v>
      </c>
      <c r="B44" s="5">
        <v>0.31382978723404248</v>
      </c>
      <c r="C44" s="5">
        <v>0.45060240963855419</v>
      </c>
      <c r="D44" s="5">
        <v>0.14699999999999999</v>
      </c>
      <c r="E44" s="5">
        <v>9.2735703245749607E-4</v>
      </c>
      <c r="F44" s="2" t="s">
        <v>91</v>
      </c>
      <c r="G44" s="2" t="s">
        <v>92</v>
      </c>
    </row>
    <row r="45" spans="1:7" ht="300" x14ac:dyDescent="0.25">
      <c r="A45" s="4">
        <v>44</v>
      </c>
      <c r="B45" s="5">
        <v>0.25957446808510642</v>
      </c>
      <c r="C45" s="5">
        <v>0.44216867469879523</v>
      </c>
      <c r="D45" s="5">
        <v>9.1999999999999998E-2</v>
      </c>
      <c r="E45" s="5">
        <v>1.5455950540958271E-3</v>
      </c>
      <c r="F45" s="2" t="s">
        <v>93</v>
      </c>
      <c r="G45" s="2" t="s">
        <v>94</v>
      </c>
    </row>
    <row r="46" spans="1:7" ht="390" x14ac:dyDescent="0.25">
      <c r="A46" s="4">
        <v>45</v>
      </c>
      <c r="B46" s="5">
        <v>0.30106382978723412</v>
      </c>
      <c r="C46" s="5">
        <v>0.43012048192771091</v>
      </c>
      <c r="D46" s="5">
        <v>0.14299999999999999</v>
      </c>
      <c r="E46" s="5">
        <v>7.7279752704791343E-4</v>
      </c>
      <c r="F46" s="2" t="s">
        <v>95</v>
      </c>
      <c r="G46" s="2" t="s">
        <v>96</v>
      </c>
    </row>
    <row r="47" spans="1:7" ht="225" x14ac:dyDescent="0.25">
      <c r="A47" s="4">
        <v>46</v>
      </c>
      <c r="B47" s="5">
        <v>0.27765957446808509</v>
      </c>
      <c r="C47" s="5">
        <v>0.33012048192771082</v>
      </c>
      <c r="D47" s="5">
        <v>0.161</v>
      </c>
      <c r="E47" s="5">
        <v>2.4729520865533232E-3</v>
      </c>
      <c r="F47" s="2" t="s">
        <v>97</v>
      </c>
      <c r="G47" s="2" t="s">
        <v>98</v>
      </c>
    </row>
    <row r="48" spans="1:7" ht="240" x14ac:dyDescent="0.25">
      <c r="A48" s="4">
        <v>47</v>
      </c>
      <c r="B48" s="5">
        <v>0.28085106382978731</v>
      </c>
      <c r="C48" s="5">
        <v>0.21927710843373491</v>
      </c>
      <c r="D48" s="5">
        <v>0.20100000000000001</v>
      </c>
      <c r="E48" s="5">
        <v>4.1731066460587328E-3</v>
      </c>
      <c r="F48" s="2" t="s">
        <v>99</v>
      </c>
      <c r="G48" s="2" t="s">
        <v>100</v>
      </c>
    </row>
    <row r="49" spans="1:7" ht="150" x14ac:dyDescent="0.25">
      <c r="A49" s="4">
        <v>48</v>
      </c>
      <c r="B49" s="5">
        <v>0.5031914893617021</v>
      </c>
      <c r="C49" s="5">
        <v>0.54457831325301209</v>
      </c>
      <c r="D49" s="5">
        <v>0.26300000000000001</v>
      </c>
      <c r="E49" s="5">
        <v>2.1483771251931991E-2</v>
      </c>
      <c r="F49" s="2" t="s">
        <v>101</v>
      </c>
      <c r="G49" s="2" t="s">
        <v>102</v>
      </c>
    </row>
    <row r="50" spans="1:7" ht="195" x14ac:dyDescent="0.25">
      <c r="A50" s="4">
        <v>49</v>
      </c>
      <c r="B50" s="5">
        <v>0.1202127659574468</v>
      </c>
      <c r="C50" s="5">
        <v>0.21204819277108439</v>
      </c>
      <c r="D50" s="5">
        <v>4.2000000000000003E-2</v>
      </c>
      <c r="E50" s="5">
        <v>0</v>
      </c>
      <c r="F50" s="2" t="s">
        <v>103</v>
      </c>
      <c r="G50" s="2" t="s">
        <v>104</v>
      </c>
    </row>
    <row r="51" spans="1:7" ht="195" x14ac:dyDescent="0.25">
      <c r="A51" s="4">
        <v>50</v>
      </c>
      <c r="B51" s="5">
        <v>0.48191489361702128</v>
      </c>
      <c r="C51" s="5">
        <v>0.1433734939759036</v>
      </c>
      <c r="D51" s="5">
        <v>0.45</v>
      </c>
      <c r="E51" s="5">
        <v>0</v>
      </c>
      <c r="F51" s="2" t="s">
        <v>105</v>
      </c>
      <c r="G51" s="2" t="s">
        <v>106</v>
      </c>
    </row>
    <row r="52" spans="1:7" ht="120" x14ac:dyDescent="0.25">
      <c r="A52" s="4">
        <v>51</v>
      </c>
      <c r="B52" s="5">
        <v>0.39468085106382977</v>
      </c>
      <c r="C52" s="5">
        <v>0.16987951807228921</v>
      </c>
      <c r="D52" s="5">
        <v>0.35</v>
      </c>
      <c r="E52" s="5">
        <v>0</v>
      </c>
      <c r="F52" s="2" t="s">
        <v>107</v>
      </c>
      <c r="G52" s="2" t="s">
        <v>108</v>
      </c>
    </row>
    <row r="53" spans="1:7" ht="150" x14ac:dyDescent="0.25">
      <c r="A53" s="4">
        <v>52</v>
      </c>
      <c r="B53" s="5">
        <v>0.1170212765957447</v>
      </c>
      <c r="C53" s="5">
        <v>0.19638554216867471</v>
      </c>
      <c r="D53" s="5">
        <v>4.5999999999999999E-2</v>
      </c>
      <c r="E53" s="5">
        <v>1.236476043276662E-3</v>
      </c>
      <c r="F53" s="2" t="s">
        <v>109</v>
      </c>
      <c r="G53" s="2" t="s">
        <v>110</v>
      </c>
    </row>
    <row r="54" spans="1:7" ht="330" x14ac:dyDescent="0.25">
      <c r="A54" s="4">
        <v>53</v>
      </c>
      <c r="B54" s="5">
        <v>0.13723404255319149</v>
      </c>
      <c r="C54" s="5">
        <v>0.23734939759036139</v>
      </c>
      <c r="D54" s="5">
        <v>4.8000000000000001E-2</v>
      </c>
      <c r="E54" s="5">
        <v>2.6275115919629061E-3</v>
      </c>
      <c r="F54" s="2" t="s">
        <v>111</v>
      </c>
      <c r="G54" s="2" t="s">
        <v>112</v>
      </c>
    </row>
    <row r="55" spans="1:7" ht="150" x14ac:dyDescent="0.25">
      <c r="A55" s="4">
        <v>54</v>
      </c>
      <c r="B55" s="5">
        <v>0.52234042553191495</v>
      </c>
      <c r="C55" s="5">
        <v>0.29638554216867469</v>
      </c>
      <c r="D55" s="5">
        <v>0.16300000000000001</v>
      </c>
      <c r="E55" s="5">
        <v>3.0911901081916539E-4</v>
      </c>
      <c r="F55" s="2" t="s">
        <v>113</v>
      </c>
      <c r="G55" s="2" t="s">
        <v>114</v>
      </c>
    </row>
    <row r="56" spans="1:7" ht="409.5" x14ac:dyDescent="0.25">
      <c r="A56" s="4">
        <v>55</v>
      </c>
      <c r="B56" s="5">
        <v>0.10946808510638301</v>
      </c>
      <c r="C56" s="5">
        <v>3.9759036144578312E-2</v>
      </c>
      <c r="D56" s="5">
        <v>2.7E-2</v>
      </c>
      <c r="E56" s="5">
        <v>2.5193199381761979E-2</v>
      </c>
      <c r="F56" s="2" t="s">
        <v>115</v>
      </c>
      <c r="G56" s="2" t="s">
        <v>116</v>
      </c>
    </row>
    <row r="57" spans="1:7" ht="150" x14ac:dyDescent="0.25">
      <c r="A57" s="4">
        <v>56</v>
      </c>
      <c r="B57" s="5">
        <v>0.47872340425531917</v>
      </c>
      <c r="C57" s="5">
        <v>3.8554216867469883E-2</v>
      </c>
      <c r="D57" s="5">
        <v>0.13900000000000001</v>
      </c>
      <c r="E57" s="5">
        <v>0.1207109737248841</v>
      </c>
      <c r="F57" s="2" t="s">
        <v>117</v>
      </c>
      <c r="G57" s="2" t="s">
        <v>118</v>
      </c>
    </row>
    <row r="58" spans="1:7" ht="225" x14ac:dyDescent="0.25">
      <c r="A58" s="4">
        <v>57</v>
      </c>
      <c r="B58" s="5">
        <v>0.48085106382978732</v>
      </c>
      <c r="C58" s="5">
        <v>1.566265060240964E-2</v>
      </c>
      <c r="D58" s="5">
        <v>0.13800000000000001</v>
      </c>
      <c r="E58" s="5">
        <v>0.1245749613601236</v>
      </c>
      <c r="F58" s="2" t="s">
        <v>119</v>
      </c>
      <c r="G58" s="2" t="s">
        <v>120</v>
      </c>
    </row>
    <row r="59" spans="1:7" ht="210" x14ac:dyDescent="0.25">
      <c r="A59" s="4">
        <v>58</v>
      </c>
      <c r="B59" s="5">
        <v>0.56276595744680857</v>
      </c>
      <c r="C59" s="5">
        <v>3.8554216867469883E-2</v>
      </c>
      <c r="D59" s="5">
        <v>0.29099999999999998</v>
      </c>
      <c r="E59" s="5">
        <v>9.8299845440494596E-2</v>
      </c>
      <c r="F59" s="2" t="s">
        <v>121</v>
      </c>
      <c r="G59" s="2" t="s">
        <v>122</v>
      </c>
    </row>
    <row r="60" spans="1:7" ht="330" x14ac:dyDescent="0.25">
      <c r="A60" s="4">
        <v>59</v>
      </c>
      <c r="B60" s="5">
        <v>0.55638297872340425</v>
      </c>
      <c r="C60" s="5">
        <v>3.8554216867469883E-2</v>
      </c>
      <c r="D60" s="5">
        <v>0.28199999999999997</v>
      </c>
      <c r="E60" s="5">
        <v>9.9227202472952095E-2</v>
      </c>
      <c r="F60" s="2" t="s">
        <v>123</v>
      </c>
      <c r="G60" s="2" t="s">
        <v>124</v>
      </c>
    </row>
    <row r="61" spans="1:7" ht="285" x14ac:dyDescent="0.25">
      <c r="A61" s="4">
        <v>60</v>
      </c>
      <c r="B61" s="5">
        <v>0.44255319148936167</v>
      </c>
      <c r="C61" s="5">
        <v>7.8313253012048195E-2</v>
      </c>
      <c r="D61" s="5">
        <v>9.4E-2</v>
      </c>
      <c r="E61" s="5">
        <v>0.1179289026275116</v>
      </c>
      <c r="F61" s="2" t="s">
        <v>125</v>
      </c>
      <c r="G61" s="2" t="s">
        <v>126</v>
      </c>
    </row>
    <row r="62" spans="1:7" ht="210" x14ac:dyDescent="0.25">
      <c r="A62" s="4">
        <v>61</v>
      </c>
      <c r="B62" s="5">
        <v>0.40638297872340429</v>
      </c>
      <c r="C62" s="5">
        <v>3.6144578313253009E-3</v>
      </c>
      <c r="D62" s="5">
        <v>3.5000000000000003E-2</v>
      </c>
      <c r="E62" s="5">
        <v>0.13477588871715609</v>
      </c>
      <c r="F62" s="2" t="s">
        <v>127</v>
      </c>
      <c r="G62" s="2" t="s">
        <v>128</v>
      </c>
    </row>
    <row r="63" spans="1:7" ht="120" x14ac:dyDescent="0.25">
      <c r="A63" s="4">
        <v>62</v>
      </c>
      <c r="B63" s="5">
        <v>0.13723404255319149</v>
      </c>
      <c r="C63" s="5">
        <v>2.289156626506024E-2</v>
      </c>
      <c r="D63" s="5">
        <v>6.6000000000000003E-2</v>
      </c>
      <c r="E63" s="5">
        <v>2.41112828438949E-2</v>
      </c>
      <c r="F63" s="2" t="s">
        <v>129</v>
      </c>
      <c r="G63" s="2" t="s">
        <v>130</v>
      </c>
    </row>
    <row r="64" spans="1:7" ht="240" x14ac:dyDescent="0.25">
      <c r="A64" s="4">
        <v>63</v>
      </c>
      <c r="B64" s="5">
        <v>0.2893617021276596</v>
      </c>
      <c r="C64" s="5">
        <v>0.10481927710843369</v>
      </c>
      <c r="D64" s="5">
        <v>6.7000000000000004E-2</v>
      </c>
      <c r="E64" s="5">
        <v>6.8160741885625972E-2</v>
      </c>
      <c r="F64" s="2" t="s">
        <v>131</v>
      </c>
      <c r="G64" s="2" t="s">
        <v>132</v>
      </c>
    </row>
    <row r="65" spans="1:7" ht="240" x14ac:dyDescent="0.25">
      <c r="A65" s="4">
        <v>64</v>
      </c>
      <c r="B65" s="5">
        <v>8.085106382978724E-2</v>
      </c>
      <c r="C65" s="5">
        <v>4.9397590361445781E-2</v>
      </c>
      <c r="D65" s="5">
        <v>2.5000000000000001E-2</v>
      </c>
      <c r="E65" s="5">
        <v>1.4219474497681611E-2</v>
      </c>
      <c r="F65" s="2" t="s">
        <v>133</v>
      </c>
      <c r="G65" s="2" t="s">
        <v>134</v>
      </c>
    </row>
    <row r="66" spans="1:7" ht="165" x14ac:dyDescent="0.25">
      <c r="A66" s="4">
        <v>65</v>
      </c>
      <c r="B66" s="5">
        <v>2.8723404255319149E-2</v>
      </c>
      <c r="C66" s="5">
        <v>2.4096385542168679E-2</v>
      </c>
      <c r="D66" s="5">
        <v>2E-3</v>
      </c>
      <c r="E66" s="5">
        <v>6.4914992272024734E-3</v>
      </c>
      <c r="F66" s="2" t="s">
        <v>135</v>
      </c>
      <c r="G66" s="2" t="s">
        <v>136</v>
      </c>
    </row>
    <row r="67" spans="1:7" ht="225" x14ac:dyDescent="0.25">
      <c r="A67" s="4">
        <v>66</v>
      </c>
      <c r="B67" s="5">
        <v>0.2978723404255319</v>
      </c>
      <c r="C67" s="5">
        <v>9.8795180722891562E-2</v>
      </c>
      <c r="D67" s="5">
        <v>0.10199999999999999</v>
      </c>
      <c r="E67" s="5">
        <v>6.0278207109737247E-2</v>
      </c>
      <c r="F67" s="2" t="s">
        <v>137</v>
      </c>
      <c r="G67" s="2" t="s">
        <v>138</v>
      </c>
    </row>
    <row r="68" spans="1:7" ht="120" x14ac:dyDescent="0.25">
      <c r="A68" s="4">
        <v>67</v>
      </c>
      <c r="B68" s="5">
        <v>1.3829787234042551E-2</v>
      </c>
      <c r="C68" s="5">
        <v>4.8192771084337354E-3</v>
      </c>
      <c r="D68" s="5">
        <v>2E-3</v>
      </c>
      <c r="E68" s="5">
        <v>4.6367851622874804E-3</v>
      </c>
      <c r="F68" s="2" t="s">
        <v>139</v>
      </c>
      <c r="G68" s="2" t="s">
        <v>140</v>
      </c>
    </row>
    <row r="69" spans="1:7" ht="300" x14ac:dyDescent="0.25">
      <c r="A69" s="4">
        <v>68</v>
      </c>
      <c r="B69" s="5">
        <v>0.2021276595744681</v>
      </c>
      <c r="C69" s="5">
        <v>3.9759036144578312E-2</v>
      </c>
      <c r="D69" s="5">
        <v>3.0000000000000001E-3</v>
      </c>
      <c r="E69" s="5">
        <v>6.7233384853168474E-2</v>
      </c>
      <c r="F69" s="2" t="s">
        <v>141</v>
      </c>
      <c r="G69" s="2" t="s">
        <v>142</v>
      </c>
    </row>
    <row r="70" spans="1:7" ht="165" x14ac:dyDescent="0.25">
      <c r="A70" s="4">
        <v>69</v>
      </c>
      <c r="B70" s="5">
        <v>0.16914893617021279</v>
      </c>
      <c r="C70" s="5">
        <v>3.7349397590361447E-2</v>
      </c>
      <c r="D70" s="5">
        <v>5.8000000000000003E-2</v>
      </c>
      <c r="E70" s="5">
        <v>3.6321483771251932E-2</v>
      </c>
      <c r="F70" s="2" t="s">
        <v>143</v>
      </c>
      <c r="G70" s="2" t="s">
        <v>144</v>
      </c>
    </row>
    <row r="71" spans="1:7" ht="210" x14ac:dyDescent="0.25">
      <c r="A71" s="4">
        <v>70</v>
      </c>
      <c r="B71" s="5">
        <v>0.14574468085106379</v>
      </c>
      <c r="C71" s="5">
        <v>5.1807228915662647E-2</v>
      </c>
      <c r="D71" s="5">
        <v>4.8000000000000001E-2</v>
      </c>
      <c r="E71" s="5">
        <v>2.952086553323029E-2</v>
      </c>
      <c r="F71" s="2" t="s">
        <v>145</v>
      </c>
      <c r="G71" s="2" t="s">
        <v>146</v>
      </c>
    </row>
    <row r="72" spans="1:7" ht="165" x14ac:dyDescent="0.25">
      <c r="A72" s="4">
        <v>71</v>
      </c>
      <c r="B72" s="5">
        <v>0.11382978723404261</v>
      </c>
      <c r="C72" s="5">
        <v>2.6506024096385541E-2</v>
      </c>
      <c r="D72" s="5">
        <v>2.1999999999999999E-2</v>
      </c>
      <c r="E72" s="5">
        <v>3.0293663060278211E-2</v>
      </c>
      <c r="F72" s="2" t="s">
        <v>147</v>
      </c>
      <c r="G72" s="2" t="s">
        <v>148</v>
      </c>
    </row>
    <row r="73" spans="1:7" ht="120" x14ac:dyDescent="0.25">
      <c r="A73" s="4">
        <v>72</v>
      </c>
      <c r="B73" s="5">
        <v>8.085106382978724E-2</v>
      </c>
      <c r="C73" s="5">
        <v>1.3253012048192771E-2</v>
      </c>
      <c r="D73" s="5">
        <v>9.0000000000000011E-3</v>
      </c>
      <c r="E73" s="5">
        <v>2.472952086553323E-2</v>
      </c>
      <c r="F73" s="2" t="s">
        <v>149</v>
      </c>
      <c r="G73" s="2" t="s">
        <v>150</v>
      </c>
    </row>
    <row r="74" spans="1:7" ht="150" x14ac:dyDescent="0.25">
      <c r="A74" s="4">
        <v>73</v>
      </c>
      <c r="B74" s="5">
        <v>0.1170212765957447</v>
      </c>
      <c r="C74" s="5">
        <v>1.6867469879518069E-2</v>
      </c>
      <c r="D74" s="5">
        <v>1.0999999999999999E-2</v>
      </c>
      <c r="E74" s="5">
        <v>3.6166924265842337E-2</v>
      </c>
      <c r="F74" s="2" t="s">
        <v>151</v>
      </c>
      <c r="G74" s="2" t="s">
        <v>152</v>
      </c>
    </row>
    <row r="75" spans="1:7" ht="270" x14ac:dyDescent="0.25">
      <c r="A75" s="4">
        <v>74</v>
      </c>
      <c r="B75" s="5">
        <v>9.7872340425531917E-2</v>
      </c>
      <c r="C75" s="5">
        <v>1.445783132530121E-2</v>
      </c>
      <c r="D75" s="5">
        <v>3.0000000000000001E-3</v>
      </c>
      <c r="E75" s="5">
        <v>3.2457496136012363E-2</v>
      </c>
      <c r="F75" s="2" t="s">
        <v>153</v>
      </c>
      <c r="G75" s="2" t="s">
        <v>154</v>
      </c>
    </row>
    <row r="76" spans="1:7" ht="225" x14ac:dyDescent="0.25">
      <c r="A76" s="4">
        <v>75</v>
      </c>
      <c r="B76" s="5">
        <v>9.4680851063829785E-2</v>
      </c>
      <c r="C76" s="5">
        <v>1.3253012048192771E-2</v>
      </c>
      <c r="D76" s="5">
        <v>1E-3</v>
      </c>
      <c r="E76" s="5">
        <v>3.2457496136012363E-2</v>
      </c>
      <c r="F76" s="2" t="s">
        <v>155</v>
      </c>
      <c r="G76" s="2" t="s">
        <v>156</v>
      </c>
    </row>
    <row r="77" spans="1:7" ht="150" x14ac:dyDescent="0.25">
      <c r="A77" s="4">
        <v>76</v>
      </c>
      <c r="B77" s="5">
        <v>0.19361702127659569</v>
      </c>
      <c r="C77" s="5">
        <v>2.891566265060241E-2</v>
      </c>
      <c r="D77" s="5">
        <v>4.0000000000000001E-3</v>
      </c>
      <c r="E77" s="5">
        <v>6.5224111282843902E-2</v>
      </c>
      <c r="F77" s="2" t="s">
        <v>157</v>
      </c>
      <c r="G77" s="2" t="s">
        <v>158</v>
      </c>
    </row>
    <row r="78" spans="1:7" ht="240" x14ac:dyDescent="0.25">
      <c r="A78" s="4">
        <v>77</v>
      </c>
      <c r="B78" s="5">
        <v>4.7872340425531908E-2</v>
      </c>
      <c r="C78" s="5">
        <v>1.6867469879518069E-2</v>
      </c>
      <c r="D78" s="5">
        <v>2E-3</v>
      </c>
      <c r="E78" s="5">
        <v>1.591962905718702E-2</v>
      </c>
      <c r="F78" s="2" t="s">
        <v>159</v>
      </c>
      <c r="G78" s="2" t="s">
        <v>160</v>
      </c>
    </row>
    <row r="79" spans="1:7" ht="165" x14ac:dyDescent="0.25">
      <c r="A79" s="4">
        <v>78</v>
      </c>
      <c r="B79" s="5">
        <v>4.1489361702127657E-2</v>
      </c>
      <c r="C79" s="5">
        <v>1.8072289156626509E-2</v>
      </c>
      <c r="D79" s="5">
        <v>3.0000000000000001E-3</v>
      </c>
      <c r="E79" s="5">
        <v>3.0911901081916539E-4</v>
      </c>
      <c r="F79" s="2" t="s">
        <v>161</v>
      </c>
      <c r="G79" s="2" t="s">
        <v>162</v>
      </c>
    </row>
    <row r="80" spans="1:7" ht="255" x14ac:dyDescent="0.25">
      <c r="A80" s="4">
        <v>79</v>
      </c>
      <c r="B80" s="5">
        <v>0.10106382978723399</v>
      </c>
      <c r="C80" s="5">
        <v>5.4216867469879519E-2</v>
      </c>
      <c r="D80" s="5">
        <v>2E-3</v>
      </c>
      <c r="E80" s="5">
        <v>3.5703245749613602E-2</v>
      </c>
      <c r="F80" s="2" t="s">
        <v>163</v>
      </c>
      <c r="G80" s="2" t="s">
        <v>164</v>
      </c>
    </row>
    <row r="81" spans="1:7" ht="225" x14ac:dyDescent="0.25">
      <c r="A81" s="4">
        <v>80</v>
      </c>
      <c r="B81" s="5">
        <v>3.1914893617021267E-2</v>
      </c>
      <c r="C81" s="5">
        <v>1.566265060240964E-2</v>
      </c>
      <c r="D81" s="5">
        <v>6.9999999999999993E-3</v>
      </c>
      <c r="E81" s="5">
        <v>8.9644513137557957E-3</v>
      </c>
      <c r="F81" s="2" t="s">
        <v>165</v>
      </c>
      <c r="G81" s="2" t="s">
        <v>166</v>
      </c>
    </row>
    <row r="82" spans="1:7" ht="285" x14ac:dyDescent="0.25">
      <c r="A82" s="4">
        <v>81</v>
      </c>
      <c r="B82" s="5">
        <v>5.4255319148936172E-2</v>
      </c>
      <c r="C82" s="5">
        <v>5.5421686746987948E-2</v>
      </c>
      <c r="D82" s="5">
        <v>5.0000000000000001E-3</v>
      </c>
      <c r="E82" s="5">
        <v>1.5455950540958271E-2</v>
      </c>
      <c r="F82" s="2" t="s">
        <v>167</v>
      </c>
      <c r="G82" s="2" t="s">
        <v>168</v>
      </c>
    </row>
    <row r="83" spans="1:7" ht="210" x14ac:dyDescent="0.25">
      <c r="A83" s="4">
        <v>82</v>
      </c>
      <c r="B83" s="5">
        <v>4.3617021276595752E-2</v>
      </c>
      <c r="C83" s="5">
        <v>2.6506024096385541E-2</v>
      </c>
      <c r="D83" s="5">
        <v>8.0000000000000002E-3</v>
      </c>
      <c r="E83" s="5">
        <v>9.7372488408037083E-3</v>
      </c>
      <c r="F83" s="2" t="s">
        <v>169</v>
      </c>
      <c r="G83" s="2" t="s">
        <v>170</v>
      </c>
    </row>
    <row r="84" spans="1:7" ht="150" x14ac:dyDescent="0.25">
      <c r="A84" s="4">
        <v>83</v>
      </c>
      <c r="B84" s="5">
        <v>2.4468085106382979E-2</v>
      </c>
      <c r="C84" s="5">
        <v>1.445783132530121E-2</v>
      </c>
      <c r="D84" s="5">
        <v>6.0000000000000001E-3</v>
      </c>
      <c r="E84" s="5">
        <v>5.7187017001545598E-3</v>
      </c>
      <c r="F84" s="2" t="s">
        <v>171</v>
      </c>
      <c r="G84" s="2" t="s">
        <v>172</v>
      </c>
    </row>
    <row r="85" spans="1:7" ht="150" x14ac:dyDescent="0.25">
      <c r="A85" s="4">
        <v>84</v>
      </c>
      <c r="B85" s="5">
        <v>3.8297872340425532E-2</v>
      </c>
      <c r="C85" s="5">
        <v>4.2168674698795178E-2</v>
      </c>
      <c r="D85" s="5">
        <v>5.0000000000000001E-3</v>
      </c>
      <c r="E85" s="5">
        <v>1.004636785162288E-2</v>
      </c>
      <c r="F85" s="2" t="s">
        <v>173</v>
      </c>
      <c r="G85" s="2" t="s">
        <v>174</v>
      </c>
    </row>
    <row r="86" spans="1:7" ht="225" x14ac:dyDescent="0.25">
      <c r="A86" s="4">
        <v>85</v>
      </c>
      <c r="B86" s="5">
        <v>0.1085106382978723</v>
      </c>
      <c r="C86" s="5">
        <v>4.457831325301205E-2</v>
      </c>
      <c r="D86" s="5">
        <v>6.7000000000000004E-2</v>
      </c>
      <c r="E86" s="5">
        <v>1.066460587326121E-2</v>
      </c>
      <c r="F86" s="2" t="s">
        <v>175</v>
      </c>
      <c r="G86" s="2" t="s">
        <v>176</v>
      </c>
    </row>
    <row r="87" spans="1:7" ht="330" x14ac:dyDescent="0.25">
      <c r="A87" s="4">
        <v>86</v>
      </c>
      <c r="B87" s="5">
        <v>5.1063829787234047E-2</v>
      </c>
      <c r="C87" s="5">
        <v>1.6867469879518069E-2</v>
      </c>
      <c r="D87" s="5">
        <v>4.2000000000000003E-2</v>
      </c>
      <c r="E87" s="5">
        <v>4.0185471406491502E-3</v>
      </c>
      <c r="F87" s="2" t="s">
        <v>177</v>
      </c>
      <c r="G87" s="2" t="s">
        <v>178</v>
      </c>
    </row>
    <row r="88" spans="1:7" ht="240" x14ac:dyDescent="0.25">
      <c r="A88" s="4">
        <v>87</v>
      </c>
      <c r="B88" s="5">
        <v>0.34680851063829787</v>
      </c>
      <c r="C88" s="5">
        <v>0.19277108433734941</v>
      </c>
      <c r="D88" s="5">
        <v>0.28599999999999998</v>
      </c>
      <c r="E88" s="5">
        <v>0</v>
      </c>
      <c r="F88" s="2" t="s">
        <v>179</v>
      </c>
      <c r="G88" s="2" t="s">
        <v>180</v>
      </c>
    </row>
    <row r="89" spans="1:7" ht="120" x14ac:dyDescent="0.25">
      <c r="A89" s="4">
        <v>88</v>
      </c>
      <c r="B89" s="5">
        <v>0.32234042553191489</v>
      </c>
      <c r="C89" s="5">
        <v>0.136144578313253</v>
      </c>
      <c r="D89" s="5">
        <v>0.27</v>
      </c>
      <c r="E89" s="5">
        <v>5.7187017001545598E-3</v>
      </c>
      <c r="F89" s="2" t="s">
        <v>181</v>
      </c>
      <c r="G89" s="2" t="s">
        <v>182</v>
      </c>
    </row>
    <row r="90" spans="1:7" ht="240" x14ac:dyDescent="0.25">
      <c r="A90" s="4">
        <v>89</v>
      </c>
      <c r="B90" s="5">
        <v>0.31914893617021278</v>
      </c>
      <c r="C90" s="5">
        <v>0.28915662650602408</v>
      </c>
      <c r="D90" s="5">
        <v>0.20699999999999999</v>
      </c>
      <c r="E90" s="5">
        <v>6.955177743431221E-3</v>
      </c>
      <c r="F90" s="2" t="s">
        <v>183</v>
      </c>
      <c r="G90" s="2" t="s">
        <v>184</v>
      </c>
    </row>
    <row r="91" spans="1:7" ht="120" x14ac:dyDescent="0.25">
      <c r="A91" s="4">
        <v>90</v>
      </c>
      <c r="B91" s="5">
        <v>6.9148936170212769E-2</v>
      </c>
      <c r="C91" s="5">
        <v>1.3253012048192771E-2</v>
      </c>
      <c r="D91" s="5">
        <v>5.1999999999999998E-2</v>
      </c>
      <c r="E91" s="5">
        <v>5.4095826893353939E-3</v>
      </c>
      <c r="F91" s="2" t="s">
        <v>185</v>
      </c>
      <c r="G91" s="2" t="s">
        <v>186</v>
      </c>
    </row>
    <row r="92" spans="1:7" ht="150" x14ac:dyDescent="0.25">
      <c r="A92" s="4">
        <v>91</v>
      </c>
      <c r="B92" s="5">
        <v>0.27446808510638299</v>
      </c>
      <c r="C92" s="5">
        <v>0.127710843373494</v>
      </c>
      <c r="D92" s="5">
        <v>9.5000000000000001E-2</v>
      </c>
      <c r="E92" s="5">
        <v>5.0231839258114371E-2</v>
      </c>
      <c r="F92" s="2" t="s">
        <v>187</v>
      </c>
      <c r="G92" s="2" t="s">
        <v>188</v>
      </c>
    </row>
    <row r="93" spans="1:7" ht="210" x14ac:dyDescent="0.25">
      <c r="A93" s="4">
        <v>92</v>
      </c>
      <c r="B93" s="5">
        <v>0.16063829787234041</v>
      </c>
      <c r="C93" s="5">
        <v>0.10361445783132529</v>
      </c>
      <c r="D93" s="5">
        <v>3.1E-2</v>
      </c>
      <c r="E93" s="5">
        <v>3.4466769706336942E-2</v>
      </c>
      <c r="F93" s="2" t="s">
        <v>189</v>
      </c>
      <c r="G93" s="2" t="s">
        <v>190</v>
      </c>
    </row>
    <row r="94" spans="1:7" ht="240" x14ac:dyDescent="0.25">
      <c r="A94" s="4">
        <v>93</v>
      </c>
      <c r="B94" s="5">
        <v>0.1404255319148936</v>
      </c>
      <c r="C94" s="5">
        <v>0.1180722891566265</v>
      </c>
      <c r="D94" s="5">
        <v>1.0999999999999999E-2</v>
      </c>
      <c r="E94" s="5">
        <v>3.1993817619783607E-2</v>
      </c>
      <c r="F94" s="2" t="s">
        <v>191</v>
      </c>
      <c r="G94" s="2" t="s">
        <v>192</v>
      </c>
    </row>
    <row r="95" spans="1:7" ht="330" x14ac:dyDescent="0.25">
      <c r="A95" s="4">
        <v>94</v>
      </c>
      <c r="B95" s="5">
        <v>0.12340425531914891</v>
      </c>
      <c r="C95" s="5">
        <v>0.1433734939759036</v>
      </c>
      <c r="D95" s="5">
        <v>4.9000000000000002E-2</v>
      </c>
      <c r="E95" s="5">
        <v>9.4281298299845433E-3</v>
      </c>
      <c r="F95" s="2" t="s">
        <v>193</v>
      </c>
      <c r="G95" s="2" t="s">
        <v>194</v>
      </c>
    </row>
    <row r="96" spans="1:7" ht="180" x14ac:dyDescent="0.25">
      <c r="A96" s="4">
        <v>95</v>
      </c>
      <c r="B96" s="5">
        <v>8.2978723404255314E-2</v>
      </c>
      <c r="C96" s="5">
        <v>0.13734939759036149</v>
      </c>
      <c r="D96" s="5">
        <v>0.02</v>
      </c>
      <c r="E96" s="5">
        <v>5.5641421947449756E-3</v>
      </c>
      <c r="F96" s="2" t="s">
        <v>195</v>
      </c>
      <c r="G96" s="2" t="s">
        <v>196</v>
      </c>
    </row>
    <row r="97" spans="1:7" ht="255" x14ac:dyDescent="0.25">
      <c r="A97" s="4">
        <v>96</v>
      </c>
      <c r="B97" s="5">
        <v>0.13936170212765961</v>
      </c>
      <c r="C97" s="5">
        <v>0.2433734939759036</v>
      </c>
      <c r="D97" s="5">
        <v>4.2999999999999997E-2</v>
      </c>
      <c r="E97" s="5">
        <v>4.3276661514683153E-3</v>
      </c>
      <c r="F97" s="2" t="s">
        <v>197</v>
      </c>
      <c r="G97" s="2" t="s">
        <v>198</v>
      </c>
    </row>
    <row r="98" spans="1:7" ht="409.5" x14ac:dyDescent="0.25">
      <c r="A98" s="4">
        <v>97</v>
      </c>
      <c r="B98" s="5">
        <v>3.8297872340425532E-2</v>
      </c>
      <c r="C98" s="5">
        <v>4.8192771084337354E-3</v>
      </c>
      <c r="D98" s="5">
        <v>4.0000000000000001E-3</v>
      </c>
      <c r="E98" s="5">
        <v>1.360123647604328E-2</v>
      </c>
      <c r="F98" s="2" t="s">
        <v>199</v>
      </c>
      <c r="G98" s="2" t="s">
        <v>200</v>
      </c>
    </row>
    <row r="99" spans="1:7" ht="150" x14ac:dyDescent="0.25">
      <c r="A99" s="4">
        <v>98</v>
      </c>
      <c r="B99" s="5">
        <v>0.1542553191489362</v>
      </c>
      <c r="C99" s="5">
        <v>1.445783132530121E-2</v>
      </c>
      <c r="D99" s="5">
        <v>4.0000000000000001E-3</v>
      </c>
      <c r="E99" s="5">
        <v>5.2859350850077293E-2</v>
      </c>
      <c r="F99" s="2" t="s">
        <v>201</v>
      </c>
      <c r="G99" s="2" t="s">
        <v>202</v>
      </c>
    </row>
    <row r="100" spans="1:7" ht="240" x14ac:dyDescent="0.25">
      <c r="A100" s="4">
        <v>99</v>
      </c>
      <c r="B100" s="5">
        <v>0.44361702127659569</v>
      </c>
      <c r="C100" s="5">
        <v>0.31204819277108431</v>
      </c>
      <c r="D100" s="5">
        <v>0.19400000000000001</v>
      </c>
      <c r="E100" s="5">
        <v>4.945904173106646E-2</v>
      </c>
      <c r="F100" s="2" t="s">
        <v>203</v>
      </c>
      <c r="G100" s="2" t="s">
        <v>204</v>
      </c>
    </row>
    <row r="101" spans="1:7" ht="409.5" x14ac:dyDescent="0.25">
      <c r="A101" s="4">
        <v>100</v>
      </c>
      <c r="B101" s="5">
        <v>7.4468085106382975E-2</v>
      </c>
      <c r="C101" s="5">
        <v>0.17590361445783129</v>
      </c>
      <c r="D101" s="5">
        <v>8.0000000000000002E-3</v>
      </c>
      <c r="E101" s="5">
        <v>1.5455950540958271E-3</v>
      </c>
      <c r="F101" s="2" t="s">
        <v>205</v>
      </c>
      <c r="G101" s="2" t="s">
        <v>206</v>
      </c>
    </row>
    <row r="102" spans="1:7" ht="135" x14ac:dyDescent="0.25">
      <c r="A102" s="4">
        <v>101</v>
      </c>
      <c r="B102" s="5">
        <v>9.8936170212765961E-2</v>
      </c>
      <c r="C102" s="5">
        <v>0.1542168674698795</v>
      </c>
      <c r="D102" s="5">
        <v>1.4999999999999999E-2</v>
      </c>
      <c r="E102" s="5">
        <v>9.4281298299845433E-3</v>
      </c>
      <c r="F102" s="2" t="s">
        <v>207</v>
      </c>
      <c r="G102" s="2" t="s">
        <v>208</v>
      </c>
    </row>
    <row r="103" spans="1:7" ht="150" x14ac:dyDescent="0.25">
      <c r="A103" s="4">
        <v>102</v>
      </c>
      <c r="B103" s="5">
        <v>5.8510638297872342E-2</v>
      </c>
      <c r="C103" s="5">
        <v>1.6867469879518069E-2</v>
      </c>
      <c r="D103" s="5">
        <v>2E-3</v>
      </c>
      <c r="E103" s="5">
        <v>1.9783616692426589E-2</v>
      </c>
      <c r="F103" s="2" t="s">
        <v>209</v>
      </c>
      <c r="G103" s="2" t="s">
        <v>210</v>
      </c>
    </row>
    <row r="104" spans="1:7" ht="135" x14ac:dyDescent="0.25">
      <c r="A104" s="4">
        <v>103</v>
      </c>
      <c r="B104" s="5">
        <v>0.1042553191489362</v>
      </c>
      <c r="C104" s="5">
        <v>1.9277108433734941E-2</v>
      </c>
      <c r="D104" s="5">
        <v>6.9999999999999993E-3</v>
      </c>
      <c r="E104" s="5">
        <v>3.2302936630602783E-2</v>
      </c>
      <c r="F104" s="2" t="s">
        <v>211</v>
      </c>
      <c r="G104" s="2" t="s">
        <v>212</v>
      </c>
    </row>
    <row r="105" spans="1:7" ht="105" x14ac:dyDescent="0.25">
      <c r="A105" s="4">
        <v>104</v>
      </c>
      <c r="B105" s="5">
        <v>7.5531914893617019E-2</v>
      </c>
      <c r="C105" s="5">
        <v>2.7710843373493971E-2</v>
      </c>
      <c r="D105" s="5">
        <v>3.0000000000000001E-3</v>
      </c>
      <c r="E105" s="5">
        <v>2.3802163833075731E-2</v>
      </c>
      <c r="F105" s="2" t="s">
        <v>213</v>
      </c>
      <c r="G105" s="2" t="s">
        <v>214</v>
      </c>
    </row>
    <row r="106" spans="1:7" ht="240" x14ac:dyDescent="0.25">
      <c r="A106" s="4">
        <v>105</v>
      </c>
      <c r="B106" s="5">
        <v>0.37234042553191488</v>
      </c>
      <c r="C106" s="5">
        <v>3.2530120481927723E-2</v>
      </c>
      <c r="D106" s="5">
        <v>1.0999999999999999E-2</v>
      </c>
      <c r="E106" s="5">
        <v>0.12720247295208659</v>
      </c>
      <c r="F106" s="2" t="s">
        <v>215</v>
      </c>
      <c r="G106" s="2" t="s">
        <v>216</v>
      </c>
    </row>
    <row r="107" spans="1:7" ht="165" x14ac:dyDescent="0.25">
      <c r="A107" s="4">
        <v>106</v>
      </c>
      <c r="B107" s="5">
        <v>0.38723404255319149</v>
      </c>
      <c r="C107" s="5">
        <v>4.0963855421686748E-2</v>
      </c>
      <c r="D107" s="5">
        <v>6.9999999999999993E-3</v>
      </c>
      <c r="E107" s="5">
        <v>0.13338485316846979</v>
      </c>
      <c r="F107" s="2" t="s">
        <v>217</v>
      </c>
      <c r="G107" s="2" t="s">
        <v>218</v>
      </c>
    </row>
    <row r="108" spans="1:7" ht="225" x14ac:dyDescent="0.25">
      <c r="A108" s="4">
        <v>107</v>
      </c>
      <c r="B108" s="5">
        <v>0.38297872340425532</v>
      </c>
      <c r="C108" s="5">
        <v>8.1927710843373497E-2</v>
      </c>
      <c r="D108" s="5">
        <v>6.9999999999999993E-3</v>
      </c>
      <c r="E108" s="5">
        <v>0.1219474497681607</v>
      </c>
      <c r="F108" s="2" t="s">
        <v>219</v>
      </c>
      <c r="G108" s="2" t="s">
        <v>220</v>
      </c>
    </row>
    <row r="109" spans="1:7" ht="150" x14ac:dyDescent="0.25">
      <c r="A109" s="4">
        <v>108</v>
      </c>
      <c r="B109" s="5">
        <v>0.1893617021276596</v>
      </c>
      <c r="C109" s="5">
        <v>2.5301204819277109E-2</v>
      </c>
      <c r="D109" s="5">
        <v>1E-3</v>
      </c>
      <c r="E109" s="5">
        <v>6.2751159196290568E-2</v>
      </c>
      <c r="F109" s="2" t="s">
        <v>221</v>
      </c>
      <c r="G109" s="2" t="s">
        <v>222</v>
      </c>
    </row>
    <row r="110" spans="1:7" ht="135" x14ac:dyDescent="0.25">
      <c r="A110" s="4">
        <v>109</v>
      </c>
      <c r="B110" s="5">
        <v>0.37978723404255321</v>
      </c>
      <c r="C110" s="5">
        <v>0.10120481927710839</v>
      </c>
      <c r="D110" s="5">
        <v>1.7000000000000001E-2</v>
      </c>
      <c r="E110" s="5">
        <v>0.11916537867078821</v>
      </c>
      <c r="F110" s="2" t="s">
        <v>223</v>
      </c>
      <c r="G110" s="2" t="s">
        <v>224</v>
      </c>
    </row>
    <row r="111" spans="1:7" ht="210" x14ac:dyDescent="0.25">
      <c r="A111" s="4">
        <v>110</v>
      </c>
      <c r="B111" s="5">
        <v>0.39255319148936169</v>
      </c>
      <c r="C111" s="5">
        <v>0.1144578313253012</v>
      </c>
      <c r="D111" s="5">
        <v>1.4E-2</v>
      </c>
      <c r="E111" s="5">
        <v>0.11916537867078821</v>
      </c>
      <c r="F111" s="2" t="s">
        <v>225</v>
      </c>
      <c r="G111" s="2" t="s">
        <v>226</v>
      </c>
    </row>
    <row r="112" spans="1:7" ht="135" x14ac:dyDescent="0.25">
      <c r="A112" s="4">
        <v>111</v>
      </c>
      <c r="B112" s="5">
        <v>0.37978723404255321</v>
      </c>
      <c r="C112" s="5">
        <v>0.10120481927710839</v>
      </c>
      <c r="D112" s="5">
        <v>1.7000000000000001E-2</v>
      </c>
      <c r="E112" s="5">
        <v>0.11916537867078821</v>
      </c>
      <c r="F112" s="2" t="s">
        <v>227</v>
      </c>
      <c r="G112" s="2" t="s">
        <v>228</v>
      </c>
    </row>
    <row r="113" spans="1:7" ht="120" x14ac:dyDescent="0.25">
      <c r="A113" s="4">
        <v>112</v>
      </c>
      <c r="B113" s="5">
        <v>0.37340425531914889</v>
      </c>
      <c r="C113" s="5">
        <v>9.6385542168674704E-2</v>
      </c>
      <c r="D113" s="5">
        <v>1.2999999999999999E-2</v>
      </c>
      <c r="E113" s="5">
        <v>0.1188562596599691</v>
      </c>
      <c r="F113" s="2" t="s">
        <v>229</v>
      </c>
      <c r="G113" s="2" t="s">
        <v>230</v>
      </c>
    </row>
    <row r="114" spans="1:7" ht="195" x14ac:dyDescent="0.25">
      <c r="A114" s="4">
        <v>113</v>
      </c>
      <c r="B114" s="5">
        <v>0.38085106382978717</v>
      </c>
      <c r="C114" s="5">
        <v>6.6265060240963861E-2</v>
      </c>
      <c r="D114" s="5">
        <v>1E-3</v>
      </c>
      <c r="E114" s="5">
        <v>0.12782071097372491</v>
      </c>
      <c r="F114" s="2" t="s">
        <v>231</v>
      </c>
      <c r="G114" s="2" t="s">
        <v>232</v>
      </c>
    </row>
    <row r="115" spans="1:7" ht="225" x14ac:dyDescent="0.25">
      <c r="A115" s="4">
        <v>114</v>
      </c>
      <c r="B115" s="5">
        <v>0.32659574468085112</v>
      </c>
      <c r="C115" s="5">
        <v>5.7831325301204821E-2</v>
      </c>
      <c r="D115" s="5">
        <v>1E-3</v>
      </c>
      <c r="E115" s="5">
        <v>0.1109737248840804</v>
      </c>
      <c r="F115" s="2" t="s">
        <v>233</v>
      </c>
      <c r="G115" s="2" t="s">
        <v>234</v>
      </c>
    </row>
    <row r="116" spans="1:7" ht="165" x14ac:dyDescent="0.25">
      <c r="A116" s="4">
        <v>115</v>
      </c>
      <c r="B116" s="5">
        <v>0.37872340425531908</v>
      </c>
      <c r="C116" s="5">
        <v>8.4337349397590369E-2</v>
      </c>
      <c r="D116" s="5">
        <v>6.9999999999999993E-3</v>
      </c>
      <c r="E116" s="5">
        <v>0.12055641421947449</v>
      </c>
      <c r="F116" s="2" t="s">
        <v>235</v>
      </c>
      <c r="G116" s="2" t="s">
        <v>236</v>
      </c>
    </row>
    <row r="117" spans="1:7" ht="409.5" x14ac:dyDescent="0.25">
      <c r="A117" s="4">
        <v>116</v>
      </c>
      <c r="B117" s="5">
        <v>0.1925531914893617</v>
      </c>
      <c r="C117" s="5">
        <v>4.8192771084337352E-2</v>
      </c>
      <c r="D117" s="5">
        <v>1.2E-2</v>
      </c>
      <c r="E117" s="5">
        <v>5.7650695517774339E-2</v>
      </c>
      <c r="F117" s="2" t="s">
        <v>237</v>
      </c>
      <c r="G117" s="2" t="s">
        <v>238</v>
      </c>
    </row>
    <row r="118" spans="1:7" ht="225" x14ac:dyDescent="0.25">
      <c r="A118" s="4">
        <v>117</v>
      </c>
      <c r="B118" s="5">
        <v>0.1765957446808511</v>
      </c>
      <c r="C118" s="5">
        <v>4.5783132530120479E-2</v>
      </c>
      <c r="D118" s="5">
        <v>0.01</v>
      </c>
      <c r="E118" s="5">
        <v>5.316846986089644E-2</v>
      </c>
      <c r="F118" s="2" t="s">
        <v>239</v>
      </c>
      <c r="G118" s="2" t="s">
        <v>240</v>
      </c>
    </row>
    <row r="119" spans="1:7" ht="165" x14ac:dyDescent="0.25">
      <c r="A119" s="4">
        <v>118</v>
      </c>
      <c r="B119" s="5">
        <v>0.38297872340425532</v>
      </c>
      <c r="C119" s="5">
        <v>9.6385542168674704E-2</v>
      </c>
      <c r="D119" s="5">
        <v>2.3E-2</v>
      </c>
      <c r="E119" s="5">
        <v>0.1151468315301391</v>
      </c>
      <c r="F119" s="2" t="s">
        <v>241</v>
      </c>
      <c r="G119" s="2" t="s">
        <v>242</v>
      </c>
    </row>
    <row r="120" spans="1:7" ht="165" x14ac:dyDescent="0.25">
      <c r="A120" s="4">
        <v>119</v>
      </c>
      <c r="B120" s="5">
        <v>0.38297872340425532</v>
      </c>
      <c r="C120" s="5">
        <v>9.6385542168674704E-2</v>
      </c>
      <c r="D120" s="5">
        <v>2.3E-2</v>
      </c>
      <c r="E120" s="5">
        <v>0.1151468315301391</v>
      </c>
      <c r="F120" s="2" t="s">
        <v>243</v>
      </c>
      <c r="G120" s="2" t="s">
        <v>236</v>
      </c>
    </row>
    <row r="121" spans="1:7" ht="409.5" x14ac:dyDescent="0.25">
      <c r="A121" s="4">
        <v>120</v>
      </c>
      <c r="B121" s="5">
        <v>0.3851063829787234</v>
      </c>
      <c r="C121" s="5">
        <v>8.0722891566265068E-2</v>
      </c>
      <c r="D121" s="5">
        <v>6.9999999999999993E-3</v>
      </c>
      <c r="E121" s="5">
        <v>0.1227202472952087</v>
      </c>
      <c r="F121" s="2" t="s">
        <v>244</v>
      </c>
      <c r="G121" s="2" t="s">
        <v>245</v>
      </c>
    </row>
    <row r="122" spans="1:7" ht="405" x14ac:dyDescent="0.25">
      <c r="A122" s="4">
        <v>121</v>
      </c>
      <c r="B122" s="5">
        <v>0.17340425531914891</v>
      </c>
      <c r="C122" s="5">
        <v>3.6144578313253017E-2</v>
      </c>
      <c r="D122" s="5">
        <v>4.0000000000000001E-3</v>
      </c>
      <c r="E122" s="5">
        <v>5.5177743431221032E-2</v>
      </c>
      <c r="F122" s="2" t="s">
        <v>246</v>
      </c>
      <c r="G122" s="2" t="s">
        <v>247</v>
      </c>
    </row>
    <row r="123" spans="1:7" ht="195" x14ac:dyDescent="0.25">
      <c r="A123" s="4">
        <v>122</v>
      </c>
      <c r="B123" s="5">
        <v>0.18297872340425531</v>
      </c>
      <c r="C123" s="5">
        <v>3.6144578313253017E-2</v>
      </c>
      <c r="D123" s="5">
        <v>5.0000000000000001E-3</v>
      </c>
      <c r="E123" s="5">
        <v>5.7959814528593508E-2</v>
      </c>
      <c r="F123" s="2" t="s">
        <v>248</v>
      </c>
      <c r="G123" s="2" t="s">
        <v>249</v>
      </c>
    </row>
    <row r="124" spans="1:7" ht="225" x14ac:dyDescent="0.25">
      <c r="A124" s="4">
        <v>123</v>
      </c>
      <c r="B124" s="5">
        <v>0.38404255319148939</v>
      </c>
      <c r="C124" s="5">
        <v>8.91566265060241E-2</v>
      </c>
      <c r="D124" s="5">
        <v>8.0000000000000002E-3</v>
      </c>
      <c r="E124" s="5">
        <v>0.1211746522411128</v>
      </c>
      <c r="F124" s="2" t="s">
        <v>250</v>
      </c>
      <c r="G124" s="2" t="s">
        <v>251</v>
      </c>
    </row>
    <row r="125" spans="1:7" ht="105" x14ac:dyDescent="0.25">
      <c r="A125" s="4">
        <v>124</v>
      </c>
      <c r="B125" s="5">
        <v>0.38404255319148939</v>
      </c>
      <c r="C125" s="5">
        <v>8.91566265060241E-2</v>
      </c>
      <c r="D125" s="5">
        <v>8.0000000000000002E-3</v>
      </c>
      <c r="E125" s="5">
        <v>0.1211746522411128</v>
      </c>
      <c r="F125" s="2" t="s">
        <v>252</v>
      </c>
      <c r="G125" s="2" t="s">
        <v>253</v>
      </c>
    </row>
    <row r="126" spans="1:7" ht="120" x14ac:dyDescent="0.25">
      <c r="A126" s="4">
        <v>125</v>
      </c>
      <c r="B126" s="5">
        <v>0.4</v>
      </c>
      <c r="C126" s="5">
        <v>9.036144578313253E-2</v>
      </c>
      <c r="D126" s="5">
        <v>3.7999999999999999E-2</v>
      </c>
      <c r="E126" s="5">
        <v>0.12055641421947449</v>
      </c>
      <c r="F126" s="2" t="s">
        <v>254</v>
      </c>
      <c r="G126" s="2" t="s">
        <v>255</v>
      </c>
    </row>
    <row r="127" spans="1:7" ht="135" x14ac:dyDescent="0.25">
      <c r="A127" s="4">
        <v>126</v>
      </c>
      <c r="B127" s="5">
        <v>0.36063829787234042</v>
      </c>
      <c r="C127" s="5">
        <v>9.2771084337349402E-2</v>
      </c>
      <c r="D127" s="5">
        <v>4.3999999999999997E-2</v>
      </c>
      <c r="E127" s="5">
        <v>0.1128284389489954</v>
      </c>
      <c r="F127" s="2" t="s">
        <v>256</v>
      </c>
      <c r="G127" s="2" t="s">
        <v>257</v>
      </c>
    </row>
    <row r="128" spans="1:7" ht="120" x14ac:dyDescent="0.25">
      <c r="A128" s="4">
        <v>127</v>
      </c>
      <c r="B128" s="5">
        <v>0.3851063829787234</v>
      </c>
      <c r="C128" s="5">
        <v>9.2771084337349402E-2</v>
      </c>
      <c r="D128" s="5">
        <v>4.3999999999999997E-2</v>
      </c>
      <c r="E128" s="5">
        <v>0.1128284389489954</v>
      </c>
      <c r="F128" s="2" t="s">
        <v>258</v>
      </c>
      <c r="G128" s="2" t="s">
        <v>259</v>
      </c>
    </row>
    <row r="129" spans="1:7" ht="225" x14ac:dyDescent="0.25">
      <c r="A129" s="4">
        <v>128</v>
      </c>
      <c r="B129" s="5">
        <v>0.3819148936170213</v>
      </c>
      <c r="C129" s="5">
        <v>9.036144578313253E-2</v>
      </c>
      <c r="D129" s="5">
        <v>9.0000000000000011E-3</v>
      </c>
      <c r="E129" s="5">
        <v>0.1199381761978362</v>
      </c>
      <c r="F129" s="2" t="s">
        <v>260</v>
      </c>
      <c r="G129" s="2" t="s">
        <v>261</v>
      </c>
    </row>
    <row r="130" spans="1:7" ht="120" x14ac:dyDescent="0.25">
      <c r="A130" s="4">
        <v>129</v>
      </c>
      <c r="B130" s="5">
        <v>0.38723404255319149</v>
      </c>
      <c r="C130" s="5">
        <v>8.1927710843373497E-2</v>
      </c>
      <c r="D130" s="5">
        <v>6.0000000000000001E-3</v>
      </c>
      <c r="E130" s="5">
        <v>0.1238021638330757</v>
      </c>
      <c r="F130" s="2" t="s">
        <v>262</v>
      </c>
      <c r="G130" s="2" t="s">
        <v>263</v>
      </c>
    </row>
    <row r="131" spans="1:7" ht="315" x14ac:dyDescent="0.25">
      <c r="A131" s="4">
        <v>130</v>
      </c>
      <c r="B131" s="5">
        <v>0.37553191489361698</v>
      </c>
      <c r="C131" s="5">
        <v>8.1927710843373497E-2</v>
      </c>
      <c r="D131" s="5">
        <v>6.0000000000000001E-3</v>
      </c>
      <c r="E131" s="5">
        <v>0.12364760432766619</v>
      </c>
      <c r="F131" s="2" t="s">
        <v>264</v>
      </c>
      <c r="G131" s="2" t="s">
        <v>265</v>
      </c>
    </row>
    <row r="132" spans="1:7" ht="180" x14ac:dyDescent="0.25">
      <c r="A132" s="4">
        <v>131</v>
      </c>
      <c r="B132" s="5">
        <v>0.35638297872340419</v>
      </c>
      <c r="C132" s="5">
        <v>8.91566265060241E-2</v>
      </c>
      <c r="D132" s="5">
        <v>1.9E-2</v>
      </c>
      <c r="E132" s="5">
        <v>0.117774343122102</v>
      </c>
      <c r="F132" s="2" t="s">
        <v>266</v>
      </c>
      <c r="G132" s="2" t="s">
        <v>267</v>
      </c>
    </row>
    <row r="133" spans="1:7" ht="360" x14ac:dyDescent="0.25">
      <c r="A133" s="4">
        <v>132</v>
      </c>
      <c r="B133" s="5">
        <v>0.38617021276595748</v>
      </c>
      <c r="C133" s="5">
        <v>9.1566265060240959E-2</v>
      </c>
      <c r="D133" s="5">
        <v>1.0999999999999999E-2</v>
      </c>
      <c r="E133" s="5">
        <v>0.1210200927357032</v>
      </c>
      <c r="F133" s="2" t="s">
        <v>268</v>
      </c>
      <c r="G133" s="2" t="s">
        <v>269</v>
      </c>
    </row>
    <row r="134" spans="1:7" ht="210" x14ac:dyDescent="0.25">
      <c r="A134" s="4">
        <v>133</v>
      </c>
      <c r="B134" s="5">
        <v>0.36595744680851072</v>
      </c>
      <c r="C134" s="5">
        <v>1.3253012048192771E-2</v>
      </c>
      <c r="D134" s="5">
        <v>2E-3</v>
      </c>
      <c r="E134" s="5">
        <v>4.3740340030911901E-2</v>
      </c>
      <c r="F134" s="2" t="s">
        <v>270</v>
      </c>
      <c r="G134" s="2" t="s">
        <v>271</v>
      </c>
    </row>
    <row r="135" spans="1:7" ht="120" x14ac:dyDescent="0.25">
      <c r="A135" s="4">
        <v>134</v>
      </c>
      <c r="B135" s="5">
        <v>0.37659574468085111</v>
      </c>
      <c r="C135" s="5">
        <v>9.3975903614457831E-2</v>
      </c>
      <c r="D135" s="5">
        <v>4.0000000000000001E-3</v>
      </c>
      <c r="E135" s="5">
        <v>0.12349304482225661</v>
      </c>
      <c r="F135" s="2" t="s">
        <v>272</v>
      </c>
      <c r="G135" s="2" t="s">
        <v>273</v>
      </c>
    </row>
    <row r="136" spans="1:7" ht="255" x14ac:dyDescent="0.25">
      <c r="A136" s="4">
        <v>135</v>
      </c>
      <c r="B136" s="5">
        <v>0.37446808510638302</v>
      </c>
      <c r="C136" s="5">
        <v>8.7951807228915671E-2</v>
      </c>
      <c r="D136" s="5">
        <v>9.0000000000000011E-3</v>
      </c>
      <c r="E136" s="5">
        <v>0.117774343122102</v>
      </c>
      <c r="F136" s="2" t="s">
        <v>274</v>
      </c>
      <c r="G136" s="2" t="s">
        <v>275</v>
      </c>
    </row>
    <row r="137" spans="1:7" ht="210" x14ac:dyDescent="0.25">
      <c r="A137" s="4">
        <v>136</v>
      </c>
      <c r="B137" s="5">
        <v>0.1542553191489362</v>
      </c>
      <c r="C137" s="5">
        <v>0.19638554216867471</v>
      </c>
      <c r="D137" s="5">
        <v>7.0000000000000007E-2</v>
      </c>
      <c r="E137" s="5">
        <v>6.33693972179289E-3</v>
      </c>
      <c r="F137" s="2" t="s">
        <v>276</v>
      </c>
      <c r="G137" s="2" t="s">
        <v>277</v>
      </c>
    </row>
    <row r="138" spans="1:7" ht="150" x14ac:dyDescent="0.25">
      <c r="A138" s="4">
        <v>137</v>
      </c>
      <c r="B138" s="5">
        <v>0.38297872340425532</v>
      </c>
      <c r="C138" s="5">
        <v>5.6626506024096392E-2</v>
      </c>
      <c r="D138" s="5">
        <v>1E-3</v>
      </c>
      <c r="E138" s="5">
        <v>0.12689335394126741</v>
      </c>
      <c r="F138" s="2" t="s">
        <v>278</v>
      </c>
      <c r="G138" s="2" t="s">
        <v>279</v>
      </c>
    </row>
    <row r="139" spans="1:7" ht="315" x14ac:dyDescent="0.25">
      <c r="A139" s="4">
        <v>138</v>
      </c>
      <c r="B139" s="5">
        <v>0.1638297872340426</v>
      </c>
      <c r="C139" s="5">
        <v>3.6144578313253017E-2</v>
      </c>
      <c r="D139" s="5">
        <v>4.4999999999999998E-2</v>
      </c>
      <c r="E139" s="5">
        <v>3.9412673879443583E-2</v>
      </c>
      <c r="F139" s="2" t="s">
        <v>280</v>
      </c>
      <c r="G139" s="2" t="s">
        <v>281</v>
      </c>
    </row>
    <row r="140" spans="1:7" ht="150" x14ac:dyDescent="0.25">
      <c r="A140" s="4">
        <v>139</v>
      </c>
      <c r="B140" s="5">
        <v>0.40531914893617021</v>
      </c>
      <c r="C140" s="5">
        <v>7.3493975903614464E-2</v>
      </c>
      <c r="D140" s="5">
        <v>3.9E-2</v>
      </c>
      <c r="E140" s="5">
        <v>0.1241112828438949</v>
      </c>
      <c r="F140" s="2" t="s">
        <v>282</v>
      </c>
      <c r="G140" s="2" t="s">
        <v>283</v>
      </c>
    </row>
    <row r="141" spans="1:7" ht="195" x14ac:dyDescent="0.25">
      <c r="A141" s="4">
        <v>140</v>
      </c>
      <c r="B141" s="5">
        <v>0.37659574468085111</v>
      </c>
      <c r="C141" s="5">
        <v>6.024096385542169E-3</v>
      </c>
      <c r="D141" s="5">
        <v>3.0000000000000001E-3</v>
      </c>
      <c r="E141" s="5">
        <v>0.1350850077279753</v>
      </c>
      <c r="F141" s="2" t="s">
        <v>284</v>
      </c>
      <c r="G141" s="2" t="s">
        <v>285</v>
      </c>
    </row>
    <row r="142" spans="1:7" ht="240" x14ac:dyDescent="0.25">
      <c r="A142" s="4">
        <v>141</v>
      </c>
      <c r="B142" s="5">
        <v>0.37021276595744679</v>
      </c>
      <c r="C142" s="5">
        <v>5.6626506024096392E-2</v>
      </c>
      <c r="D142" s="5">
        <v>1E-3</v>
      </c>
      <c r="E142" s="5">
        <v>0.12689335394126741</v>
      </c>
      <c r="F142" s="2" t="s">
        <v>286</v>
      </c>
      <c r="G142" s="2" t="s">
        <v>287</v>
      </c>
    </row>
    <row r="143" spans="1:7" ht="285" x14ac:dyDescent="0.25">
      <c r="A143" s="4">
        <v>142</v>
      </c>
      <c r="B143" s="5">
        <v>0.59787234042553195</v>
      </c>
      <c r="C143" s="5">
        <v>0.25542168674698801</v>
      </c>
      <c r="D143" s="5">
        <v>0.49600000000000011</v>
      </c>
      <c r="E143" s="5">
        <v>3.6476043276661513E-2</v>
      </c>
      <c r="F143" s="2" t="s">
        <v>288</v>
      </c>
      <c r="G143" s="2" t="s">
        <v>289</v>
      </c>
    </row>
    <row r="144" spans="1:7" ht="135" x14ac:dyDescent="0.25">
      <c r="A144" s="4">
        <v>143</v>
      </c>
      <c r="B144" s="5">
        <v>0.66914893617021276</v>
      </c>
      <c r="C144" s="5">
        <v>0.25903614457831331</v>
      </c>
      <c r="D144" s="5">
        <v>0.56600000000000006</v>
      </c>
      <c r="E144" s="5">
        <v>3.060278207109737E-2</v>
      </c>
      <c r="F144" s="2" t="s">
        <v>290</v>
      </c>
      <c r="G144" s="2" t="s">
        <v>291</v>
      </c>
    </row>
    <row r="145" spans="1:7" ht="240" x14ac:dyDescent="0.25">
      <c r="A145" s="4">
        <v>144</v>
      </c>
      <c r="B145" s="5">
        <v>0.27872340425531922</v>
      </c>
      <c r="C145" s="5">
        <v>2.7710843373493971E-2</v>
      </c>
      <c r="D145" s="5">
        <v>5.4000000000000013E-2</v>
      </c>
      <c r="E145" s="5">
        <v>7.8979907264296753E-2</v>
      </c>
      <c r="F145" s="2" t="s">
        <v>292</v>
      </c>
      <c r="G145" s="2" t="s">
        <v>293</v>
      </c>
    </row>
    <row r="146" spans="1:7" ht="150" x14ac:dyDescent="0.25">
      <c r="A146" s="4">
        <v>145</v>
      </c>
      <c r="B146" s="5">
        <v>0.2117021276595745</v>
      </c>
      <c r="C146" s="5">
        <v>2.5301204819277109E-2</v>
      </c>
      <c r="D146" s="5">
        <v>1.4999999999999999E-2</v>
      </c>
      <c r="E146" s="5">
        <v>6.8624420401854708E-2</v>
      </c>
      <c r="F146" s="2" t="s">
        <v>294</v>
      </c>
      <c r="G146" s="2" t="s">
        <v>295</v>
      </c>
    </row>
    <row r="147" spans="1:7" ht="180" x14ac:dyDescent="0.25">
      <c r="A147" s="4">
        <v>146</v>
      </c>
      <c r="B147" s="5">
        <v>0.24010638297872339</v>
      </c>
      <c r="C147" s="5">
        <v>3.6144578313253017E-2</v>
      </c>
      <c r="D147" s="5">
        <v>3.0000000000000001E-3</v>
      </c>
      <c r="E147" s="5">
        <v>8.1761978361669235E-2</v>
      </c>
      <c r="F147" s="2" t="s">
        <v>296</v>
      </c>
      <c r="G147" s="2" t="s">
        <v>297</v>
      </c>
    </row>
    <row r="148" spans="1:7" ht="409.5" x14ac:dyDescent="0.25">
      <c r="A148" s="4">
        <v>147</v>
      </c>
      <c r="B148" s="5">
        <v>5.1063829787234047E-2</v>
      </c>
      <c r="C148" s="5">
        <v>7.2289156626506026E-3</v>
      </c>
      <c r="D148" s="5">
        <v>0</v>
      </c>
      <c r="E148" s="5">
        <v>6.8006182380216376E-3</v>
      </c>
      <c r="F148" s="2" t="s">
        <v>298</v>
      </c>
      <c r="G148" s="2" t="s">
        <v>299</v>
      </c>
    </row>
    <row r="149" spans="1:7" ht="255" x14ac:dyDescent="0.25">
      <c r="A149" s="4">
        <v>148</v>
      </c>
      <c r="B149" s="5">
        <v>0.48723404255319153</v>
      </c>
      <c r="C149" s="5">
        <v>8.313253012048194E-2</v>
      </c>
      <c r="D149" s="5">
        <v>0.14399999999999999</v>
      </c>
      <c r="E149" s="5">
        <v>0.1160741885625966</v>
      </c>
      <c r="F149" s="2" t="s">
        <v>300</v>
      </c>
      <c r="G149" s="2" t="s">
        <v>301</v>
      </c>
    </row>
    <row r="150" spans="1:7" ht="255" x14ac:dyDescent="0.25">
      <c r="A150" s="4">
        <v>149</v>
      </c>
      <c r="B150" s="5">
        <v>4.4680851063829789E-2</v>
      </c>
      <c r="C150" s="5">
        <v>1.9277108433734941E-2</v>
      </c>
      <c r="D150" s="5">
        <v>1E-3</v>
      </c>
      <c r="E150" s="5">
        <v>1.4837712519319941E-2</v>
      </c>
      <c r="F150" s="2" t="s">
        <v>302</v>
      </c>
      <c r="G150" s="2" t="s">
        <v>303</v>
      </c>
    </row>
    <row r="151" spans="1:7" ht="240" x14ac:dyDescent="0.25">
      <c r="A151" s="4">
        <v>150</v>
      </c>
      <c r="B151" s="5">
        <v>5.4255319148936172E-2</v>
      </c>
      <c r="C151" s="5">
        <v>3.6144578313253009E-3</v>
      </c>
      <c r="D151" s="5">
        <v>1E-3</v>
      </c>
      <c r="E151" s="5">
        <v>1.8701700154559509E-2</v>
      </c>
      <c r="F151" s="2" t="s">
        <v>304</v>
      </c>
      <c r="G151" s="2" t="s">
        <v>305</v>
      </c>
    </row>
    <row r="152" spans="1:7" ht="180" x14ac:dyDescent="0.25">
      <c r="A152" s="4">
        <v>151</v>
      </c>
      <c r="B152" s="5">
        <v>4.5744680851063833E-2</v>
      </c>
      <c r="C152" s="5">
        <v>3.1325301204819279E-2</v>
      </c>
      <c r="D152" s="5">
        <v>0</v>
      </c>
      <c r="E152" s="5">
        <v>1.7928902627511591E-2</v>
      </c>
      <c r="F152" s="2" t="s">
        <v>306</v>
      </c>
      <c r="G152" s="2" t="s">
        <v>307</v>
      </c>
    </row>
    <row r="153" spans="1:7" ht="240" x14ac:dyDescent="0.25">
      <c r="A153" s="4">
        <v>152</v>
      </c>
      <c r="B153" s="5">
        <v>0.26063829787234039</v>
      </c>
      <c r="C153" s="5">
        <v>4.0963855421686748E-2</v>
      </c>
      <c r="D153" s="5">
        <v>0</v>
      </c>
      <c r="E153" s="5">
        <v>0.1023183925811437</v>
      </c>
      <c r="F153" s="2" t="s">
        <v>308</v>
      </c>
      <c r="G153" s="2" t="s">
        <v>309</v>
      </c>
    </row>
    <row r="154" spans="1:7" ht="120" x14ac:dyDescent="0.25">
      <c r="A154" s="4">
        <v>153</v>
      </c>
      <c r="B154" s="5">
        <v>0.12659574468085111</v>
      </c>
      <c r="C154" s="5">
        <v>5.301204819277109E-2</v>
      </c>
      <c r="D154" s="5">
        <v>3.5000000000000003E-2</v>
      </c>
      <c r="E154" s="5">
        <v>2.828438948995363E-2</v>
      </c>
      <c r="F154" s="2" t="s">
        <v>310</v>
      </c>
      <c r="G154" s="2" t="s">
        <v>311</v>
      </c>
    </row>
    <row r="155" spans="1:7" ht="225" x14ac:dyDescent="0.25">
      <c r="A155" s="4">
        <v>154</v>
      </c>
      <c r="B155" s="5">
        <v>2.4468085106382979E-2</v>
      </c>
      <c r="C155" s="5">
        <v>1.204819277108434E-2</v>
      </c>
      <c r="D155" s="5">
        <v>8.0000000000000002E-3</v>
      </c>
      <c r="E155" s="5">
        <v>1.1128284389489949E-2</v>
      </c>
      <c r="F155" s="2" t="s">
        <v>312</v>
      </c>
      <c r="G155" s="2" t="s">
        <v>313</v>
      </c>
    </row>
    <row r="156" spans="1:7" ht="120" x14ac:dyDescent="0.25">
      <c r="A156" s="4">
        <v>155</v>
      </c>
      <c r="B156" s="5">
        <v>2.3404255319148939E-2</v>
      </c>
      <c r="C156" s="5">
        <v>1.204819277108434E-2</v>
      </c>
      <c r="D156" s="5">
        <v>3.0000000000000001E-3</v>
      </c>
      <c r="E156" s="5">
        <v>7.2642967542503869E-3</v>
      </c>
      <c r="F156" s="2" t="s">
        <v>314</v>
      </c>
      <c r="G156" s="2" t="s">
        <v>315</v>
      </c>
    </row>
    <row r="157" spans="1:7" ht="135" x14ac:dyDescent="0.25">
      <c r="A157" s="4">
        <v>156</v>
      </c>
      <c r="B157" s="5">
        <v>0.1978723404255319</v>
      </c>
      <c r="C157" s="5">
        <v>0.14096385542168671</v>
      </c>
      <c r="D157" s="5">
        <v>9.6999999999999989E-2</v>
      </c>
      <c r="E157" s="5">
        <v>2.009273570324575E-2</v>
      </c>
      <c r="F157" s="2" t="s">
        <v>316</v>
      </c>
      <c r="G157" s="2" t="s">
        <v>317</v>
      </c>
    </row>
    <row r="158" spans="1:7" ht="135" x14ac:dyDescent="0.25">
      <c r="A158" s="4">
        <v>157</v>
      </c>
      <c r="B158" s="5">
        <v>0.26489361702127662</v>
      </c>
      <c r="C158" s="5">
        <v>4.0963855421686748E-2</v>
      </c>
      <c r="D158" s="5">
        <v>4.0000000000000001E-3</v>
      </c>
      <c r="E158" s="5">
        <v>8.964451313755796E-2</v>
      </c>
      <c r="F158" s="2" t="s">
        <v>318</v>
      </c>
      <c r="G158" s="2" t="s">
        <v>319</v>
      </c>
    </row>
    <row r="159" spans="1:7" ht="240" x14ac:dyDescent="0.25">
      <c r="A159" s="4">
        <v>158</v>
      </c>
      <c r="B159" s="5">
        <v>0.42553191489361702</v>
      </c>
      <c r="C159" s="5">
        <v>4.8192771084337352E-2</v>
      </c>
      <c r="D159" s="5">
        <v>6.9999999999999993E-3</v>
      </c>
      <c r="E159" s="5">
        <v>0.1472952086553323</v>
      </c>
      <c r="F159" s="2" t="s">
        <v>320</v>
      </c>
      <c r="G159" s="2" t="s">
        <v>321</v>
      </c>
    </row>
    <row r="160" spans="1:7" ht="240" x14ac:dyDescent="0.25">
      <c r="A160" s="4">
        <v>159</v>
      </c>
      <c r="B160" s="5">
        <v>0.15</v>
      </c>
      <c r="C160" s="5">
        <v>0.18433734939759039</v>
      </c>
      <c r="D160" s="5">
        <v>3.3000000000000002E-2</v>
      </c>
      <c r="E160" s="5">
        <v>1.947449768160742E-2</v>
      </c>
      <c r="F160" s="2" t="s">
        <v>322</v>
      </c>
      <c r="G160" s="2" t="s">
        <v>323</v>
      </c>
    </row>
    <row r="161" spans="1:7" ht="135" x14ac:dyDescent="0.25">
      <c r="A161" s="4">
        <v>160</v>
      </c>
      <c r="B161" s="5">
        <v>2.4468085106382979E-2</v>
      </c>
      <c r="C161" s="5">
        <v>9.6385542168674707E-3</v>
      </c>
      <c r="D161" s="5">
        <v>2E-3</v>
      </c>
      <c r="E161" s="5">
        <v>8.0370942812983005E-3</v>
      </c>
      <c r="F161" s="2" t="s">
        <v>324</v>
      </c>
      <c r="G161" s="2" t="s">
        <v>325</v>
      </c>
    </row>
    <row r="162" spans="1:7" ht="210" x14ac:dyDescent="0.25">
      <c r="A162" s="4">
        <v>161</v>
      </c>
      <c r="B162" s="5">
        <v>0.1170212765957447</v>
      </c>
      <c r="C162" s="5">
        <v>1.6867469879518069E-2</v>
      </c>
      <c r="D162" s="5">
        <v>2.1000000000000001E-2</v>
      </c>
      <c r="E162" s="5">
        <v>3.3075734157650687E-2</v>
      </c>
      <c r="F162" s="2" t="s">
        <v>326</v>
      </c>
      <c r="G162" s="2" t="s">
        <v>327</v>
      </c>
    </row>
    <row r="163" spans="1:7" ht="120" x14ac:dyDescent="0.25">
      <c r="A163" s="4">
        <v>162</v>
      </c>
      <c r="B163" s="5">
        <v>4.042553191489362E-2</v>
      </c>
      <c r="C163" s="5">
        <v>1.8072289156626509E-2</v>
      </c>
      <c r="D163" s="5">
        <v>2E-3</v>
      </c>
      <c r="E163" s="5">
        <v>1.15919629057187E-2</v>
      </c>
      <c r="F163" s="2" t="s">
        <v>328</v>
      </c>
      <c r="G163" s="2" t="s">
        <v>329</v>
      </c>
    </row>
    <row r="164" spans="1:7" ht="225" x14ac:dyDescent="0.25">
      <c r="A164" s="4">
        <v>163</v>
      </c>
      <c r="B164" s="5">
        <v>0.28085106382978731</v>
      </c>
      <c r="C164" s="5">
        <v>4.8192771084337352E-2</v>
      </c>
      <c r="D164" s="5">
        <v>1.0999999999999999E-2</v>
      </c>
      <c r="E164" s="5">
        <v>9.2117465224111281E-2</v>
      </c>
      <c r="F164" s="2" t="s">
        <v>330</v>
      </c>
      <c r="G164" s="2" t="s">
        <v>331</v>
      </c>
    </row>
    <row r="165" spans="1:7" ht="345" x14ac:dyDescent="0.25">
      <c r="A165" s="4">
        <v>164</v>
      </c>
      <c r="B165" s="5">
        <v>4.1489361702127657E-2</v>
      </c>
      <c r="C165" s="5">
        <v>8.4337349397590362E-3</v>
      </c>
      <c r="D165" s="5">
        <v>2E-3</v>
      </c>
      <c r="E165" s="5">
        <v>1.499227202472952E-2</v>
      </c>
      <c r="F165" s="2" t="s">
        <v>332</v>
      </c>
      <c r="G165" s="2" t="s">
        <v>333</v>
      </c>
    </row>
    <row r="166" spans="1:7" ht="165" x14ac:dyDescent="0.25">
      <c r="A166" s="4">
        <v>165</v>
      </c>
      <c r="B166" s="5">
        <v>9.2553191489361697E-2</v>
      </c>
      <c r="C166" s="5">
        <v>3.1325301204819279E-2</v>
      </c>
      <c r="D166" s="5">
        <v>2.7E-2</v>
      </c>
      <c r="E166" s="5">
        <v>2.0247295208655331E-2</v>
      </c>
      <c r="F166" s="2" t="s">
        <v>334</v>
      </c>
      <c r="G166" s="2" t="s">
        <v>335</v>
      </c>
    </row>
    <row r="167" spans="1:7" ht="300" x14ac:dyDescent="0.25">
      <c r="A167" s="4">
        <v>166</v>
      </c>
      <c r="B167" s="5">
        <v>7.5531914893617019E-2</v>
      </c>
      <c r="C167" s="5">
        <v>2.0481927710843371E-2</v>
      </c>
      <c r="D167" s="5">
        <v>3.1E-2</v>
      </c>
      <c r="E167" s="5">
        <v>1.4064914992272019E-2</v>
      </c>
      <c r="F167" s="2" t="s">
        <v>336</v>
      </c>
      <c r="G167" s="2" t="s">
        <v>337</v>
      </c>
    </row>
    <row r="168" spans="1:7" ht="120" x14ac:dyDescent="0.25">
      <c r="A168" s="4">
        <v>167</v>
      </c>
      <c r="B168" s="5">
        <v>5.9574468085106393E-2</v>
      </c>
      <c r="C168" s="5">
        <v>9.6385542168674707E-3</v>
      </c>
      <c r="D168" s="5">
        <v>0.01</v>
      </c>
      <c r="E168" s="5">
        <v>1.6846986089644508E-2</v>
      </c>
      <c r="F168" s="2" t="s">
        <v>338</v>
      </c>
      <c r="G168" s="2" t="s">
        <v>339</v>
      </c>
    </row>
    <row r="169" spans="1:7" ht="270" x14ac:dyDescent="0.25">
      <c r="A169" s="4">
        <v>168</v>
      </c>
      <c r="B169" s="5">
        <v>5.8510638297872342E-2</v>
      </c>
      <c r="C169" s="5">
        <v>1.445783132530121E-2</v>
      </c>
      <c r="D169" s="5">
        <v>1E-3</v>
      </c>
      <c r="E169" s="5">
        <v>1.885625965996909E-2</v>
      </c>
      <c r="F169" s="2" t="s">
        <v>340</v>
      </c>
      <c r="G169" s="2" t="s">
        <v>341</v>
      </c>
    </row>
    <row r="170" spans="1:7" ht="315" x14ac:dyDescent="0.25">
      <c r="A170" s="4">
        <v>169</v>
      </c>
      <c r="B170" s="5">
        <v>0.1074468085106383</v>
      </c>
      <c r="C170" s="5">
        <v>2.0481927710843371E-2</v>
      </c>
      <c r="D170" s="5">
        <v>6.0000000000000001E-3</v>
      </c>
      <c r="E170" s="5">
        <v>3.8948995363214833E-2</v>
      </c>
      <c r="F170" s="2" t="s">
        <v>342</v>
      </c>
      <c r="G170" s="2" t="s">
        <v>343</v>
      </c>
    </row>
    <row r="171" spans="1:7" ht="210" x14ac:dyDescent="0.25">
      <c r="A171" s="4">
        <v>170</v>
      </c>
      <c r="B171" s="5">
        <v>8.2978723404255314E-2</v>
      </c>
      <c r="C171" s="5">
        <v>7.2289156626506026E-3</v>
      </c>
      <c r="D171" s="5">
        <v>3.0000000000000001E-3</v>
      </c>
      <c r="E171" s="5">
        <v>2.8129829984544049E-2</v>
      </c>
      <c r="F171" s="2" t="s">
        <v>344</v>
      </c>
      <c r="G171" s="2" t="s">
        <v>345</v>
      </c>
    </row>
    <row r="172" spans="1:7" ht="120" x14ac:dyDescent="0.25">
      <c r="A172" s="4">
        <v>171</v>
      </c>
      <c r="B172" s="5">
        <v>0.1202127659574468</v>
      </c>
      <c r="C172" s="5">
        <v>9.6385542168674707E-3</v>
      </c>
      <c r="D172" s="5">
        <v>3.0000000000000001E-3</v>
      </c>
      <c r="E172" s="5">
        <v>4.1421947449768161E-2</v>
      </c>
      <c r="F172" s="2" t="s">
        <v>346</v>
      </c>
      <c r="G172" s="2" t="s">
        <v>347</v>
      </c>
    </row>
    <row r="173" spans="1:7" ht="240" x14ac:dyDescent="0.25">
      <c r="A173" s="4">
        <v>172</v>
      </c>
      <c r="B173" s="5">
        <v>3.085106382978723E-2</v>
      </c>
      <c r="C173" s="5">
        <v>2.5301204819277109E-2</v>
      </c>
      <c r="D173" s="5">
        <v>6.9999999999999993E-3</v>
      </c>
      <c r="E173" s="5">
        <v>5.5641421947449756E-3</v>
      </c>
      <c r="F173" s="2" t="s">
        <v>348</v>
      </c>
      <c r="G173" s="2" t="s">
        <v>349</v>
      </c>
    </row>
    <row r="174" spans="1:7" ht="165" x14ac:dyDescent="0.25">
      <c r="A174" s="4">
        <v>173</v>
      </c>
      <c r="B174" s="5">
        <v>7.1276595744680857E-2</v>
      </c>
      <c r="C174" s="5">
        <v>4.8192771084337354E-3</v>
      </c>
      <c r="D174" s="5">
        <v>2E-3</v>
      </c>
      <c r="E174" s="5">
        <v>2.4574961360123649E-2</v>
      </c>
      <c r="F174" s="2" t="s">
        <v>350</v>
      </c>
      <c r="G174" s="2" t="s">
        <v>351</v>
      </c>
    </row>
    <row r="175" spans="1:7" ht="120" x14ac:dyDescent="0.25">
      <c r="A175" s="4">
        <v>174</v>
      </c>
      <c r="B175" s="5">
        <v>0.38829787234042562</v>
      </c>
      <c r="C175" s="5">
        <v>0.59759036144578315</v>
      </c>
      <c r="D175" s="5">
        <v>4.8000000000000001E-2</v>
      </c>
      <c r="E175" s="5">
        <v>4.7604327666151469E-2</v>
      </c>
      <c r="F175" s="2" t="s">
        <v>352</v>
      </c>
      <c r="G175" s="2" t="s">
        <v>353</v>
      </c>
    </row>
    <row r="176" spans="1:7" ht="210" x14ac:dyDescent="0.25">
      <c r="A176" s="4">
        <v>175</v>
      </c>
      <c r="B176" s="5">
        <v>6.3829787234042548E-2</v>
      </c>
      <c r="C176" s="5">
        <v>1.204819277108434E-2</v>
      </c>
      <c r="D176" s="5">
        <v>0.6</v>
      </c>
      <c r="E176" s="5">
        <v>2.009273570324575E-2</v>
      </c>
      <c r="F176" s="2" t="s">
        <v>354</v>
      </c>
      <c r="G176" s="2" t="s">
        <v>355</v>
      </c>
    </row>
    <row r="177" spans="1:7" ht="210" x14ac:dyDescent="0.25">
      <c r="A177" s="4">
        <v>176</v>
      </c>
      <c r="B177" s="5">
        <v>0.17765957446808511</v>
      </c>
      <c r="C177" s="5">
        <v>2.4096385542168681E-3</v>
      </c>
      <c r="D177" s="5">
        <v>0.04</v>
      </c>
      <c r="E177" s="5">
        <v>5.1004636785162288E-2</v>
      </c>
      <c r="F177" s="2" t="s">
        <v>356</v>
      </c>
      <c r="G177" s="2" t="s">
        <v>357</v>
      </c>
    </row>
    <row r="178" spans="1:7" ht="240" x14ac:dyDescent="0.25">
      <c r="A178" s="4">
        <v>177</v>
      </c>
      <c r="B178" s="5">
        <v>0.1659574468085106</v>
      </c>
      <c r="C178" s="5">
        <v>2.7710843373493971E-2</v>
      </c>
      <c r="D178" s="5">
        <v>2E-3</v>
      </c>
      <c r="E178" s="5">
        <v>2.41112828438949E-2</v>
      </c>
      <c r="F178" s="2" t="s">
        <v>358</v>
      </c>
      <c r="G178" s="2" t="s">
        <v>359</v>
      </c>
    </row>
    <row r="179" spans="1:7" ht="225" x14ac:dyDescent="0.25">
      <c r="A179" s="4">
        <v>178</v>
      </c>
      <c r="B179" s="5">
        <v>7.6595744680851063E-2</v>
      </c>
      <c r="C179" s="5">
        <v>0.13734939759036149</v>
      </c>
      <c r="D179" s="5">
        <v>4.9000000000000002E-2</v>
      </c>
      <c r="E179" s="5">
        <v>2.1638330757341581E-3</v>
      </c>
      <c r="F179" s="2" t="s">
        <v>360</v>
      </c>
      <c r="G179" s="2" t="s">
        <v>361</v>
      </c>
    </row>
    <row r="180" spans="1:7" ht="150" x14ac:dyDescent="0.25">
      <c r="A180" s="4">
        <v>179</v>
      </c>
      <c r="B180" s="5">
        <v>0.22553191489361701</v>
      </c>
      <c r="C180" s="5">
        <v>0.20361445783132531</v>
      </c>
      <c r="D180" s="5">
        <v>2E-3</v>
      </c>
      <c r="E180" s="5">
        <v>7.3570324574961363E-2</v>
      </c>
      <c r="F180" s="2" t="s">
        <v>362</v>
      </c>
      <c r="G180" s="2" t="s">
        <v>363</v>
      </c>
    </row>
    <row r="181" spans="1:7" ht="180" x14ac:dyDescent="0.25">
      <c r="A181" s="4">
        <v>180</v>
      </c>
      <c r="B181" s="5">
        <v>0.25212765957446809</v>
      </c>
      <c r="C181" s="5">
        <v>0.17710843373493981</v>
      </c>
      <c r="D181" s="5">
        <v>2E-3</v>
      </c>
      <c r="E181" s="5">
        <v>8.6553323029366303E-2</v>
      </c>
      <c r="F181" s="2" t="s">
        <v>364</v>
      </c>
      <c r="G181" s="2" t="s">
        <v>365</v>
      </c>
    </row>
    <row r="182" spans="1:7" ht="135" x14ac:dyDescent="0.25">
      <c r="A182" s="4">
        <v>181</v>
      </c>
      <c r="B182" s="5">
        <v>3.7234042553191488E-2</v>
      </c>
      <c r="C182" s="5">
        <v>2.891566265060241E-2</v>
      </c>
      <c r="D182" s="5">
        <v>2E-3</v>
      </c>
      <c r="E182" s="5">
        <v>1.1901081916537871E-2</v>
      </c>
      <c r="F182" s="2" t="s">
        <v>366</v>
      </c>
      <c r="G182" s="2" t="s">
        <v>367</v>
      </c>
    </row>
    <row r="183" spans="1:7" ht="195" x14ac:dyDescent="0.25">
      <c r="A183" s="4">
        <v>182</v>
      </c>
      <c r="B183" s="5">
        <v>6.3829787234042548E-2</v>
      </c>
      <c r="C183" s="5">
        <v>6.1445783132530123E-2</v>
      </c>
      <c r="D183" s="5">
        <v>5.0000000000000001E-3</v>
      </c>
      <c r="E183" s="5">
        <v>1.3137557959814529E-2</v>
      </c>
      <c r="F183" s="2" t="s">
        <v>368</v>
      </c>
      <c r="G183" s="2" t="s">
        <v>369</v>
      </c>
    </row>
    <row r="184" spans="1:7" ht="330" x14ac:dyDescent="0.25">
      <c r="A184" s="4">
        <v>183</v>
      </c>
      <c r="B184" s="5">
        <v>3.1914893617021267E-2</v>
      </c>
      <c r="C184" s="5">
        <v>2.6506024096385541E-2</v>
      </c>
      <c r="D184" s="5">
        <v>2E-3</v>
      </c>
      <c r="E184" s="5">
        <v>9.8918083462132926E-3</v>
      </c>
      <c r="F184" s="2" t="s">
        <v>370</v>
      </c>
      <c r="G184" s="2" t="s">
        <v>371</v>
      </c>
    </row>
    <row r="185" spans="1:7" ht="300" x14ac:dyDescent="0.25">
      <c r="A185" s="4">
        <v>184</v>
      </c>
      <c r="B185" s="5">
        <v>4.7872340425531908E-2</v>
      </c>
      <c r="C185" s="5">
        <v>3.1325301204819279E-2</v>
      </c>
      <c r="D185" s="5">
        <v>3.0000000000000001E-3</v>
      </c>
      <c r="E185" s="5">
        <v>1.2519319938176199E-2</v>
      </c>
      <c r="F185" s="2" t="s">
        <v>372</v>
      </c>
      <c r="G185" s="2" t="s">
        <v>373</v>
      </c>
    </row>
    <row r="186" spans="1:7" ht="225" x14ac:dyDescent="0.25">
      <c r="A186" s="4">
        <v>185</v>
      </c>
      <c r="B186" s="5">
        <v>4.4680851063829789E-2</v>
      </c>
      <c r="C186" s="5">
        <v>2.4096385542168679E-2</v>
      </c>
      <c r="D186" s="5">
        <v>1.0999999999999999E-2</v>
      </c>
      <c r="E186" s="5">
        <v>9.4281298299845433E-3</v>
      </c>
      <c r="F186" s="2" t="s">
        <v>374</v>
      </c>
      <c r="G186" s="2" t="s">
        <v>375</v>
      </c>
    </row>
    <row r="187" spans="1:7" ht="225" x14ac:dyDescent="0.25">
      <c r="A187" s="4">
        <v>186</v>
      </c>
      <c r="B187" s="5">
        <v>0.35425531914893621</v>
      </c>
      <c r="C187" s="5">
        <v>0.3530120481927711</v>
      </c>
      <c r="D187" s="5">
        <v>3.3000000000000002E-2</v>
      </c>
      <c r="E187" s="5">
        <v>7.7279752704791344E-2</v>
      </c>
      <c r="F187" s="2" t="s">
        <v>376</v>
      </c>
      <c r="G187" s="2" t="s">
        <v>377</v>
      </c>
    </row>
    <row r="188" spans="1:7" ht="210" x14ac:dyDescent="0.25">
      <c r="A188" s="4">
        <v>187</v>
      </c>
      <c r="B188" s="5">
        <v>0.35744680851063831</v>
      </c>
      <c r="C188" s="5">
        <v>0.45060240963855419</v>
      </c>
      <c r="D188" s="5">
        <v>0.13</v>
      </c>
      <c r="E188" s="5">
        <v>4.714064914992272E-2</v>
      </c>
      <c r="F188" s="2" t="s">
        <v>378</v>
      </c>
      <c r="G188" s="2" t="s">
        <v>379</v>
      </c>
    </row>
    <row r="189" spans="1:7" ht="210" x14ac:dyDescent="0.25">
      <c r="A189" s="4">
        <v>188</v>
      </c>
      <c r="B189" s="5">
        <v>0.39148936170212773</v>
      </c>
      <c r="C189" s="5">
        <v>0.27710843373493982</v>
      </c>
      <c r="D189" s="5">
        <v>0.15</v>
      </c>
      <c r="E189" s="5">
        <v>6.1823802163833083E-2</v>
      </c>
      <c r="F189" s="2" t="s">
        <v>380</v>
      </c>
      <c r="G189" s="2" t="s">
        <v>381</v>
      </c>
    </row>
    <row r="190" spans="1:7" ht="225" x14ac:dyDescent="0.25">
      <c r="A190" s="4">
        <v>189</v>
      </c>
      <c r="B190" s="5">
        <v>0.11276595744680851</v>
      </c>
      <c r="C190" s="5">
        <v>5.301204819277109E-2</v>
      </c>
      <c r="D190" s="5">
        <v>6.3E-2</v>
      </c>
      <c r="E190" s="5">
        <v>1.2210200927357031E-2</v>
      </c>
      <c r="F190" s="2" t="s">
        <v>382</v>
      </c>
      <c r="G190" s="2" t="s">
        <v>383</v>
      </c>
    </row>
    <row r="191" spans="1:7" ht="270" x14ac:dyDescent="0.25">
      <c r="A191" s="4">
        <v>190</v>
      </c>
      <c r="B191" s="5">
        <v>0.15</v>
      </c>
      <c r="C191" s="5">
        <v>5.301204819277109E-2</v>
      </c>
      <c r="D191" s="5">
        <v>0.10199999999999999</v>
      </c>
      <c r="E191" s="5">
        <v>1.236476043276661E-2</v>
      </c>
      <c r="F191" s="2" t="s">
        <v>384</v>
      </c>
      <c r="G191" s="2" t="s">
        <v>385</v>
      </c>
    </row>
    <row r="192" spans="1:7" ht="150" x14ac:dyDescent="0.25">
      <c r="A192" s="4">
        <v>191</v>
      </c>
      <c r="B192" s="5">
        <v>0.13372340425531909</v>
      </c>
      <c r="C192" s="5">
        <v>3.9759036144578312E-2</v>
      </c>
      <c r="D192" s="5">
        <v>1.9E-2</v>
      </c>
      <c r="E192" s="5">
        <v>3.6939721792890262E-2</v>
      </c>
      <c r="F192" s="2" t="s">
        <v>386</v>
      </c>
      <c r="G192" s="2" t="s">
        <v>387</v>
      </c>
    </row>
    <row r="193" spans="1:7" ht="180" x14ac:dyDescent="0.25">
      <c r="A193" s="4">
        <v>192</v>
      </c>
      <c r="B193" s="5">
        <v>0.29893617021276597</v>
      </c>
      <c r="C193" s="5">
        <v>0.45180722891566272</v>
      </c>
      <c r="D193" s="5">
        <v>3.0000000000000001E-3</v>
      </c>
      <c r="E193" s="5">
        <v>4.9613601236476047E-2</v>
      </c>
      <c r="F193" s="2" t="s">
        <v>388</v>
      </c>
      <c r="G193" s="2" t="s">
        <v>389</v>
      </c>
    </row>
    <row r="194" spans="1:7" ht="135" x14ac:dyDescent="0.25">
      <c r="A194" s="4">
        <v>193</v>
      </c>
      <c r="B194" s="5">
        <v>4.042553191489362E-2</v>
      </c>
      <c r="C194" s="5">
        <v>1.9277108433734941E-2</v>
      </c>
      <c r="D194" s="5">
        <v>8.0000000000000002E-3</v>
      </c>
      <c r="E194" s="5">
        <v>9.7372488408037083E-3</v>
      </c>
      <c r="F194" s="2" t="s">
        <v>390</v>
      </c>
      <c r="G194" s="2" t="s">
        <v>391</v>
      </c>
    </row>
    <row r="195" spans="1:7" ht="120" x14ac:dyDescent="0.25">
      <c r="A195" s="4">
        <v>194</v>
      </c>
      <c r="B195" s="5">
        <v>2.7659574468085112E-2</v>
      </c>
      <c r="C195" s="5">
        <v>8.4337349397590362E-3</v>
      </c>
      <c r="D195" s="5">
        <v>3.0000000000000001E-3</v>
      </c>
      <c r="E195" s="5">
        <v>8.0370942812983005E-3</v>
      </c>
      <c r="F195" s="2" t="s">
        <v>392</v>
      </c>
      <c r="G195" s="2" t="s">
        <v>393</v>
      </c>
    </row>
    <row r="196" spans="1:7" ht="270" x14ac:dyDescent="0.25">
      <c r="A196" s="4">
        <v>195</v>
      </c>
      <c r="B196" s="5">
        <v>0.3904255319148936</v>
      </c>
      <c r="C196" s="5">
        <v>0.19156626506024099</v>
      </c>
      <c r="D196" s="5">
        <v>6.2000000000000013E-2</v>
      </c>
      <c r="E196" s="5">
        <v>9.55177743431221E-2</v>
      </c>
      <c r="F196" s="2" t="s">
        <v>394</v>
      </c>
      <c r="G196" s="2" t="s">
        <v>395</v>
      </c>
    </row>
    <row r="197" spans="1:7" ht="150" x14ac:dyDescent="0.25">
      <c r="A197" s="4">
        <v>196</v>
      </c>
      <c r="B197" s="5">
        <v>3.8297872340425532E-2</v>
      </c>
      <c r="C197" s="5">
        <v>1.204819277108434E-2</v>
      </c>
      <c r="D197" s="5">
        <v>3.0000000000000001E-3</v>
      </c>
      <c r="E197" s="5">
        <v>1.1282843894899541E-2</v>
      </c>
      <c r="F197" s="2" t="s">
        <v>396</v>
      </c>
      <c r="G197" s="2" t="s">
        <v>397</v>
      </c>
    </row>
    <row r="198" spans="1:7" ht="240" x14ac:dyDescent="0.25">
      <c r="A198" s="4">
        <v>197</v>
      </c>
      <c r="B198" s="5">
        <v>0.1276595744680851</v>
      </c>
      <c r="C198" s="5">
        <v>5.6626506024096392E-2</v>
      </c>
      <c r="D198" s="5">
        <v>2.4E-2</v>
      </c>
      <c r="E198" s="5">
        <v>3.075734157650695E-2</v>
      </c>
      <c r="F198" s="2" t="s">
        <v>398</v>
      </c>
      <c r="G198" s="2" t="s">
        <v>399</v>
      </c>
    </row>
    <row r="199" spans="1:7" ht="270" x14ac:dyDescent="0.25">
      <c r="A199" s="4">
        <v>198</v>
      </c>
      <c r="B199" s="5">
        <v>2.1276595744680851E-2</v>
      </c>
      <c r="C199" s="5">
        <v>2.0481927710843371E-2</v>
      </c>
      <c r="D199" s="5">
        <v>4.0000000000000001E-3</v>
      </c>
      <c r="E199" s="5">
        <v>5.2550231839258114E-3</v>
      </c>
      <c r="F199" s="2" t="s">
        <v>400</v>
      </c>
      <c r="G199" s="2" t="s">
        <v>401</v>
      </c>
    </row>
    <row r="200" spans="1:7" ht="255" x14ac:dyDescent="0.25">
      <c r="A200" s="4">
        <v>199</v>
      </c>
      <c r="B200" s="5">
        <v>0.16489361702127661</v>
      </c>
      <c r="C200" s="5">
        <v>0.24216867469879519</v>
      </c>
      <c r="D200" s="5">
        <v>3.7999999999999999E-2</v>
      </c>
      <c r="E200" s="5">
        <v>1.5765069551777429E-2</v>
      </c>
      <c r="F200" s="2" t="s">
        <v>402</v>
      </c>
      <c r="G200" s="2" t="s">
        <v>403</v>
      </c>
    </row>
    <row r="201" spans="1:7" ht="135" x14ac:dyDescent="0.25">
      <c r="A201" s="4">
        <v>200</v>
      </c>
      <c r="B201" s="5">
        <v>0.34361702127659582</v>
      </c>
      <c r="C201" s="5">
        <v>5.9036144578313257E-2</v>
      </c>
      <c r="D201" s="5">
        <v>0.115</v>
      </c>
      <c r="E201" s="5">
        <v>7.7434312210200931E-2</v>
      </c>
      <c r="F201" s="2" t="s">
        <v>404</v>
      </c>
      <c r="G201" s="2" t="s">
        <v>405</v>
      </c>
    </row>
    <row r="202" spans="1:7" ht="270" x14ac:dyDescent="0.25">
      <c r="A202" s="4">
        <v>201</v>
      </c>
      <c r="B202" s="5">
        <v>0.1085106382978723</v>
      </c>
      <c r="C202" s="5">
        <v>3.8554216867469883E-2</v>
      </c>
      <c r="D202" s="5">
        <v>0.06</v>
      </c>
      <c r="E202" s="5">
        <v>1.3446676970633689E-2</v>
      </c>
      <c r="F202" s="2" t="s">
        <v>406</v>
      </c>
      <c r="G202" s="2" t="s">
        <v>407</v>
      </c>
    </row>
    <row r="203" spans="1:7" ht="120" x14ac:dyDescent="0.25">
      <c r="A203" s="4">
        <v>202</v>
      </c>
      <c r="B203" s="5">
        <v>0.38936170212765958</v>
      </c>
      <c r="C203" s="5">
        <v>0.13253012048192769</v>
      </c>
      <c r="D203" s="5">
        <v>3.3000000000000002E-2</v>
      </c>
      <c r="E203" s="5">
        <v>0.1128284389489954</v>
      </c>
      <c r="F203" s="2" t="s">
        <v>408</v>
      </c>
      <c r="G203" s="2" t="s">
        <v>409</v>
      </c>
    </row>
    <row r="204" spans="1:7" ht="210" x14ac:dyDescent="0.25">
      <c r="A204" s="4">
        <v>203</v>
      </c>
      <c r="B204" s="5">
        <v>0.1031914893617021</v>
      </c>
      <c r="C204" s="5">
        <v>6.9879518072289162E-2</v>
      </c>
      <c r="D204" s="5">
        <v>6.3E-2</v>
      </c>
      <c r="E204" s="5">
        <v>6.4914992272024734E-3</v>
      </c>
      <c r="F204" s="2" t="s">
        <v>410</v>
      </c>
      <c r="G204" s="2" t="s">
        <v>411</v>
      </c>
    </row>
    <row r="205" spans="1:7" ht="225" x14ac:dyDescent="0.25">
      <c r="A205" s="4">
        <v>204</v>
      </c>
      <c r="B205" s="5">
        <v>2.553191489361702E-2</v>
      </c>
      <c r="C205" s="5">
        <v>2.289156626506024E-2</v>
      </c>
      <c r="D205" s="5">
        <v>2E-3</v>
      </c>
      <c r="E205" s="5">
        <v>5.7187017001545598E-3</v>
      </c>
      <c r="F205" s="2" t="s">
        <v>412</v>
      </c>
      <c r="G205" s="2" t="s">
        <v>413</v>
      </c>
    </row>
    <row r="206" spans="1:7" ht="270" x14ac:dyDescent="0.25">
      <c r="A206" s="4">
        <v>205</v>
      </c>
      <c r="B206" s="5">
        <v>0.48936170212765961</v>
      </c>
      <c r="C206" s="5">
        <v>9.6385542168674707E-3</v>
      </c>
      <c r="D206" s="5">
        <v>0.187</v>
      </c>
      <c r="E206" s="5">
        <v>2.658423493044822E-2</v>
      </c>
      <c r="F206" s="2" t="s">
        <v>414</v>
      </c>
      <c r="G206" s="2" t="s">
        <v>415</v>
      </c>
    </row>
    <row r="207" spans="1:7" ht="210" x14ac:dyDescent="0.25">
      <c r="A207" s="4">
        <v>206</v>
      </c>
      <c r="B207" s="5">
        <v>0.12340425531914891</v>
      </c>
      <c r="C207" s="5">
        <v>3.6144578313253017E-2</v>
      </c>
      <c r="D207" s="5">
        <v>4.0000000000000001E-3</v>
      </c>
      <c r="E207" s="5">
        <v>4.420401854714065E-2</v>
      </c>
      <c r="F207" s="2" t="s">
        <v>416</v>
      </c>
      <c r="G207" s="2" t="s">
        <v>417</v>
      </c>
    </row>
    <row r="208" spans="1:7" ht="120" x14ac:dyDescent="0.25">
      <c r="A208" s="4">
        <v>207</v>
      </c>
      <c r="B208" s="5">
        <v>0.35106382978723399</v>
      </c>
      <c r="C208" s="5">
        <v>6.2650602409638559E-2</v>
      </c>
      <c r="D208" s="5">
        <v>8.900000000000001E-2</v>
      </c>
      <c r="E208" s="5">
        <v>8.8717156105100461E-2</v>
      </c>
      <c r="F208" s="2" t="s">
        <v>418</v>
      </c>
      <c r="G208" s="2" t="s">
        <v>419</v>
      </c>
    </row>
    <row r="209" spans="1:7" ht="405" x14ac:dyDescent="0.25">
      <c r="A209" s="4">
        <v>208</v>
      </c>
      <c r="B209" s="5">
        <v>0.35319148936170208</v>
      </c>
      <c r="C209" s="5">
        <v>0.13253012048192769</v>
      </c>
      <c r="D209" s="5">
        <v>3.3000000000000002E-2</v>
      </c>
      <c r="E209" s="5">
        <v>0.1128284389489954</v>
      </c>
      <c r="F209" s="2" t="s">
        <v>420</v>
      </c>
      <c r="G209" s="2" t="s">
        <v>421</v>
      </c>
    </row>
    <row r="210" spans="1:7" ht="120" x14ac:dyDescent="0.25">
      <c r="A210" s="4">
        <v>209</v>
      </c>
      <c r="B210" s="5">
        <v>0.49148936170212759</v>
      </c>
      <c r="C210" s="5">
        <v>1.445783132530121E-2</v>
      </c>
      <c r="D210" s="5">
        <v>0.20699999999999999</v>
      </c>
      <c r="E210" s="5">
        <v>0.1046367851622875</v>
      </c>
      <c r="F210" s="2" t="s">
        <v>422</v>
      </c>
      <c r="G210" s="2" t="s">
        <v>423</v>
      </c>
    </row>
    <row r="211" spans="1:7" ht="255" x14ac:dyDescent="0.25">
      <c r="A211" s="4">
        <v>210</v>
      </c>
      <c r="B211" s="5">
        <v>0.17872340425531921</v>
      </c>
      <c r="C211" s="5">
        <v>0.15662650602409639</v>
      </c>
      <c r="D211" s="5">
        <v>9.6000000000000002E-2</v>
      </c>
      <c r="E211" s="5">
        <v>1.15919629057187E-2</v>
      </c>
      <c r="F211" s="2" t="s">
        <v>424</v>
      </c>
      <c r="G211" s="2" t="s">
        <v>425</v>
      </c>
    </row>
    <row r="212" spans="1:7" ht="165" x14ac:dyDescent="0.25">
      <c r="A212" s="4">
        <v>211</v>
      </c>
      <c r="B212" s="5">
        <v>0.15212765957446811</v>
      </c>
      <c r="C212" s="5">
        <v>0.1180722891566265</v>
      </c>
      <c r="D212" s="5">
        <v>1.4E-2</v>
      </c>
      <c r="E212" s="5">
        <v>3.5239567233384853E-2</v>
      </c>
      <c r="F212" s="2" t="s">
        <v>426</v>
      </c>
      <c r="G212" s="2" t="s">
        <v>351</v>
      </c>
    </row>
    <row r="213" spans="1:7" ht="120" x14ac:dyDescent="0.25">
      <c r="A213" s="4">
        <v>212</v>
      </c>
      <c r="B213" s="5">
        <v>0.33085106382978718</v>
      </c>
      <c r="C213" s="5">
        <v>9.6385542168674704E-2</v>
      </c>
      <c r="D213" s="5">
        <v>0.04</v>
      </c>
      <c r="E213" s="5">
        <v>7.5579598145285934E-2</v>
      </c>
      <c r="F213" s="2" t="s">
        <v>427</v>
      </c>
      <c r="G213" s="2" t="s">
        <v>428</v>
      </c>
    </row>
    <row r="214" spans="1:7" ht="150" x14ac:dyDescent="0.25">
      <c r="A214" s="4">
        <v>213</v>
      </c>
      <c r="B214" s="5">
        <v>0.50212765957446814</v>
      </c>
      <c r="C214" s="5">
        <v>2.4096385542168679E-2</v>
      </c>
      <c r="D214" s="5">
        <v>0.29799999999999999</v>
      </c>
      <c r="E214" s="5">
        <v>9.6908809891808348E-2</v>
      </c>
      <c r="F214" s="2" t="s">
        <v>429</v>
      </c>
      <c r="G214" s="2" t="s">
        <v>430</v>
      </c>
    </row>
    <row r="215" spans="1:7" ht="120" x14ac:dyDescent="0.25">
      <c r="A215" s="4">
        <v>214</v>
      </c>
      <c r="B215" s="5">
        <v>0.53617021276595744</v>
      </c>
      <c r="C215" s="5">
        <v>6.6265060240963861E-2</v>
      </c>
      <c r="D215" s="5">
        <v>0.52900000000000003</v>
      </c>
      <c r="E215" s="5">
        <v>4.5131375579598142E-2</v>
      </c>
      <c r="F215" s="2" t="s">
        <v>431</v>
      </c>
      <c r="G215" s="2" t="s">
        <v>432</v>
      </c>
    </row>
    <row r="216" spans="1:7" ht="195" x14ac:dyDescent="0.25">
      <c r="A216" s="4">
        <v>215</v>
      </c>
      <c r="B216" s="5">
        <v>0.40531914893617021</v>
      </c>
      <c r="C216" s="5">
        <v>0.108433734939759</v>
      </c>
      <c r="D216" s="5">
        <v>0.35</v>
      </c>
      <c r="E216" s="5">
        <v>8.2843894899536322E-2</v>
      </c>
      <c r="F216" s="2" t="s">
        <v>433</v>
      </c>
      <c r="G216" s="2" t="s">
        <v>434</v>
      </c>
    </row>
    <row r="217" spans="1:7" ht="180" x14ac:dyDescent="0.25">
      <c r="A217" s="4">
        <v>216</v>
      </c>
      <c r="B217" s="5">
        <v>0.22340425531914901</v>
      </c>
      <c r="C217" s="5">
        <v>1.9277108433734941E-2</v>
      </c>
      <c r="D217" s="5">
        <v>6.6000000000000003E-2</v>
      </c>
      <c r="E217" s="5">
        <v>5.5332302936630599E-2</v>
      </c>
      <c r="F217" s="2" t="s">
        <v>435</v>
      </c>
      <c r="G217" s="2" t="s">
        <v>436</v>
      </c>
    </row>
    <row r="218" spans="1:7" ht="165" x14ac:dyDescent="0.25">
      <c r="A218" s="4">
        <v>217</v>
      </c>
      <c r="B218" s="5">
        <v>0.25638297872340432</v>
      </c>
      <c r="C218" s="5">
        <v>0.19277108433734941</v>
      </c>
      <c r="D218" s="5">
        <v>0.25</v>
      </c>
      <c r="E218" s="5">
        <v>0</v>
      </c>
      <c r="F218" s="2" t="s">
        <v>437</v>
      </c>
      <c r="G218" s="2" t="s">
        <v>438</v>
      </c>
    </row>
    <row r="219" spans="1:7" ht="180" x14ac:dyDescent="0.25">
      <c r="A219" s="4">
        <v>218</v>
      </c>
      <c r="B219" s="5">
        <v>0.10212765957446809</v>
      </c>
      <c r="C219" s="5">
        <v>8.1927710843373497E-2</v>
      </c>
      <c r="D219" s="5">
        <v>5.8999999999999997E-2</v>
      </c>
      <c r="E219" s="5">
        <v>5.8732612055641424E-3</v>
      </c>
      <c r="F219" s="2" t="s">
        <v>439</v>
      </c>
      <c r="G219" s="2" t="s">
        <v>440</v>
      </c>
    </row>
    <row r="220" spans="1:7" ht="240" x14ac:dyDescent="0.25">
      <c r="A220" s="4">
        <v>219</v>
      </c>
      <c r="B220" s="5">
        <v>8.9361702127659579E-2</v>
      </c>
      <c r="C220" s="5">
        <v>7.2289156626506035E-2</v>
      </c>
      <c r="D220" s="5">
        <v>0.06</v>
      </c>
      <c r="E220" s="5">
        <v>2.1638330757341581E-3</v>
      </c>
      <c r="F220" s="2" t="s">
        <v>441</v>
      </c>
      <c r="G220" s="2" t="s">
        <v>442</v>
      </c>
    </row>
    <row r="221" spans="1:7" ht="225" x14ac:dyDescent="0.25">
      <c r="A221" s="4">
        <v>220</v>
      </c>
      <c r="B221" s="5">
        <v>0.1542553191489362</v>
      </c>
      <c r="C221" s="5">
        <v>0.3253012048192771</v>
      </c>
      <c r="D221" s="5">
        <v>2.3E-2</v>
      </c>
      <c r="E221" s="5">
        <v>0</v>
      </c>
      <c r="F221" s="2" t="s">
        <v>443</v>
      </c>
      <c r="G221" s="2" t="s">
        <v>444</v>
      </c>
    </row>
    <row r="222" spans="1:7" ht="120" x14ac:dyDescent="0.25">
      <c r="A222" s="4">
        <v>221</v>
      </c>
      <c r="B222" s="5">
        <v>1.276595744680851E-2</v>
      </c>
      <c r="C222" s="5">
        <v>1.2048192771084341E-3</v>
      </c>
      <c r="D222" s="5">
        <v>1E-3</v>
      </c>
      <c r="E222" s="5">
        <v>7.7279752704791354E-3</v>
      </c>
      <c r="F222" s="2" t="s">
        <v>445</v>
      </c>
      <c r="G222" s="2" t="s">
        <v>446</v>
      </c>
    </row>
    <row r="223" spans="1:7" ht="240" x14ac:dyDescent="0.25">
      <c r="A223" s="4">
        <v>222</v>
      </c>
      <c r="B223" s="5">
        <v>0.28191489361702132</v>
      </c>
      <c r="C223" s="5">
        <v>0.48915662650602421</v>
      </c>
      <c r="D223" s="5">
        <v>0.10100000000000001</v>
      </c>
      <c r="E223" s="5">
        <v>0</v>
      </c>
      <c r="F223" s="2" t="s">
        <v>447</v>
      </c>
      <c r="G223" s="2" t="s">
        <v>448</v>
      </c>
    </row>
    <row r="224" spans="1:7" ht="195" x14ac:dyDescent="0.25">
      <c r="A224" s="4">
        <v>223</v>
      </c>
      <c r="B224" s="5">
        <v>7.9787234042553196E-2</v>
      </c>
      <c r="C224" s="5">
        <v>0.19397590361445791</v>
      </c>
      <c r="D224" s="5">
        <v>6.9999999999999993E-3</v>
      </c>
      <c r="E224" s="5">
        <v>1.545595054095827E-4</v>
      </c>
      <c r="F224" s="2" t="s">
        <v>449</v>
      </c>
      <c r="G224" s="2" t="s">
        <v>450</v>
      </c>
    </row>
    <row r="225" spans="1:7" ht="330" x14ac:dyDescent="0.25">
      <c r="A225" s="4">
        <v>224</v>
      </c>
      <c r="B225" s="5">
        <v>0.2021276595744681</v>
      </c>
      <c r="C225" s="5">
        <v>0.2301204819277109</v>
      </c>
      <c r="D225" s="5">
        <v>0.12</v>
      </c>
      <c r="E225" s="5">
        <v>0</v>
      </c>
      <c r="F225" s="2" t="s">
        <v>451</v>
      </c>
      <c r="G225" s="2" t="s">
        <v>452</v>
      </c>
    </row>
    <row r="226" spans="1:7" ht="240" x14ac:dyDescent="0.25">
      <c r="A226" s="4">
        <v>225</v>
      </c>
      <c r="B226" s="5">
        <v>0.20319148936170209</v>
      </c>
      <c r="C226" s="5">
        <v>0.38554216867469882</v>
      </c>
      <c r="D226" s="5">
        <v>0.06</v>
      </c>
      <c r="E226" s="5">
        <v>0</v>
      </c>
      <c r="F226" s="2" t="s">
        <v>453</v>
      </c>
      <c r="G226" s="2" t="s">
        <v>454</v>
      </c>
    </row>
    <row r="227" spans="1:7" ht="165" x14ac:dyDescent="0.25">
      <c r="A227" s="4">
        <v>226</v>
      </c>
      <c r="B227" s="5">
        <v>0.48617021276595751</v>
      </c>
      <c r="C227" s="5">
        <v>0.1397590361445783</v>
      </c>
      <c r="D227" s="5">
        <v>0.45</v>
      </c>
      <c r="E227" s="5">
        <v>0</v>
      </c>
      <c r="F227" s="2" t="s">
        <v>455</v>
      </c>
      <c r="G227" s="2" t="s">
        <v>456</v>
      </c>
    </row>
    <row r="228" spans="1:7" ht="255" x14ac:dyDescent="0.25">
      <c r="A228" s="4">
        <v>227</v>
      </c>
      <c r="B228" s="5">
        <v>0.4</v>
      </c>
      <c r="C228" s="5">
        <v>0.16987951807228921</v>
      </c>
      <c r="D228" s="5">
        <v>0.35</v>
      </c>
      <c r="E228" s="5">
        <v>0</v>
      </c>
      <c r="F228" s="2" t="s">
        <v>457</v>
      </c>
      <c r="G228" s="2" t="s">
        <v>458</v>
      </c>
    </row>
    <row r="229" spans="1:7" ht="150" x14ac:dyDescent="0.25">
      <c r="A229" s="4">
        <v>228</v>
      </c>
      <c r="B229" s="5">
        <v>0.2191489361702128</v>
      </c>
      <c r="C229" s="5">
        <v>0.2060240963855422</v>
      </c>
      <c r="D229" s="5">
        <v>0.14799999999999999</v>
      </c>
      <c r="E229" s="5">
        <v>0</v>
      </c>
      <c r="F229" s="2" t="s">
        <v>459</v>
      </c>
      <c r="G229" s="2" t="s">
        <v>460</v>
      </c>
    </row>
    <row r="230" spans="1:7" ht="195" x14ac:dyDescent="0.25">
      <c r="A230" s="4">
        <v>229</v>
      </c>
      <c r="B230" s="5">
        <v>0.1638297872340426</v>
      </c>
      <c r="C230" s="5">
        <v>0.2</v>
      </c>
      <c r="D230" s="5">
        <v>9.1999999999999998E-2</v>
      </c>
      <c r="E230" s="5">
        <v>0</v>
      </c>
      <c r="F230" s="2" t="s">
        <v>461</v>
      </c>
      <c r="G230" s="2" t="s">
        <v>462</v>
      </c>
    </row>
    <row r="231" spans="1:7" ht="240" x14ac:dyDescent="0.25">
      <c r="A231" s="4">
        <v>230</v>
      </c>
      <c r="B231" s="5">
        <v>8.9361702127659579E-2</v>
      </c>
      <c r="C231" s="5">
        <v>0.2253012048192771</v>
      </c>
      <c r="D231" s="5">
        <v>5.0000000000000001E-3</v>
      </c>
      <c r="E231" s="5">
        <v>0</v>
      </c>
      <c r="F231" s="2" t="s">
        <v>463</v>
      </c>
      <c r="G231" s="2" t="s">
        <v>464</v>
      </c>
    </row>
    <row r="232" spans="1:7" ht="195" x14ac:dyDescent="0.25">
      <c r="A232" s="4">
        <v>231</v>
      </c>
      <c r="B232" s="5">
        <v>0.12553191489361701</v>
      </c>
      <c r="C232" s="5">
        <v>0.21807228915662649</v>
      </c>
      <c r="D232" s="5">
        <v>4.0999999999999988E-2</v>
      </c>
      <c r="E232" s="5">
        <v>1.3910355486862439E-3</v>
      </c>
      <c r="F232" s="2" t="s">
        <v>465</v>
      </c>
      <c r="G232" s="2" t="s">
        <v>466</v>
      </c>
    </row>
    <row r="233" spans="1:7" ht="240" x14ac:dyDescent="0.25">
      <c r="A233" s="4">
        <v>232</v>
      </c>
      <c r="B233" s="5">
        <v>0.22021276595744679</v>
      </c>
      <c r="C233" s="5">
        <v>0.22650602409638559</v>
      </c>
      <c r="D233" s="5">
        <v>0.14000000000000001</v>
      </c>
      <c r="E233" s="5">
        <v>0</v>
      </c>
      <c r="F233" s="2" t="s">
        <v>467</v>
      </c>
      <c r="G233" s="2" t="s">
        <v>468</v>
      </c>
    </row>
    <row r="234" spans="1:7" ht="225" x14ac:dyDescent="0.25">
      <c r="A234" s="4">
        <v>233</v>
      </c>
      <c r="B234" s="5">
        <v>2.8723404255319149E-2</v>
      </c>
      <c r="C234" s="5">
        <v>1.566265060240964E-2</v>
      </c>
      <c r="D234" s="5">
        <v>6.0000000000000001E-3</v>
      </c>
      <c r="E234" s="5">
        <v>6.1823802163833066E-3</v>
      </c>
      <c r="F234" s="2" t="s">
        <v>469</v>
      </c>
      <c r="G234" s="2" t="s">
        <v>470</v>
      </c>
    </row>
    <row r="235" spans="1:7" ht="225" x14ac:dyDescent="0.25">
      <c r="A235" s="4">
        <v>234</v>
      </c>
      <c r="B235" s="5">
        <v>3.085106382978723E-2</v>
      </c>
      <c r="C235" s="5">
        <v>2.168674698795181E-2</v>
      </c>
      <c r="D235" s="5">
        <v>6.9999999999999993E-3</v>
      </c>
      <c r="E235" s="5">
        <v>8.0370942812983005E-3</v>
      </c>
      <c r="F235" s="2" t="s">
        <v>471</v>
      </c>
      <c r="G235" s="2" t="s">
        <v>472</v>
      </c>
    </row>
    <row r="236" spans="1:7" ht="300" x14ac:dyDescent="0.25">
      <c r="A236" s="4">
        <v>235</v>
      </c>
      <c r="B236" s="5">
        <v>4.3617021276595752E-2</v>
      </c>
      <c r="C236" s="5">
        <v>2.4096385542168679E-2</v>
      </c>
      <c r="D236" s="5">
        <v>3.0000000000000001E-3</v>
      </c>
      <c r="E236" s="5">
        <v>1.205564142194745E-2</v>
      </c>
      <c r="F236" s="2" t="s">
        <v>473</v>
      </c>
      <c r="G236" s="2" t="s">
        <v>474</v>
      </c>
    </row>
    <row r="237" spans="1:7" ht="225" x14ac:dyDescent="0.25">
      <c r="A237" s="4">
        <v>236</v>
      </c>
      <c r="B237" s="5">
        <v>4.3617021276595752E-2</v>
      </c>
      <c r="C237" s="5">
        <v>3.2530120481927723E-2</v>
      </c>
      <c r="D237" s="5">
        <v>0.01</v>
      </c>
      <c r="E237" s="5">
        <v>1.1282843894899541E-2</v>
      </c>
      <c r="F237" s="2" t="s">
        <v>475</v>
      </c>
      <c r="G237" s="2" t="s">
        <v>476</v>
      </c>
    </row>
    <row r="238" spans="1:7" ht="165" x14ac:dyDescent="0.25">
      <c r="A238" s="4">
        <v>237</v>
      </c>
      <c r="B238" s="5">
        <v>5.3191489361702128E-2</v>
      </c>
      <c r="C238" s="5">
        <v>5.301204819277109E-2</v>
      </c>
      <c r="D238" s="5">
        <v>1.4E-2</v>
      </c>
      <c r="E238" s="5">
        <v>1.205564142194745E-2</v>
      </c>
      <c r="F238" s="2" t="s">
        <v>477</v>
      </c>
      <c r="G238" s="2" t="s">
        <v>478</v>
      </c>
    </row>
    <row r="239" spans="1:7" ht="240" x14ac:dyDescent="0.25">
      <c r="A239" s="4">
        <v>238</v>
      </c>
      <c r="B239" s="5">
        <v>4.4680851063829789E-2</v>
      </c>
      <c r="C239" s="5">
        <v>2.168674698795181E-2</v>
      </c>
      <c r="D239" s="5">
        <v>5.0000000000000001E-3</v>
      </c>
      <c r="E239" s="5">
        <v>1.452859350850077E-2</v>
      </c>
      <c r="F239" s="2" t="s">
        <v>479</v>
      </c>
      <c r="G239" s="2" t="s">
        <v>480</v>
      </c>
    </row>
    <row r="240" spans="1:7" ht="330" x14ac:dyDescent="0.25">
      <c r="A240" s="4">
        <v>239</v>
      </c>
      <c r="B240" s="5">
        <v>0.12978723404255321</v>
      </c>
      <c r="C240" s="5">
        <v>7.2289156626506035E-2</v>
      </c>
      <c r="D240" s="5">
        <v>0.01</v>
      </c>
      <c r="E240" s="5">
        <v>4.0185471406491501E-2</v>
      </c>
      <c r="F240" s="2" t="s">
        <v>481</v>
      </c>
      <c r="G240" s="2" t="s">
        <v>482</v>
      </c>
    </row>
    <row r="241" spans="1:7" ht="165" x14ac:dyDescent="0.25">
      <c r="A241" s="4">
        <v>240</v>
      </c>
      <c r="B241" s="5">
        <v>6.3829787234042548E-2</v>
      </c>
      <c r="C241" s="5">
        <v>3.7349397590361447E-2</v>
      </c>
      <c r="D241" s="5">
        <v>3.0000000000000001E-3</v>
      </c>
      <c r="E241" s="5">
        <v>2.1638330757341579E-2</v>
      </c>
      <c r="F241" s="2" t="s">
        <v>483</v>
      </c>
      <c r="G241" s="2" t="s">
        <v>484</v>
      </c>
    </row>
    <row r="242" spans="1:7" ht="285" x14ac:dyDescent="0.25">
      <c r="A242" s="4">
        <v>241</v>
      </c>
      <c r="B242" s="5">
        <v>6.1702127659574467E-2</v>
      </c>
      <c r="C242" s="5">
        <v>3.4939759036144581E-2</v>
      </c>
      <c r="D242" s="5">
        <v>6.9999999999999993E-3</v>
      </c>
      <c r="E242" s="5">
        <v>1.5455950540958271E-2</v>
      </c>
      <c r="F242" s="2" t="s">
        <v>485</v>
      </c>
      <c r="G242" s="2" t="s">
        <v>486</v>
      </c>
    </row>
    <row r="243" spans="1:7" ht="285" x14ac:dyDescent="0.25">
      <c r="A243" s="4">
        <v>242</v>
      </c>
      <c r="B243" s="5">
        <v>3.1914893617021267E-2</v>
      </c>
      <c r="C243" s="5">
        <v>1.566265060240964E-2</v>
      </c>
      <c r="D243" s="5">
        <v>6.9999999999999993E-3</v>
      </c>
      <c r="E243" s="5">
        <v>8.9644513137557957E-3</v>
      </c>
      <c r="F243" s="2" t="s">
        <v>487</v>
      </c>
      <c r="G243" s="2" t="s">
        <v>488</v>
      </c>
    </row>
    <row r="244" spans="1:7" ht="135" x14ac:dyDescent="0.25">
      <c r="A244" s="4">
        <v>243</v>
      </c>
      <c r="B244" s="5">
        <v>5.3191489361702128E-2</v>
      </c>
      <c r="C244" s="5">
        <v>5.5421686746987948E-2</v>
      </c>
      <c r="D244" s="5">
        <v>9.0000000000000011E-3</v>
      </c>
      <c r="E244" s="5">
        <v>1.081916537867079E-2</v>
      </c>
      <c r="F244" s="2" t="s">
        <v>489</v>
      </c>
      <c r="G244" s="2" t="s">
        <v>490</v>
      </c>
    </row>
    <row r="245" spans="1:7" ht="135" x14ac:dyDescent="0.25">
      <c r="A245" s="4">
        <v>244</v>
      </c>
      <c r="B245" s="5">
        <v>6.5957446808510636E-2</v>
      </c>
      <c r="C245" s="5">
        <v>5.0602409638554217E-2</v>
      </c>
      <c r="D245" s="5">
        <v>9.0000000000000011E-3</v>
      </c>
      <c r="E245" s="5">
        <v>1.4219474497681611E-2</v>
      </c>
      <c r="F245" s="2" t="s">
        <v>491</v>
      </c>
      <c r="G245" s="2" t="s">
        <v>492</v>
      </c>
    </row>
    <row r="246" spans="1:7" ht="225" x14ac:dyDescent="0.25">
      <c r="A246" s="4">
        <v>245</v>
      </c>
      <c r="B246" s="5">
        <v>7.7659574468085107E-2</v>
      </c>
      <c r="C246" s="5">
        <v>5.5421686746987948E-2</v>
      </c>
      <c r="D246" s="5">
        <v>5.0000000000000001E-3</v>
      </c>
      <c r="E246" s="5">
        <v>2.5038639876352391E-2</v>
      </c>
      <c r="F246" s="2" t="s">
        <v>493</v>
      </c>
      <c r="G246" s="2" t="s">
        <v>494</v>
      </c>
    </row>
    <row r="247" spans="1:7" ht="180" x14ac:dyDescent="0.25">
      <c r="A247" s="4">
        <v>246</v>
      </c>
      <c r="B247" s="5">
        <v>3.617021276595745E-2</v>
      </c>
      <c r="C247" s="5">
        <v>4.5783132530120479E-2</v>
      </c>
      <c r="D247" s="5">
        <v>5.0000000000000001E-3</v>
      </c>
      <c r="E247" s="5">
        <v>8.1916537867078813E-3</v>
      </c>
      <c r="F247" s="2" t="s">
        <v>495</v>
      </c>
      <c r="G247" s="2" t="s">
        <v>496</v>
      </c>
    </row>
    <row r="248" spans="1:7" ht="195" x14ac:dyDescent="0.25">
      <c r="A248" s="4">
        <v>247</v>
      </c>
      <c r="B248" s="5">
        <v>9.8936170212765961E-2</v>
      </c>
      <c r="C248" s="5">
        <v>6.0240963855421693E-2</v>
      </c>
      <c r="D248" s="5">
        <v>1.2999999999999999E-2</v>
      </c>
      <c r="E248" s="5">
        <v>2.364760432766615E-2</v>
      </c>
      <c r="F248" s="2" t="s">
        <v>497</v>
      </c>
      <c r="G248" s="2" t="s">
        <v>498</v>
      </c>
    </row>
    <row r="249" spans="1:7" ht="210" x14ac:dyDescent="0.25">
      <c r="A249" s="4">
        <v>248</v>
      </c>
      <c r="B249" s="5">
        <v>2.8723404255319149E-2</v>
      </c>
      <c r="C249" s="5">
        <v>2.5301204819277109E-2</v>
      </c>
      <c r="D249" s="5">
        <v>6.9999999999999993E-3</v>
      </c>
      <c r="E249" s="5">
        <v>6.8006182380216376E-3</v>
      </c>
      <c r="F249" s="2" t="s">
        <v>499</v>
      </c>
      <c r="G249" s="2" t="s">
        <v>500</v>
      </c>
    </row>
    <row r="250" spans="1:7" ht="345" x14ac:dyDescent="0.25">
      <c r="A250" s="4">
        <v>249</v>
      </c>
      <c r="B250" s="5">
        <v>3.8297872340425532E-2</v>
      </c>
      <c r="C250" s="5">
        <v>3.4939759036144581E-2</v>
      </c>
      <c r="D250" s="5">
        <v>6.0000000000000001E-3</v>
      </c>
      <c r="E250" s="5">
        <v>1.0510046367851619E-2</v>
      </c>
      <c r="F250" s="2" t="s">
        <v>501</v>
      </c>
      <c r="G250" s="2" t="s">
        <v>502</v>
      </c>
    </row>
    <row r="251" spans="1:7" ht="180" x14ac:dyDescent="0.25">
      <c r="A251" s="4">
        <v>250</v>
      </c>
      <c r="B251" s="5">
        <v>3.617021276595745E-2</v>
      </c>
      <c r="C251" s="5">
        <v>4.9397590361445781E-2</v>
      </c>
      <c r="D251" s="5">
        <v>4.0000000000000001E-3</v>
      </c>
      <c r="E251" s="5">
        <v>8.9644513137557957E-3</v>
      </c>
      <c r="F251" s="2" t="s">
        <v>503</v>
      </c>
      <c r="G251" s="2" t="s">
        <v>504</v>
      </c>
    </row>
    <row r="252" spans="1:7" ht="270" x14ac:dyDescent="0.25">
      <c r="A252" s="4">
        <v>251</v>
      </c>
      <c r="B252" s="5">
        <v>4.2553191489361701E-2</v>
      </c>
      <c r="C252" s="5">
        <v>4.457831325301205E-2</v>
      </c>
      <c r="D252" s="5">
        <v>3.0000000000000001E-3</v>
      </c>
      <c r="E252" s="5">
        <v>1.236476043276661E-2</v>
      </c>
      <c r="F252" s="2" t="s">
        <v>505</v>
      </c>
      <c r="G252" s="2" t="s">
        <v>506</v>
      </c>
    </row>
    <row r="253" spans="1:7" ht="225" x14ac:dyDescent="0.25">
      <c r="A253" s="4">
        <v>252</v>
      </c>
      <c r="B253" s="5">
        <v>3.1914893617021267E-2</v>
      </c>
      <c r="C253" s="5">
        <v>3.7349397590361447E-2</v>
      </c>
      <c r="D253" s="5">
        <v>3.0000000000000001E-3</v>
      </c>
      <c r="E253" s="5">
        <v>8.9644513137557957E-3</v>
      </c>
      <c r="F253" s="2" t="s">
        <v>507</v>
      </c>
      <c r="G253" s="2" t="s">
        <v>508</v>
      </c>
    </row>
    <row r="254" spans="1:7" ht="105" x14ac:dyDescent="0.25">
      <c r="A254" s="4">
        <v>253</v>
      </c>
      <c r="B254" s="5">
        <v>9.7872340425531917E-2</v>
      </c>
      <c r="C254" s="5">
        <v>4.8192771084337352E-2</v>
      </c>
      <c r="D254" s="5">
        <v>3.5999999999999997E-2</v>
      </c>
      <c r="E254" s="5">
        <v>1.6846986089644508E-2</v>
      </c>
      <c r="F254" s="2" t="s">
        <v>509</v>
      </c>
      <c r="G254" s="2" t="s">
        <v>510</v>
      </c>
    </row>
    <row r="255" spans="1:7" ht="135" x14ac:dyDescent="0.25">
      <c r="A255" s="4">
        <v>254</v>
      </c>
      <c r="B255" s="5">
        <v>6.2765957446808518E-2</v>
      </c>
      <c r="C255" s="5">
        <v>5.7831325301204821E-2</v>
      </c>
      <c r="D255" s="5">
        <v>0.01</v>
      </c>
      <c r="E255" s="5">
        <v>1.70015455950541E-2</v>
      </c>
      <c r="F255" s="2" t="s">
        <v>511</v>
      </c>
      <c r="G255" s="2" t="s">
        <v>512</v>
      </c>
    </row>
    <row r="256" spans="1:7" ht="225" x14ac:dyDescent="0.25">
      <c r="A256" s="4">
        <v>255</v>
      </c>
      <c r="B256" s="5">
        <v>5.6382978723404253E-2</v>
      </c>
      <c r="C256" s="5">
        <v>6.3855421686746988E-2</v>
      </c>
      <c r="D256" s="5">
        <v>9.0000000000000011E-3</v>
      </c>
      <c r="E256" s="5">
        <v>1.4064914992272019E-2</v>
      </c>
      <c r="F256" s="2" t="s">
        <v>513</v>
      </c>
      <c r="G256" s="2" t="s">
        <v>514</v>
      </c>
    </row>
    <row r="257" spans="1:7" ht="285" x14ac:dyDescent="0.25">
      <c r="A257" s="4">
        <v>256</v>
      </c>
      <c r="B257" s="5">
        <v>6.2765957446808518E-2</v>
      </c>
      <c r="C257" s="5">
        <v>7.7108433734939766E-2</v>
      </c>
      <c r="D257" s="5">
        <v>0.01</v>
      </c>
      <c r="E257" s="5">
        <v>1.530139103554869E-2</v>
      </c>
      <c r="F257" s="2" t="s">
        <v>515</v>
      </c>
      <c r="G257" s="2" t="s">
        <v>516</v>
      </c>
    </row>
    <row r="258" spans="1:7" ht="330" x14ac:dyDescent="0.25">
      <c r="A258" s="4">
        <v>257</v>
      </c>
      <c r="B258" s="5">
        <v>0.05</v>
      </c>
      <c r="C258" s="5">
        <v>6.0240963855421693E-2</v>
      </c>
      <c r="D258" s="5">
        <v>5.0000000000000001E-3</v>
      </c>
      <c r="E258" s="5">
        <v>1.3137557959814529E-2</v>
      </c>
      <c r="F258" s="2" t="s">
        <v>517</v>
      </c>
      <c r="G258" s="2" t="s">
        <v>518</v>
      </c>
    </row>
    <row r="259" spans="1:7" ht="225" x14ac:dyDescent="0.25">
      <c r="A259" s="4">
        <v>258</v>
      </c>
      <c r="B259" s="5">
        <v>6.2765957446808518E-2</v>
      </c>
      <c r="C259" s="5">
        <v>3.3734939759036138E-2</v>
      </c>
      <c r="D259" s="5">
        <v>3.0000000000000001E-3</v>
      </c>
      <c r="E259" s="5">
        <v>2.071097372488408E-2</v>
      </c>
      <c r="F259" s="2" t="s">
        <v>519</v>
      </c>
      <c r="G259" s="2" t="s">
        <v>520</v>
      </c>
    </row>
    <row r="260" spans="1:7" ht="195" x14ac:dyDescent="0.25">
      <c r="A260" s="4">
        <v>259</v>
      </c>
      <c r="B260" s="5">
        <v>8.723404255319149E-2</v>
      </c>
      <c r="C260" s="5">
        <v>8.0722891566265068E-2</v>
      </c>
      <c r="D260" s="5">
        <v>1.7000000000000001E-2</v>
      </c>
      <c r="E260" s="5">
        <v>2.2102009273570321E-2</v>
      </c>
      <c r="F260" s="2" t="s">
        <v>521</v>
      </c>
      <c r="G260" s="2" t="s">
        <v>522</v>
      </c>
    </row>
    <row r="261" spans="1:7" ht="225" x14ac:dyDescent="0.25">
      <c r="A261" s="4">
        <v>260</v>
      </c>
      <c r="B261" s="5">
        <v>6.4893617021276592E-2</v>
      </c>
      <c r="C261" s="5">
        <v>7.3493975903614464E-2</v>
      </c>
      <c r="D261" s="5">
        <v>9.0000000000000011E-3</v>
      </c>
      <c r="E261" s="5">
        <v>1.5455950540958271E-2</v>
      </c>
      <c r="F261" s="2" t="s">
        <v>523</v>
      </c>
      <c r="G261" s="2" t="s">
        <v>524</v>
      </c>
    </row>
    <row r="262" spans="1:7" ht="300" x14ac:dyDescent="0.25">
      <c r="A262" s="4">
        <v>261</v>
      </c>
      <c r="B262" s="5">
        <v>4.8936170212765959E-2</v>
      </c>
      <c r="C262" s="5">
        <v>4.8192771084337352E-2</v>
      </c>
      <c r="D262" s="5">
        <v>5.0000000000000001E-3</v>
      </c>
      <c r="E262" s="5">
        <v>1.3755795981452859E-2</v>
      </c>
      <c r="F262" s="2" t="s">
        <v>525</v>
      </c>
      <c r="G262" s="2" t="s">
        <v>526</v>
      </c>
    </row>
    <row r="263" spans="1:7" ht="165" x14ac:dyDescent="0.25">
      <c r="A263" s="4">
        <v>262</v>
      </c>
      <c r="B263" s="5">
        <v>4.7872340425531908E-2</v>
      </c>
      <c r="C263" s="5">
        <v>4.457831325301205E-2</v>
      </c>
      <c r="D263" s="5">
        <v>5.0000000000000001E-3</v>
      </c>
      <c r="E263" s="5">
        <v>1.0200927357032459E-2</v>
      </c>
      <c r="F263" s="2" t="s">
        <v>527</v>
      </c>
      <c r="G263" s="2" t="s">
        <v>528</v>
      </c>
    </row>
    <row r="264" spans="1:7" ht="135" x14ac:dyDescent="0.25">
      <c r="A264" s="4">
        <v>263</v>
      </c>
      <c r="B264" s="5">
        <v>5.1063829787234047E-2</v>
      </c>
      <c r="C264" s="5">
        <v>5.4216867469879519E-2</v>
      </c>
      <c r="D264" s="5">
        <v>8.0000000000000002E-3</v>
      </c>
      <c r="E264" s="5">
        <v>1.4064914992272019E-2</v>
      </c>
      <c r="F264" s="2" t="s">
        <v>529</v>
      </c>
      <c r="G264" s="2" t="s">
        <v>530</v>
      </c>
    </row>
    <row r="265" spans="1:7" ht="240" x14ac:dyDescent="0.25">
      <c r="A265" s="4">
        <v>264</v>
      </c>
      <c r="B265" s="5">
        <v>2.3404255319148939E-2</v>
      </c>
      <c r="C265" s="5">
        <v>2.5301204819277109E-2</v>
      </c>
      <c r="D265" s="5">
        <v>5.0000000000000001E-3</v>
      </c>
      <c r="E265" s="5">
        <v>5.5641421947449756E-3</v>
      </c>
      <c r="F265" s="2" t="s">
        <v>531</v>
      </c>
      <c r="G265" s="2" t="s">
        <v>532</v>
      </c>
    </row>
    <row r="266" spans="1:7" ht="165" x14ac:dyDescent="0.25">
      <c r="A266" s="4">
        <v>265</v>
      </c>
      <c r="B266" s="5">
        <v>2.4468085106382979E-2</v>
      </c>
      <c r="C266" s="5">
        <v>3.6144578313253017E-2</v>
      </c>
      <c r="D266" s="5">
        <v>3.0000000000000001E-3</v>
      </c>
      <c r="E266" s="5">
        <v>5.7187017001545598E-3</v>
      </c>
      <c r="F266" s="2" t="s">
        <v>533</v>
      </c>
      <c r="G266" s="2" t="s">
        <v>534</v>
      </c>
    </row>
    <row r="267" spans="1:7" ht="120" x14ac:dyDescent="0.25">
      <c r="A267" s="4">
        <v>266</v>
      </c>
      <c r="B267" s="5">
        <v>5.4255319148936172E-2</v>
      </c>
      <c r="C267" s="5">
        <v>3.012048192771084E-2</v>
      </c>
      <c r="D267" s="5">
        <v>1.0999999999999999E-2</v>
      </c>
      <c r="E267" s="5">
        <v>1.236476043276661E-2</v>
      </c>
      <c r="F267" s="2" t="s">
        <v>535</v>
      </c>
      <c r="G267" s="2" t="s">
        <v>536</v>
      </c>
    </row>
    <row r="268" spans="1:7" ht="195" x14ac:dyDescent="0.25">
      <c r="A268" s="4">
        <v>267</v>
      </c>
      <c r="B268" s="5">
        <v>1.48936170212766E-2</v>
      </c>
      <c r="C268" s="5">
        <v>1.566265060240964E-2</v>
      </c>
      <c r="D268" s="5">
        <v>3.0000000000000001E-3</v>
      </c>
      <c r="E268" s="5">
        <v>3.5548686244204009E-3</v>
      </c>
      <c r="F268" s="2" t="s">
        <v>537</v>
      </c>
      <c r="G268" s="2" t="s">
        <v>538</v>
      </c>
    </row>
    <row r="269" spans="1:7" ht="135" x14ac:dyDescent="0.25">
      <c r="A269" s="4">
        <v>268</v>
      </c>
      <c r="B269" s="5">
        <v>6.3829787234042548E-2</v>
      </c>
      <c r="C269" s="5">
        <v>4.8192771084337352E-2</v>
      </c>
      <c r="D269" s="5">
        <v>4.0000000000000001E-3</v>
      </c>
      <c r="E269" s="5">
        <v>7.2642967542503869E-3</v>
      </c>
      <c r="F269" s="2" t="s">
        <v>539</v>
      </c>
      <c r="G269" s="2" t="s">
        <v>540</v>
      </c>
    </row>
    <row r="270" spans="1:7" ht="90" x14ac:dyDescent="0.25">
      <c r="A270" s="4">
        <v>269</v>
      </c>
      <c r="B270" s="5">
        <v>3.1914893617021267E-2</v>
      </c>
      <c r="C270" s="5">
        <v>4.3373493975903621E-2</v>
      </c>
      <c r="D270" s="5">
        <v>6.0000000000000001E-3</v>
      </c>
      <c r="E270" s="5">
        <v>6.955177743431221E-3</v>
      </c>
      <c r="F270" s="2" t="s">
        <v>541</v>
      </c>
      <c r="G270" s="2" t="s">
        <v>542</v>
      </c>
    </row>
    <row r="271" spans="1:7" ht="270" x14ac:dyDescent="0.25">
      <c r="A271" s="4">
        <v>270</v>
      </c>
      <c r="B271" s="5">
        <v>9.2553191489361697E-2</v>
      </c>
      <c r="C271" s="5">
        <v>0.1</v>
      </c>
      <c r="D271" s="5">
        <v>1.7999999999999999E-2</v>
      </c>
      <c r="E271" s="5">
        <v>2.2256568778979909E-2</v>
      </c>
      <c r="F271" s="2" t="s">
        <v>543</v>
      </c>
      <c r="G271" s="2" t="s">
        <v>544</v>
      </c>
    </row>
    <row r="272" spans="1:7" ht="225" x14ac:dyDescent="0.25">
      <c r="A272" s="4">
        <v>271</v>
      </c>
      <c r="B272" s="5">
        <v>8.085106382978724E-2</v>
      </c>
      <c r="C272" s="5">
        <v>3.3734939759036138E-2</v>
      </c>
      <c r="D272" s="5">
        <v>2E-3</v>
      </c>
      <c r="E272" s="5">
        <v>2.4420401854714061E-2</v>
      </c>
      <c r="F272" s="2" t="s">
        <v>545</v>
      </c>
      <c r="G272" s="2" t="s">
        <v>546</v>
      </c>
    </row>
    <row r="273" spans="1:7" ht="150" x14ac:dyDescent="0.25">
      <c r="A273" s="4">
        <v>272</v>
      </c>
      <c r="B273" s="5">
        <v>4.7872340425531908E-2</v>
      </c>
      <c r="C273" s="5">
        <v>5.6626506024096392E-2</v>
      </c>
      <c r="D273" s="5">
        <v>5.0000000000000001E-3</v>
      </c>
      <c r="E273" s="5">
        <v>1.2519319938176199E-2</v>
      </c>
      <c r="F273" s="2" t="s">
        <v>547</v>
      </c>
      <c r="G273" s="2" t="s">
        <v>548</v>
      </c>
    </row>
    <row r="274" spans="1:7" ht="225" x14ac:dyDescent="0.25">
      <c r="A274" s="4">
        <v>273</v>
      </c>
      <c r="B274" s="5">
        <v>3.1914893617021267E-2</v>
      </c>
      <c r="C274" s="5">
        <v>2.7710843373493971E-2</v>
      </c>
      <c r="D274" s="5">
        <v>4.0000000000000001E-3</v>
      </c>
      <c r="E274" s="5">
        <v>8.9644513137557957E-3</v>
      </c>
      <c r="F274" s="2" t="s">
        <v>549</v>
      </c>
      <c r="G274" s="2" t="s">
        <v>550</v>
      </c>
    </row>
    <row r="275" spans="1:7" ht="195" x14ac:dyDescent="0.25">
      <c r="A275" s="4">
        <v>274</v>
      </c>
      <c r="B275" s="5">
        <v>4.2553191489361701E-2</v>
      </c>
      <c r="C275" s="5">
        <v>3.6144578313253017E-2</v>
      </c>
      <c r="D275" s="5">
        <v>8.0000000000000002E-3</v>
      </c>
      <c r="E275" s="5">
        <v>1.143740340030912E-2</v>
      </c>
      <c r="F275" s="2" t="s">
        <v>551</v>
      </c>
      <c r="G275" s="2" t="s">
        <v>552</v>
      </c>
    </row>
    <row r="276" spans="1:7" ht="225" x14ac:dyDescent="0.25">
      <c r="A276" s="4">
        <v>275</v>
      </c>
      <c r="B276" s="5">
        <v>5.7446808510638298E-2</v>
      </c>
      <c r="C276" s="5">
        <v>4.457831325301205E-2</v>
      </c>
      <c r="D276" s="5">
        <v>3.0000000000000001E-3</v>
      </c>
      <c r="E276" s="5">
        <v>1.823802163833076E-2</v>
      </c>
      <c r="F276" s="2" t="s">
        <v>553</v>
      </c>
      <c r="G276" s="2" t="s">
        <v>554</v>
      </c>
    </row>
    <row r="277" spans="1:7" ht="105" x14ac:dyDescent="0.25">
      <c r="A277" s="4">
        <v>276</v>
      </c>
      <c r="B277" s="5">
        <v>7.5531914893617019E-2</v>
      </c>
      <c r="C277" s="5">
        <v>8.1927710843373497E-2</v>
      </c>
      <c r="D277" s="5">
        <v>1.6E-2</v>
      </c>
      <c r="E277" s="5">
        <v>1.7774343122102011E-2</v>
      </c>
      <c r="F277" s="2" t="s">
        <v>555</v>
      </c>
      <c r="G277" s="2" t="s">
        <v>556</v>
      </c>
    </row>
    <row r="278" spans="1:7" ht="105" x14ac:dyDescent="0.25">
      <c r="A278" s="4">
        <v>277</v>
      </c>
      <c r="B278" s="5">
        <v>0.1053191489361702</v>
      </c>
      <c r="C278" s="5">
        <v>6.0240963855421693E-2</v>
      </c>
      <c r="D278" s="5">
        <v>1.2999999999999999E-2</v>
      </c>
      <c r="E278" s="5">
        <v>3.2921174652241113E-2</v>
      </c>
      <c r="F278" s="2" t="s">
        <v>557</v>
      </c>
      <c r="G278" s="2" t="s">
        <v>558</v>
      </c>
    </row>
    <row r="279" spans="1:7" ht="255" x14ac:dyDescent="0.25">
      <c r="A279" s="4">
        <v>278</v>
      </c>
      <c r="B279" s="5">
        <v>6.702127659574468E-2</v>
      </c>
      <c r="C279" s="5">
        <v>4.5783132530120479E-2</v>
      </c>
      <c r="D279" s="5">
        <v>1.4999999999999999E-2</v>
      </c>
      <c r="E279" s="5">
        <v>1.7774343122102011E-2</v>
      </c>
      <c r="F279" s="2" t="s">
        <v>559</v>
      </c>
      <c r="G279" s="2" t="s">
        <v>560</v>
      </c>
    </row>
    <row r="280" spans="1:7" ht="165" x14ac:dyDescent="0.25">
      <c r="A280" s="4">
        <v>279</v>
      </c>
      <c r="B280" s="5">
        <v>0.1765957446808511</v>
      </c>
      <c r="C280" s="5">
        <v>2.0481927710843371E-2</v>
      </c>
      <c r="D280" s="5">
        <v>5.0000000000000001E-3</v>
      </c>
      <c r="E280" s="5">
        <v>5.9969088098918079E-2</v>
      </c>
      <c r="F280" s="2" t="s">
        <v>561</v>
      </c>
      <c r="G280" s="2" t="s">
        <v>562</v>
      </c>
    </row>
    <row r="281" spans="1:7" ht="195" x14ac:dyDescent="0.25">
      <c r="A281" s="4">
        <v>280</v>
      </c>
      <c r="B281" s="5">
        <v>2.3404255319148939E-2</v>
      </c>
      <c r="C281" s="5">
        <v>1.204819277108434E-2</v>
      </c>
      <c r="D281" s="5">
        <v>1E-3</v>
      </c>
      <c r="E281" s="5">
        <v>8.1916537867078813E-3</v>
      </c>
      <c r="F281" s="2" t="s">
        <v>563</v>
      </c>
      <c r="G281" s="2" t="s">
        <v>564</v>
      </c>
    </row>
    <row r="282" spans="1:7" ht="135" x14ac:dyDescent="0.25">
      <c r="A282" s="4">
        <v>281</v>
      </c>
      <c r="B282" s="5">
        <v>2.3404255319148939E-2</v>
      </c>
      <c r="C282" s="5">
        <v>1.204819277108434E-2</v>
      </c>
      <c r="D282" s="5">
        <v>1E-3</v>
      </c>
      <c r="E282" s="5">
        <v>8.1916537867078813E-3</v>
      </c>
      <c r="F282" s="2" t="s">
        <v>565</v>
      </c>
      <c r="G282" s="2" t="s">
        <v>566</v>
      </c>
    </row>
    <row r="283" spans="1:7" ht="285" x14ac:dyDescent="0.25">
      <c r="A283" s="4">
        <v>282</v>
      </c>
      <c r="B283" s="5">
        <v>3.7234042553191488E-2</v>
      </c>
      <c r="C283" s="5">
        <v>4.8192771084337352E-2</v>
      </c>
      <c r="D283" s="5">
        <v>3.0000000000000001E-3</v>
      </c>
      <c r="E283" s="5">
        <v>9.8918083462132926E-3</v>
      </c>
      <c r="F283" s="2" t="s">
        <v>567</v>
      </c>
      <c r="G283" s="2" t="s">
        <v>568</v>
      </c>
    </row>
    <row r="284" spans="1:7" ht="135" x14ac:dyDescent="0.25">
      <c r="A284" s="4">
        <v>283</v>
      </c>
      <c r="B284" s="5">
        <v>5.7446808510638298E-2</v>
      </c>
      <c r="C284" s="5">
        <v>2.6506024096385541E-2</v>
      </c>
      <c r="D284" s="5">
        <v>3.5999999999999997E-2</v>
      </c>
      <c r="E284" s="5">
        <v>4.7913446676970638E-3</v>
      </c>
      <c r="F284" s="2" t="s">
        <v>569</v>
      </c>
      <c r="G284" s="2" t="s">
        <v>570</v>
      </c>
    </row>
    <row r="285" spans="1:7" ht="195" x14ac:dyDescent="0.25">
      <c r="A285" s="4">
        <v>284</v>
      </c>
      <c r="B285" s="5">
        <v>4.1489361702127657E-2</v>
      </c>
      <c r="C285" s="5">
        <v>5.4216867469879519E-2</v>
      </c>
      <c r="D285" s="5">
        <v>4.0000000000000001E-3</v>
      </c>
      <c r="E285" s="5">
        <v>1.066460587326121E-2</v>
      </c>
      <c r="F285" s="2" t="s">
        <v>571</v>
      </c>
      <c r="G285" s="2" t="s">
        <v>572</v>
      </c>
    </row>
    <row r="286" spans="1:7" ht="135" x14ac:dyDescent="0.25">
      <c r="A286" s="4">
        <v>285</v>
      </c>
      <c r="B286" s="5">
        <v>5.6382978723404253E-2</v>
      </c>
      <c r="C286" s="5">
        <v>4.0963855421686748E-2</v>
      </c>
      <c r="D286" s="5">
        <v>1.2E-2</v>
      </c>
      <c r="E286" s="5">
        <v>1.1128284389489949E-2</v>
      </c>
      <c r="F286" s="2" t="s">
        <v>573</v>
      </c>
      <c r="G286" s="2" t="s">
        <v>574</v>
      </c>
    </row>
    <row r="287" spans="1:7" ht="210" x14ac:dyDescent="0.25">
      <c r="A287" s="4">
        <v>286</v>
      </c>
      <c r="B287" s="5">
        <v>3.085106382978723E-2</v>
      </c>
      <c r="C287" s="5">
        <v>4.0963855421686748E-2</v>
      </c>
      <c r="D287" s="5">
        <v>1E-3</v>
      </c>
      <c r="E287" s="5">
        <v>1.004636785162288E-2</v>
      </c>
      <c r="F287" s="2" t="s">
        <v>575</v>
      </c>
      <c r="G287" s="2" t="s">
        <v>576</v>
      </c>
    </row>
    <row r="288" spans="1:7" ht="409.5" x14ac:dyDescent="0.25">
      <c r="A288" s="4">
        <v>287</v>
      </c>
      <c r="B288" s="5">
        <v>0.1106382978723404</v>
      </c>
      <c r="C288" s="5">
        <v>4.6987951807228923E-2</v>
      </c>
      <c r="D288" s="5">
        <v>6.0000000000000001E-3</v>
      </c>
      <c r="E288" s="5">
        <v>2.76661514683153E-2</v>
      </c>
      <c r="F288" s="2" t="s">
        <v>577</v>
      </c>
      <c r="G288" s="2" t="s">
        <v>578</v>
      </c>
    </row>
    <row r="289" spans="1:7" ht="210" x14ac:dyDescent="0.25">
      <c r="A289" s="4">
        <v>288</v>
      </c>
      <c r="B289" s="5">
        <v>5.2127659574468077E-2</v>
      </c>
      <c r="C289" s="5">
        <v>3.2530120481927723E-2</v>
      </c>
      <c r="D289" s="5">
        <v>0.01</v>
      </c>
      <c r="E289" s="5">
        <v>1.298299845440495E-2</v>
      </c>
      <c r="F289" s="2" t="s">
        <v>579</v>
      </c>
      <c r="G289" s="2" t="s">
        <v>580</v>
      </c>
    </row>
    <row r="290" spans="1:7" ht="210" x14ac:dyDescent="0.25">
      <c r="A290" s="4">
        <v>289</v>
      </c>
      <c r="B290" s="5">
        <v>9.2553191489361697E-2</v>
      </c>
      <c r="C290" s="5">
        <v>9.6385542168674704E-2</v>
      </c>
      <c r="D290" s="5">
        <v>0.02</v>
      </c>
      <c r="E290" s="5">
        <v>1.8392581143740341E-2</v>
      </c>
      <c r="F290" s="2" t="s">
        <v>581</v>
      </c>
      <c r="G290" s="2" t="s">
        <v>582</v>
      </c>
    </row>
    <row r="291" spans="1:7" ht="225" x14ac:dyDescent="0.25">
      <c r="A291" s="4">
        <v>290</v>
      </c>
      <c r="B291" s="5">
        <v>0.13617021276595739</v>
      </c>
      <c r="C291" s="5">
        <v>0.1445783132530121</v>
      </c>
      <c r="D291" s="5">
        <v>6.5000000000000002E-2</v>
      </c>
      <c r="E291" s="5">
        <v>1.9165378670788259E-2</v>
      </c>
      <c r="F291" s="2" t="s">
        <v>583</v>
      </c>
      <c r="G291" s="2" t="s">
        <v>584</v>
      </c>
    </row>
    <row r="292" spans="1:7" ht="300" x14ac:dyDescent="0.25">
      <c r="A292" s="4">
        <v>291</v>
      </c>
      <c r="B292" s="5">
        <v>3.9361702127659583E-2</v>
      </c>
      <c r="C292" s="5">
        <v>3.012048192771084E-2</v>
      </c>
      <c r="D292" s="5">
        <v>8.0000000000000002E-3</v>
      </c>
      <c r="E292" s="5">
        <v>1.066460587326121E-2</v>
      </c>
      <c r="F292" s="2" t="s">
        <v>585</v>
      </c>
      <c r="G292" s="2" t="s">
        <v>586</v>
      </c>
    </row>
    <row r="293" spans="1:7" ht="120" x14ac:dyDescent="0.25">
      <c r="A293" s="4">
        <v>292</v>
      </c>
      <c r="B293" s="5">
        <v>0.3202127659574468</v>
      </c>
      <c r="C293" s="5">
        <v>0.1710843373493976</v>
      </c>
      <c r="D293" s="5">
        <v>0.109</v>
      </c>
      <c r="E293" s="5">
        <v>7.5734157650695522E-2</v>
      </c>
      <c r="F293" s="2" t="s">
        <v>587</v>
      </c>
      <c r="G293" s="2" t="s">
        <v>588</v>
      </c>
    </row>
    <row r="294" spans="1:7" ht="225" x14ac:dyDescent="0.25">
      <c r="A294" s="4">
        <v>293</v>
      </c>
      <c r="B294" s="5">
        <v>6.5957446808510636E-2</v>
      </c>
      <c r="C294" s="5">
        <v>4.8192771084337352E-2</v>
      </c>
      <c r="D294" s="5">
        <v>5.0000000000000001E-3</v>
      </c>
      <c r="E294" s="5">
        <v>1.6228748068006182E-2</v>
      </c>
      <c r="F294" s="2" t="s">
        <v>589</v>
      </c>
      <c r="G294" s="2" t="s">
        <v>590</v>
      </c>
    </row>
    <row r="295" spans="1:7" ht="180" x14ac:dyDescent="0.25">
      <c r="A295" s="4">
        <v>294</v>
      </c>
      <c r="B295" s="5">
        <v>4.7872340425531908E-2</v>
      </c>
      <c r="C295" s="5">
        <v>5.301204819277109E-2</v>
      </c>
      <c r="D295" s="5">
        <v>0.08</v>
      </c>
      <c r="E295" s="5">
        <v>7.7279752704791343E-4</v>
      </c>
      <c r="F295" s="2" t="s">
        <v>591</v>
      </c>
      <c r="G295" s="2" t="s">
        <v>592</v>
      </c>
    </row>
    <row r="296" spans="1:7" ht="255" x14ac:dyDescent="0.25">
      <c r="A296" s="4">
        <v>295</v>
      </c>
      <c r="B296" s="5">
        <v>4.7872340425531908E-2</v>
      </c>
      <c r="C296" s="5">
        <v>5.301204819277109E-2</v>
      </c>
      <c r="D296" s="5">
        <v>5.0000000000000001E-3</v>
      </c>
      <c r="E296" s="5">
        <v>1.3137557959814529E-2</v>
      </c>
      <c r="F296" s="2" t="s">
        <v>593</v>
      </c>
      <c r="G296" s="2" t="s">
        <v>594</v>
      </c>
    </row>
    <row r="297" spans="1:7" ht="180" x14ac:dyDescent="0.25">
      <c r="A297" s="4">
        <v>296</v>
      </c>
      <c r="B297" s="5">
        <v>5.6382978723404253E-2</v>
      </c>
      <c r="C297" s="5">
        <v>3.8554216867469883E-2</v>
      </c>
      <c r="D297" s="5">
        <v>2.5000000000000001E-2</v>
      </c>
      <c r="E297" s="5">
        <v>1.174652241112828E-2</v>
      </c>
      <c r="F297" s="2" t="s">
        <v>595</v>
      </c>
      <c r="G297" s="2" t="s">
        <v>596</v>
      </c>
    </row>
    <row r="298" spans="1:7" ht="210" x14ac:dyDescent="0.25">
      <c r="A298" s="4">
        <v>297</v>
      </c>
      <c r="B298" s="5">
        <v>7.2340425531914901E-2</v>
      </c>
      <c r="C298" s="5">
        <v>2.4096385542168679E-2</v>
      </c>
      <c r="D298" s="5">
        <v>0.01</v>
      </c>
      <c r="E298" s="5">
        <v>2.349304482225657E-2</v>
      </c>
      <c r="F298" s="2" t="s">
        <v>597</v>
      </c>
      <c r="G298" s="2" t="s">
        <v>598</v>
      </c>
    </row>
    <row r="299" spans="1:7" ht="390" x14ac:dyDescent="0.25">
      <c r="A299" s="4">
        <v>298</v>
      </c>
      <c r="B299" s="5">
        <v>7.7659574468085107E-2</v>
      </c>
      <c r="C299" s="5">
        <v>8.1927710843373497E-2</v>
      </c>
      <c r="D299" s="5">
        <v>1.2E-2</v>
      </c>
      <c r="E299" s="5">
        <v>2.009273570324575E-2</v>
      </c>
      <c r="F299" s="2" t="s">
        <v>599</v>
      </c>
      <c r="G299" s="2" t="s">
        <v>600</v>
      </c>
    </row>
    <row r="300" spans="1:7" ht="270" x14ac:dyDescent="0.25">
      <c r="A300" s="4">
        <v>299</v>
      </c>
      <c r="B300" s="5">
        <v>0.1531914893617021</v>
      </c>
      <c r="C300" s="5">
        <v>0.15301204819277109</v>
      </c>
      <c r="D300" s="5">
        <v>1.2E-2</v>
      </c>
      <c r="E300" s="5">
        <v>3.8948995363214833E-2</v>
      </c>
      <c r="F300" s="2" t="s">
        <v>601</v>
      </c>
      <c r="G300" s="2" t="s">
        <v>602</v>
      </c>
    </row>
    <row r="301" spans="1:7" ht="225" x14ac:dyDescent="0.25">
      <c r="A301" s="4">
        <v>300</v>
      </c>
      <c r="B301" s="5">
        <v>5.3191489361702128E-2</v>
      </c>
      <c r="C301" s="5">
        <v>7.4698795180722893E-2</v>
      </c>
      <c r="D301" s="5">
        <v>1.0999999999999999E-2</v>
      </c>
      <c r="E301" s="5">
        <v>1.097372488408037E-2</v>
      </c>
      <c r="F301" s="2" t="s">
        <v>603</v>
      </c>
      <c r="G301" s="2" t="s">
        <v>604</v>
      </c>
    </row>
    <row r="302" spans="1:7" ht="165" x14ac:dyDescent="0.25">
      <c r="A302" s="4">
        <v>301</v>
      </c>
      <c r="B302" s="5">
        <v>7.8723404255319152E-2</v>
      </c>
      <c r="C302" s="5">
        <v>7.5903614457831323E-2</v>
      </c>
      <c r="D302" s="5">
        <v>6.9999999999999993E-3</v>
      </c>
      <c r="E302" s="5">
        <v>1.653786707882535E-2</v>
      </c>
      <c r="F302" s="2" t="s">
        <v>605</v>
      </c>
      <c r="G302" s="2" t="s">
        <v>606</v>
      </c>
    </row>
    <row r="303" spans="1:7" ht="240" x14ac:dyDescent="0.25">
      <c r="A303" s="4">
        <v>302</v>
      </c>
      <c r="B303" s="5">
        <v>5.8510638297872342E-2</v>
      </c>
      <c r="C303" s="5">
        <v>4.8192771084337352E-2</v>
      </c>
      <c r="D303" s="5">
        <v>5.0000000000000001E-3</v>
      </c>
      <c r="E303" s="5">
        <v>1.3137557959814529E-2</v>
      </c>
      <c r="F303" s="2" t="s">
        <v>607</v>
      </c>
      <c r="G303" s="2" t="s">
        <v>608</v>
      </c>
    </row>
    <row r="304" spans="1:7" ht="270" x14ac:dyDescent="0.25">
      <c r="A304" s="4">
        <v>303</v>
      </c>
      <c r="B304" s="5">
        <v>3.2978723404255318E-2</v>
      </c>
      <c r="C304" s="5">
        <v>4.457831325301205E-2</v>
      </c>
      <c r="D304" s="5">
        <v>6.0000000000000001E-3</v>
      </c>
      <c r="E304" s="5">
        <v>7.4188562596599686E-3</v>
      </c>
      <c r="F304" s="2" t="s">
        <v>609</v>
      </c>
      <c r="G304" s="2" t="s">
        <v>610</v>
      </c>
    </row>
    <row r="305" spans="1:7" ht="225" x14ac:dyDescent="0.25">
      <c r="A305" s="4">
        <v>304</v>
      </c>
      <c r="B305" s="5">
        <v>5.3191489361702128E-2</v>
      </c>
      <c r="C305" s="5">
        <v>7.4698795180722893E-2</v>
      </c>
      <c r="D305" s="5">
        <v>1.0999999999999999E-2</v>
      </c>
      <c r="E305" s="5">
        <v>1.097372488408037E-2</v>
      </c>
      <c r="F305" s="2" t="s">
        <v>611</v>
      </c>
      <c r="G305" s="2" t="s">
        <v>612</v>
      </c>
    </row>
    <row r="306" spans="1:7" ht="210" x14ac:dyDescent="0.25">
      <c r="A306" s="4">
        <v>305</v>
      </c>
      <c r="B306" s="5">
        <v>3.8297872340425532E-2</v>
      </c>
      <c r="C306" s="5">
        <v>3.1325301204819279E-2</v>
      </c>
      <c r="D306" s="5">
        <v>9.0000000000000011E-3</v>
      </c>
      <c r="E306" s="5">
        <v>9.4281298299845433E-3</v>
      </c>
      <c r="F306" s="2" t="s">
        <v>613</v>
      </c>
      <c r="G306" s="2" t="s">
        <v>614</v>
      </c>
    </row>
    <row r="307" spans="1:7" ht="180" x14ac:dyDescent="0.25">
      <c r="A307" s="4">
        <v>306</v>
      </c>
      <c r="B307" s="5">
        <v>2.8723404255319149E-2</v>
      </c>
      <c r="C307" s="5">
        <v>1.566265060240964E-2</v>
      </c>
      <c r="D307" s="5">
        <v>2E-3</v>
      </c>
      <c r="E307" s="5">
        <v>9.1190108191653782E-3</v>
      </c>
      <c r="F307" s="2" t="s">
        <v>615</v>
      </c>
      <c r="G307" s="2" t="s">
        <v>616</v>
      </c>
    </row>
    <row r="308" spans="1:7" ht="285" x14ac:dyDescent="0.25">
      <c r="A308" s="4">
        <v>307</v>
      </c>
      <c r="B308" s="5">
        <v>6.2765957446808518E-2</v>
      </c>
      <c r="C308" s="5">
        <v>3.6144578313253017E-2</v>
      </c>
      <c r="D308" s="5">
        <v>4.0000000000000001E-3</v>
      </c>
      <c r="E308" s="5">
        <v>2.0865533230293661E-2</v>
      </c>
      <c r="F308" s="2" t="s">
        <v>617</v>
      </c>
      <c r="G308" s="2" t="s">
        <v>618</v>
      </c>
    </row>
    <row r="309" spans="1:7" ht="135" x14ac:dyDescent="0.25">
      <c r="A309" s="4">
        <v>308</v>
      </c>
      <c r="B309" s="5">
        <v>7.5531914893617019E-2</v>
      </c>
      <c r="C309" s="5">
        <v>4.9397590361445781E-2</v>
      </c>
      <c r="D309" s="5">
        <v>2.1000000000000001E-2</v>
      </c>
      <c r="E309" s="5">
        <v>1.9010819165378671E-2</v>
      </c>
      <c r="F309" s="2" t="s">
        <v>619</v>
      </c>
      <c r="G309" s="2" t="s">
        <v>620</v>
      </c>
    </row>
    <row r="310" spans="1:7" ht="150" x14ac:dyDescent="0.25">
      <c r="A310" s="4">
        <v>309</v>
      </c>
      <c r="B310" s="5">
        <v>2.8723404255319149E-2</v>
      </c>
      <c r="C310" s="5">
        <v>1.566265060240964E-2</v>
      </c>
      <c r="D310" s="5">
        <v>2E-3</v>
      </c>
      <c r="E310" s="5">
        <v>9.1190108191653782E-3</v>
      </c>
      <c r="F310" s="2" t="s">
        <v>621</v>
      </c>
      <c r="G310" s="2" t="s">
        <v>622</v>
      </c>
    </row>
    <row r="311" spans="1:7" ht="300" x14ac:dyDescent="0.25">
      <c r="A311" s="4">
        <v>310</v>
      </c>
      <c r="B311" s="5">
        <v>7.4468085106382975E-2</v>
      </c>
      <c r="C311" s="5">
        <v>3.4939759036144581E-2</v>
      </c>
      <c r="D311" s="5">
        <v>3.0000000000000001E-3</v>
      </c>
      <c r="E311" s="5">
        <v>2.1483771251931991E-2</v>
      </c>
      <c r="F311" s="2" t="s">
        <v>623</v>
      </c>
      <c r="G311" s="2" t="s">
        <v>624</v>
      </c>
    </row>
    <row r="312" spans="1:7" ht="195" x14ac:dyDescent="0.25">
      <c r="A312" s="4">
        <v>311</v>
      </c>
      <c r="B312" s="5">
        <v>0.05</v>
      </c>
      <c r="C312" s="5">
        <v>3.3734939759036138E-2</v>
      </c>
      <c r="D312" s="5">
        <v>4.0000000000000001E-3</v>
      </c>
      <c r="E312" s="5">
        <v>1.6074188562596601E-2</v>
      </c>
      <c r="F312" s="2" t="s">
        <v>625</v>
      </c>
      <c r="G312" s="2" t="s">
        <v>626</v>
      </c>
    </row>
    <row r="313" spans="1:7" ht="180" x14ac:dyDescent="0.25">
      <c r="A313" s="4">
        <v>312</v>
      </c>
      <c r="B313" s="5">
        <v>5.9574468085106393E-2</v>
      </c>
      <c r="C313" s="5">
        <v>3.7349397590361447E-2</v>
      </c>
      <c r="D313" s="5">
        <v>3.0000000000000001E-3</v>
      </c>
      <c r="E313" s="5">
        <v>2.009273570324575E-2</v>
      </c>
      <c r="F313" s="2" t="s">
        <v>627</v>
      </c>
      <c r="G313" s="2" t="s">
        <v>628</v>
      </c>
    </row>
    <row r="314" spans="1:7" ht="225" x14ac:dyDescent="0.25">
      <c r="A314" s="4">
        <v>313</v>
      </c>
      <c r="B314" s="5">
        <v>6.5957446808510636E-2</v>
      </c>
      <c r="C314" s="5">
        <v>4.457831325301205E-2</v>
      </c>
      <c r="D314" s="5">
        <v>3.0000000000000001E-3</v>
      </c>
      <c r="E314" s="5">
        <v>1.715610510046368E-2</v>
      </c>
      <c r="F314" s="2" t="s">
        <v>629</v>
      </c>
      <c r="G314" s="2" t="s">
        <v>630</v>
      </c>
    </row>
    <row r="315" spans="1:7" ht="409.5" x14ac:dyDescent="0.25">
      <c r="A315" s="4">
        <v>314</v>
      </c>
      <c r="B315" s="5">
        <v>5.9574468085106393E-2</v>
      </c>
      <c r="C315" s="5">
        <v>3.7349397590361447E-2</v>
      </c>
      <c r="D315" s="5">
        <v>3.0000000000000001E-3</v>
      </c>
      <c r="E315" s="5">
        <v>2.009273570324575E-2</v>
      </c>
      <c r="F315" s="2" t="s">
        <v>631</v>
      </c>
      <c r="G315" s="2" t="s">
        <v>632</v>
      </c>
    </row>
    <row r="316" spans="1:7" ht="210" x14ac:dyDescent="0.25">
      <c r="A316" s="4">
        <v>315</v>
      </c>
      <c r="B316" s="5">
        <v>5.1063829787234047E-2</v>
      </c>
      <c r="C316" s="5">
        <v>3.6144578313253017E-2</v>
      </c>
      <c r="D316" s="5">
        <v>3.0000000000000001E-3</v>
      </c>
      <c r="E316" s="5">
        <v>1.6692426584234931E-2</v>
      </c>
      <c r="F316" s="2" t="s">
        <v>633</v>
      </c>
      <c r="G316" s="2" t="s">
        <v>634</v>
      </c>
    </row>
    <row r="317" spans="1:7" ht="150" x14ac:dyDescent="0.25">
      <c r="A317" s="4">
        <v>316</v>
      </c>
      <c r="B317" s="5">
        <v>4.8936170212765959E-2</v>
      </c>
      <c r="C317" s="5">
        <v>3.3734939759036138E-2</v>
      </c>
      <c r="D317" s="5">
        <v>2E-3</v>
      </c>
      <c r="E317" s="5">
        <v>1.267387944358578E-2</v>
      </c>
      <c r="F317" s="2" t="s">
        <v>635</v>
      </c>
      <c r="G317" s="2" t="s">
        <v>636</v>
      </c>
    </row>
    <row r="318" spans="1:7" ht="330" x14ac:dyDescent="0.25">
      <c r="A318" s="4">
        <v>317</v>
      </c>
      <c r="B318" s="5">
        <v>5.8510638297872342E-2</v>
      </c>
      <c r="C318" s="5">
        <v>2.0481927710843371E-2</v>
      </c>
      <c r="D318" s="5">
        <v>1E-3</v>
      </c>
      <c r="E318" s="5">
        <v>1.8392581143740341E-2</v>
      </c>
      <c r="F318" s="2" t="s">
        <v>637</v>
      </c>
      <c r="G318" s="2" t="s">
        <v>638</v>
      </c>
    </row>
    <row r="319" spans="1:7" ht="210" x14ac:dyDescent="0.25">
      <c r="A319" s="4">
        <v>318</v>
      </c>
      <c r="B319" s="5">
        <v>0.27659574468085107</v>
      </c>
      <c r="C319" s="5">
        <v>2.4096385542168679E-2</v>
      </c>
      <c r="D319" s="5">
        <v>0.15</v>
      </c>
      <c r="E319" s="5">
        <v>8.1916537867078823E-2</v>
      </c>
      <c r="F319" s="2" t="s">
        <v>639</v>
      </c>
      <c r="G319" s="2" t="s">
        <v>640</v>
      </c>
    </row>
    <row r="320" spans="1:7" ht="150" x14ac:dyDescent="0.25">
      <c r="A320" s="4">
        <v>319</v>
      </c>
      <c r="B320" s="5">
        <v>0.40638297872340429</v>
      </c>
      <c r="C320" s="5">
        <v>0.67108433734939765</v>
      </c>
      <c r="D320" s="5">
        <v>0.14099999999999999</v>
      </c>
      <c r="E320" s="5">
        <v>1.236476043276661E-2</v>
      </c>
      <c r="F320" s="2" t="s">
        <v>641</v>
      </c>
      <c r="G320" s="2" t="s">
        <v>642</v>
      </c>
    </row>
    <row r="321" spans="1:7" ht="225" x14ac:dyDescent="0.25">
      <c r="A321" s="4">
        <v>320</v>
      </c>
      <c r="B321" s="5">
        <v>0.46063829787234051</v>
      </c>
      <c r="C321" s="5">
        <v>0.66265060240963858</v>
      </c>
      <c r="D321" s="5">
        <v>0.09</v>
      </c>
      <c r="E321" s="5">
        <v>0</v>
      </c>
      <c r="F321" s="2" t="s">
        <v>643</v>
      </c>
      <c r="G321" s="2" t="s">
        <v>644</v>
      </c>
    </row>
    <row r="322" spans="1:7" ht="225" x14ac:dyDescent="0.25">
      <c r="A322" s="4">
        <v>321</v>
      </c>
      <c r="B322" s="5">
        <v>0.63617021276595742</v>
      </c>
      <c r="C322" s="5">
        <v>0.89518072289156625</v>
      </c>
      <c r="D322" s="5">
        <v>0.26900000000000002</v>
      </c>
      <c r="E322" s="5">
        <v>1.4219474497681611E-2</v>
      </c>
      <c r="F322" s="2" t="s">
        <v>645</v>
      </c>
      <c r="G322" s="2" t="s">
        <v>646</v>
      </c>
    </row>
    <row r="323" spans="1:7" ht="409.5" x14ac:dyDescent="0.25">
      <c r="A323" s="4">
        <v>322</v>
      </c>
      <c r="B323" s="5">
        <v>8.1914893617021284E-2</v>
      </c>
      <c r="C323" s="5">
        <v>0.16626506024096391</v>
      </c>
      <c r="D323" s="5">
        <v>1.9E-2</v>
      </c>
      <c r="E323" s="5">
        <v>1.081916537867079E-3</v>
      </c>
      <c r="F323" s="2" t="s">
        <v>647</v>
      </c>
      <c r="G323" s="2" t="s">
        <v>648</v>
      </c>
    </row>
    <row r="324" spans="1:7" ht="345" x14ac:dyDescent="0.25">
      <c r="A324" s="4">
        <v>323</v>
      </c>
      <c r="B324" s="5">
        <v>0.1106382978723404</v>
      </c>
      <c r="C324" s="5">
        <v>0.26385542168674703</v>
      </c>
      <c r="D324" s="5">
        <v>1.0999999999999999E-2</v>
      </c>
      <c r="E324" s="5">
        <v>0</v>
      </c>
      <c r="F324" s="2" t="s">
        <v>649</v>
      </c>
      <c r="G324" s="2" t="s">
        <v>650</v>
      </c>
    </row>
    <row r="325" spans="1:7" ht="165" x14ac:dyDescent="0.25">
      <c r="A325" s="4">
        <v>324</v>
      </c>
      <c r="B325" s="5">
        <v>0.26382978723404249</v>
      </c>
      <c r="C325" s="5">
        <v>0.1204819277108434</v>
      </c>
      <c r="D325" s="5">
        <v>2.3E-2</v>
      </c>
      <c r="E325" s="5">
        <v>6.3214837712519317E-2</v>
      </c>
      <c r="F325" s="2" t="s">
        <v>651</v>
      </c>
      <c r="G325" s="2" t="s">
        <v>351</v>
      </c>
    </row>
    <row r="326" spans="1:7" ht="240" x14ac:dyDescent="0.25">
      <c r="A326" s="4">
        <v>325</v>
      </c>
      <c r="B326" s="5">
        <v>0.42021276595744678</v>
      </c>
      <c r="C326" s="5">
        <v>3.6144578313253017E-2</v>
      </c>
      <c r="D326" s="5">
        <v>5.7000000000000002E-2</v>
      </c>
      <c r="E326" s="5">
        <v>0.12550231839258111</v>
      </c>
      <c r="F326" s="2" t="s">
        <v>652</v>
      </c>
      <c r="G326" s="2" t="s">
        <v>653</v>
      </c>
    </row>
    <row r="327" spans="1:7" ht="409.5" x14ac:dyDescent="0.25">
      <c r="A327" s="4">
        <v>326</v>
      </c>
      <c r="B327" s="5">
        <v>0.31702127659574469</v>
      </c>
      <c r="C327" s="5">
        <v>4.457831325301205E-2</v>
      </c>
      <c r="D327" s="5">
        <v>2.1000000000000001E-2</v>
      </c>
      <c r="E327" s="5">
        <v>0.101854714064915</v>
      </c>
      <c r="F327" s="2" t="s">
        <v>654</v>
      </c>
      <c r="G327" s="2" t="s">
        <v>655</v>
      </c>
    </row>
    <row r="328" spans="1:7" ht="345" x14ac:dyDescent="0.25">
      <c r="A328" s="4">
        <v>327</v>
      </c>
      <c r="B328" s="5">
        <v>0.39148936170212773</v>
      </c>
      <c r="C328" s="5">
        <v>3.1325301204819279E-2</v>
      </c>
      <c r="D328" s="5">
        <v>8.5999999999999993E-2</v>
      </c>
      <c r="E328" s="5">
        <v>0.10819165378670791</v>
      </c>
      <c r="F328" s="2" t="s">
        <v>656</v>
      </c>
      <c r="G328" s="2" t="s">
        <v>657</v>
      </c>
    </row>
    <row r="329" spans="1:7" ht="345" x14ac:dyDescent="0.25">
      <c r="A329" s="4">
        <v>328</v>
      </c>
      <c r="B329" s="5">
        <v>0.37021276595744679</v>
      </c>
      <c r="C329" s="5">
        <v>4.8192771084337354E-3</v>
      </c>
      <c r="D329" s="5">
        <v>3.7999999999999999E-2</v>
      </c>
      <c r="E329" s="5">
        <v>0.1176197836166924</v>
      </c>
      <c r="F329" s="2" t="s">
        <v>658</v>
      </c>
      <c r="G329" s="2" t="s">
        <v>659</v>
      </c>
    </row>
    <row r="330" spans="1:7" ht="210" x14ac:dyDescent="0.25">
      <c r="A330" s="4">
        <v>329</v>
      </c>
      <c r="B330" s="5">
        <v>0.35212765957446812</v>
      </c>
      <c r="C330" s="5">
        <v>2.289156626506024E-2</v>
      </c>
      <c r="D330" s="5">
        <v>7.5999999999999998E-2</v>
      </c>
      <c r="E330" s="5">
        <v>9.8608964451313744E-2</v>
      </c>
      <c r="F330" s="2" t="s">
        <v>660</v>
      </c>
      <c r="G330" s="2" t="s">
        <v>661</v>
      </c>
    </row>
    <row r="331" spans="1:7" ht="180" x14ac:dyDescent="0.25">
      <c r="A331" s="4">
        <v>330</v>
      </c>
      <c r="B331" s="5">
        <v>0.39680851063829792</v>
      </c>
      <c r="C331" s="5">
        <v>5.1807228915662647E-2</v>
      </c>
      <c r="D331" s="5">
        <v>0.16500000000000001</v>
      </c>
      <c r="E331" s="5">
        <v>8.0216383307573413E-2</v>
      </c>
      <c r="F331" s="2" t="s">
        <v>662</v>
      </c>
      <c r="G331" s="2" t="s">
        <v>663</v>
      </c>
    </row>
    <row r="332" spans="1:7" ht="165" x14ac:dyDescent="0.25">
      <c r="A332" s="4">
        <v>331</v>
      </c>
      <c r="B332" s="5">
        <v>1.861702127659574E-2</v>
      </c>
      <c r="C332" s="5">
        <v>3.9759036144578312E-2</v>
      </c>
      <c r="D332" s="5">
        <v>2.3E-2</v>
      </c>
      <c r="E332" s="5">
        <v>6.1051004636785158E-2</v>
      </c>
      <c r="F332" s="2" t="s">
        <v>664</v>
      </c>
      <c r="G332" s="2" t="s">
        <v>665</v>
      </c>
    </row>
    <row r="333" spans="1:7" ht="225" x14ac:dyDescent="0.25">
      <c r="A333" s="4">
        <v>332</v>
      </c>
      <c r="B333" s="5">
        <v>0.3372340425531915</v>
      </c>
      <c r="C333" s="5">
        <v>0.18915662650602411</v>
      </c>
      <c r="D333" s="5">
        <v>0.27700000000000002</v>
      </c>
      <c r="E333" s="5">
        <v>0</v>
      </c>
      <c r="F333" s="2" t="s">
        <v>666</v>
      </c>
      <c r="G333" s="2" t="s">
        <v>667</v>
      </c>
    </row>
    <row r="334" spans="1:7" ht="210" x14ac:dyDescent="0.25">
      <c r="A334" s="4">
        <v>333</v>
      </c>
      <c r="B334" s="5">
        <v>0.2148936170212766</v>
      </c>
      <c r="C334" s="5">
        <v>0.2060240963855422</v>
      </c>
      <c r="D334" s="5">
        <v>0.14799999999999999</v>
      </c>
      <c r="E334" s="5">
        <v>0</v>
      </c>
      <c r="F334" s="2" t="s">
        <v>668</v>
      </c>
      <c r="G334" s="2" t="s">
        <v>669</v>
      </c>
    </row>
    <row r="335" spans="1:7" ht="330" x14ac:dyDescent="0.25">
      <c r="A335" s="4">
        <v>334</v>
      </c>
      <c r="B335" s="5">
        <v>0.1063829787234043</v>
      </c>
      <c r="C335" s="5">
        <v>0.2</v>
      </c>
      <c r="D335" s="5">
        <v>3.3000000000000002E-2</v>
      </c>
      <c r="E335" s="5">
        <v>1.5455950540958271E-3</v>
      </c>
      <c r="F335" s="2" t="s">
        <v>670</v>
      </c>
      <c r="G335" s="2" t="s">
        <v>671</v>
      </c>
    </row>
    <row r="336" spans="1:7" ht="270" x14ac:dyDescent="0.25">
      <c r="A336" s="4">
        <v>335</v>
      </c>
      <c r="B336" s="5">
        <v>6.702127659574468E-2</v>
      </c>
      <c r="C336" s="5">
        <v>1.204819277108434E-2</v>
      </c>
      <c r="D336" s="5">
        <v>2E-3</v>
      </c>
      <c r="E336" s="5">
        <v>2.4884080370942811E-2</v>
      </c>
      <c r="F336" s="2" t="s">
        <v>672</v>
      </c>
      <c r="G336" s="2" t="s">
        <v>673</v>
      </c>
    </row>
    <row r="337" spans="1:7" ht="225" x14ac:dyDescent="0.25">
      <c r="A337" s="4">
        <v>336</v>
      </c>
      <c r="B337" s="5">
        <v>0.14255319148936171</v>
      </c>
      <c r="C337" s="5">
        <v>3.012048192771084E-2</v>
      </c>
      <c r="D337" s="5">
        <v>0.03</v>
      </c>
      <c r="E337" s="5">
        <v>4.3276661514683151E-2</v>
      </c>
      <c r="F337" s="2" t="s">
        <v>674</v>
      </c>
      <c r="G337" s="2" t="s">
        <v>675</v>
      </c>
    </row>
    <row r="338" spans="1:7" ht="165" x14ac:dyDescent="0.25">
      <c r="A338" s="4">
        <v>337</v>
      </c>
      <c r="B338" s="5">
        <v>8.5106382978723402E-2</v>
      </c>
      <c r="C338" s="5">
        <v>6.024096385542169E-3</v>
      </c>
      <c r="D338" s="5">
        <v>6.0000000000000001E-3</v>
      </c>
      <c r="E338" s="5">
        <v>2.8129829984544049E-2</v>
      </c>
      <c r="F338" s="2" t="s">
        <v>676</v>
      </c>
      <c r="G338" s="2" t="s">
        <v>677</v>
      </c>
    </row>
    <row r="339" spans="1:7" ht="135" x14ac:dyDescent="0.25">
      <c r="A339" s="4">
        <v>338</v>
      </c>
      <c r="B339" s="5">
        <v>1.9148936170212769E-2</v>
      </c>
      <c r="C339" s="5">
        <v>1.204819277108434E-2</v>
      </c>
      <c r="D339" s="5">
        <v>2E-3</v>
      </c>
      <c r="E339" s="5">
        <v>5.8732612055641424E-3</v>
      </c>
      <c r="F339" s="2" t="s">
        <v>678</v>
      </c>
      <c r="G339" s="2" t="s">
        <v>679</v>
      </c>
    </row>
    <row r="340" spans="1:7" ht="135" x14ac:dyDescent="0.25">
      <c r="A340" s="4">
        <v>339</v>
      </c>
      <c r="B340" s="5">
        <v>0.1042553191489362</v>
      </c>
      <c r="C340" s="5">
        <v>1.6867469879518069E-2</v>
      </c>
      <c r="D340" s="5">
        <v>2E-3</v>
      </c>
      <c r="E340" s="5">
        <v>3.9258114374034002E-2</v>
      </c>
      <c r="F340" s="2" t="s">
        <v>680</v>
      </c>
      <c r="G340" s="2" t="s">
        <v>681</v>
      </c>
    </row>
    <row r="341" spans="1:7" ht="150" x14ac:dyDescent="0.25">
      <c r="A341" s="4">
        <v>340</v>
      </c>
      <c r="B341" s="5">
        <v>0.26382978723404249</v>
      </c>
      <c r="C341" s="5">
        <v>0.4361445783132531</v>
      </c>
      <c r="D341" s="5">
        <v>6.9000000000000006E-2</v>
      </c>
      <c r="E341" s="5">
        <v>1.561051004636785E-2</v>
      </c>
      <c r="F341" s="2" t="s">
        <v>682</v>
      </c>
      <c r="G341" s="2" t="s">
        <v>683</v>
      </c>
    </row>
    <row r="342" spans="1:7" ht="135" x14ac:dyDescent="0.25">
      <c r="A342" s="4">
        <v>341</v>
      </c>
      <c r="B342" s="5">
        <v>0.62765957446808507</v>
      </c>
      <c r="C342" s="5">
        <v>0.22289156626506029</v>
      </c>
      <c r="D342" s="5">
        <v>0.57000000000000006</v>
      </c>
      <c r="E342" s="5">
        <v>0</v>
      </c>
      <c r="F342" s="2" t="s">
        <v>684</v>
      </c>
      <c r="G342" s="2" t="s">
        <v>685</v>
      </c>
    </row>
    <row r="343" spans="1:7" ht="300" x14ac:dyDescent="0.25">
      <c r="A343" s="4">
        <v>342</v>
      </c>
      <c r="B343" s="5">
        <v>0.36702127659574468</v>
      </c>
      <c r="C343" s="5">
        <v>0.1445783132530121</v>
      </c>
      <c r="D343" s="5">
        <v>1.4999999999999999E-2</v>
      </c>
      <c r="E343" s="5">
        <v>0.1105100463678516</v>
      </c>
      <c r="F343" s="2" t="s">
        <v>686</v>
      </c>
      <c r="G343" s="2" t="s">
        <v>687</v>
      </c>
    </row>
    <row r="344" spans="1:7" ht="135" x14ac:dyDescent="0.25">
      <c r="A344" s="4">
        <v>343</v>
      </c>
      <c r="B344" s="5">
        <v>0.42872340425531907</v>
      </c>
      <c r="C344" s="5">
        <v>0.127710843373494</v>
      </c>
      <c r="D344" s="5">
        <v>2.1999999999999999E-2</v>
      </c>
      <c r="E344" s="5">
        <v>0.131839258114374</v>
      </c>
      <c r="F344" s="2" t="s">
        <v>688</v>
      </c>
      <c r="G344" s="2" t="s">
        <v>689</v>
      </c>
    </row>
    <row r="345" spans="1:7" ht="165" x14ac:dyDescent="0.25">
      <c r="A345" s="4">
        <v>344</v>
      </c>
      <c r="B345" s="5">
        <v>0.37765957446808512</v>
      </c>
      <c r="C345" s="5">
        <v>0.21445783132530119</v>
      </c>
      <c r="D345" s="5">
        <v>4.5999999999999999E-2</v>
      </c>
      <c r="E345" s="5">
        <v>9.381761978361669E-2</v>
      </c>
      <c r="F345" s="2" t="s">
        <v>690</v>
      </c>
      <c r="G345" s="2" t="s">
        <v>691</v>
      </c>
    </row>
    <row r="346" spans="1:7" ht="120" x14ac:dyDescent="0.25">
      <c r="A346" s="4">
        <v>345</v>
      </c>
      <c r="B346" s="5">
        <v>0.12978723404255321</v>
      </c>
      <c r="C346" s="5">
        <v>4.2168674698795178E-2</v>
      </c>
      <c r="D346" s="5">
        <v>4.4999999999999998E-2</v>
      </c>
      <c r="E346" s="5">
        <v>2.704791344667697E-2</v>
      </c>
      <c r="F346" s="2" t="s">
        <v>692</v>
      </c>
      <c r="G346" s="2" t="s">
        <v>693</v>
      </c>
    </row>
    <row r="347" spans="1:7" ht="180" x14ac:dyDescent="0.25">
      <c r="A347" s="4">
        <v>346</v>
      </c>
      <c r="B347" s="5">
        <v>0.57234042553191489</v>
      </c>
      <c r="C347" s="5">
        <v>0.16385542168674699</v>
      </c>
      <c r="D347" s="5">
        <v>0.30299999999999999</v>
      </c>
      <c r="E347" s="5">
        <v>8.12982998454405E-2</v>
      </c>
      <c r="F347" s="2" t="s">
        <v>694</v>
      </c>
      <c r="G347" s="2" t="s">
        <v>695</v>
      </c>
    </row>
    <row r="348" spans="1:7" ht="270" x14ac:dyDescent="0.25">
      <c r="A348" s="4">
        <v>347</v>
      </c>
      <c r="B348" s="5">
        <v>0.55744680851063833</v>
      </c>
      <c r="C348" s="5">
        <v>0.16024096385542169</v>
      </c>
      <c r="D348" s="5">
        <v>0.29199999999999998</v>
      </c>
      <c r="E348" s="5">
        <v>8.0370942812983001E-2</v>
      </c>
      <c r="F348" s="2" t="s">
        <v>696</v>
      </c>
      <c r="G348" s="2" t="s">
        <v>697</v>
      </c>
    </row>
    <row r="349" spans="1:7" ht="255" x14ac:dyDescent="0.25">
      <c r="A349" s="4">
        <v>348</v>
      </c>
      <c r="B349" s="5">
        <v>0.60106382978723405</v>
      </c>
      <c r="C349" s="5">
        <v>0.21927710843373491</v>
      </c>
      <c r="D349" s="5">
        <v>0.38400000000000001</v>
      </c>
      <c r="E349" s="5">
        <v>5.6877897990726421E-2</v>
      </c>
      <c r="F349" s="2" t="s">
        <v>698</v>
      </c>
      <c r="G349" s="2" t="s">
        <v>699</v>
      </c>
    </row>
    <row r="350" spans="1:7" ht="135" x14ac:dyDescent="0.25">
      <c r="A350" s="4">
        <v>349</v>
      </c>
      <c r="B350" s="5">
        <v>7.4468085106382975E-2</v>
      </c>
      <c r="C350" s="5">
        <v>7.2289156626506026E-3</v>
      </c>
      <c r="D350" s="5">
        <v>0</v>
      </c>
      <c r="E350" s="5">
        <v>2.9211746522411128E-2</v>
      </c>
      <c r="F350" s="2" t="s">
        <v>700</v>
      </c>
      <c r="G350" s="2" t="s">
        <v>701</v>
      </c>
    </row>
    <row r="351" spans="1:7" ht="409.5" x14ac:dyDescent="0.25">
      <c r="A351" s="4">
        <v>350</v>
      </c>
      <c r="B351" s="5">
        <v>0.22340425531914901</v>
      </c>
      <c r="C351" s="5">
        <v>4.8192771084337352E-2</v>
      </c>
      <c r="D351" s="5">
        <v>0.125</v>
      </c>
      <c r="E351" s="5">
        <v>3.1839258114374033E-2</v>
      </c>
      <c r="F351" s="2" t="s">
        <v>702</v>
      </c>
      <c r="G351" s="2" t="s">
        <v>703</v>
      </c>
    </row>
    <row r="352" spans="1:7" ht="195" x14ac:dyDescent="0.25">
      <c r="A352" s="4">
        <v>351</v>
      </c>
      <c r="B352" s="5">
        <v>0.16670212765957451</v>
      </c>
      <c r="C352" s="5">
        <v>3.6144578313253017E-2</v>
      </c>
      <c r="D352" s="5">
        <v>1.7000000000000001E-2</v>
      </c>
      <c r="E352" s="5">
        <v>5.0540958268933553E-2</v>
      </c>
      <c r="F352" s="2" t="s">
        <v>704</v>
      </c>
      <c r="G352" s="2" t="s">
        <v>705</v>
      </c>
    </row>
    <row r="353" spans="1:7" ht="165" x14ac:dyDescent="0.25">
      <c r="A353" s="4">
        <v>352</v>
      </c>
      <c r="B353" s="5">
        <v>0.16170212765957451</v>
      </c>
      <c r="C353" s="5">
        <v>0</v>
      </c>
      <c r="D353" s="5">
        <v>0</v>
      </c>
      <c r="E353" s="5">
        <v>5.8114374034003102E-2</v>
      </c>
      <c r="F353" s="2" t="s">
        <v>706</v>
      </c>
      <c r="G353" s="2" t="s">
        <v>707</v>
      </c>
    </row>
    <row r="354" spans="1:7" ht="409.5" x14ac:dyDescent="0.25">
      <c r="A354" s="4">
        <v>353</v>
      </c>
      <c r="B354" s="5">
        <v>4.7659574468085102E-2</v>
      </c>
      <c r="C354" s="5">
        <v>0</v>
      </c>
      <c r="D354" s="5">
        <v>0</v>
      </c>
      <c r="E354" s="5">
        <v>1.7465224111282849E-2</v>
      </c>
      <c r="F354" s="2" t="s">
        <v>708</v>
      </c>
      <c r="G354" s="2" t="s">
        <v>709</v>
      </c>
    </row>
    <row r="355" spans="1:7" ht="195" x14ac:dyDescent="0.25">
      <c r="A355" s="4">
        <v>354</v>
      </c>
      <c r="B355" s="5">
        <v>0.28723404255319152</v>
      </c>
      <c r="C355" s="5">
        <v>0.1481927710843374</v>
      </c>
      <c r="D355" s="5">
        <v>0.159</v>
      </c>
      <c r="E355" s="5">
        <v>2.9829984544049459E-2</v>
      </c>
      <c r="F355" s="2" t="s">
        <v>710</v>
      </c>
      <c r="G355" s="2" t="s">
        <v>711</v>
      </c>
    </row>
    <row r="356" spans="1:7" ht="120" x14ac:dyDescent="0.25">
      <c r="A356" s="4">
        <v>355</v>
      </c>
      <c r="B356" s="5">
        <v>0.3425531914893617</v>
      </c>
      <c r="C356" s="5">
        <v>2.891566265060241E-2</v>
      </c>
      <c r="D356" s="5">
        <v>6.0000000000000001E-3</v>
      </c>
      <c r="E356" s="5">
        <v>0.11839258114374029</v>
      </c>
      <c r="F356" s="2" t="s">
        <v>712</v>
      </c>
      <c r="G356" s="2" t="s">
        <v>713</v>
      </c>
    </row>
    <row r="357" spans="1:7" ht="360" x14ac:dyDescent="0.25">
      <c r="A357" s="4">
        <v>356</v>
      </c>
      <c r="B357" s="5">
        <v>0.14574468085106379</v>
      </c>
      <c r="C357" s="5">
        <v>7.3493975903614464E-2</v>
      </c>
      <c r="D357" s="5">
        <v>3.2000000000000001E-2</v>
      </c>
      <c r="E357" s="5">
        <v>3.2457496136012363E-2</v>
      </c>
      <c r="F357" s="2" t="s">
        <v>714</v>
      </c>
      <c r="G357" s="2" t="s">
        <v>715</v>
      </c>
    </row>
    <row r="358" spans="1:7" ht="225" x14ac:dyDescent="0.25">
      <c r="A358" s="4">
        <v>357</v>
      </c>
      <c r="B358" s="5">
        <v>9.3617021276595741E-2</v>
      </c>
      <c r="C358" s="5">
        <v>9.6385542168674707E-3</v>
      </c>
      <c r="D358" s="5">
        <v>3.0000000000000001E-3</v>
      </c>
      <c r="E358" s="5">
        <v>3.2302936630602783E-2</v>
      </c>
      <c r="F358" s="2" t="s">
        <v>716</v>
      </c>
      <c r="G358" s="2" t="s">
        <v>717</v>
      </c>
    </row>
    <row r="359" spans="1:7" ht="105" x14ac:dyDescent="0.25">
      <c r="A359" s="4">
        <v>358</v>
      </c>
      <c r="B359" s="5">
        <v>0.1074468085106383</v>
      </c>
      <c r="C359" s="5">
        <v>2.5301204819277109E-2</v>
      </c>
      <c r="D359" s="5">
        <v>2E-3</v>
      </c>
      <c r="E359" s="5">
        <v>3.5857805255023183E-2</v>
      </c>
      <c r="F359" s="2" t="s">
        <v>718</v>
      </c>
      <c r="G359" s="2" t="s">
        <v>719</v>
      </c>
    </row>
    <row r="360" spans="1:7" ht="150" x14ac:dyDescent="0.25">
      <c r="A360" s="4">
        <v>359</v>
      </c>
      <c r="B360" s="5">
        <v>9.3617021276595741E-2</v>
      </c>
      <c r="C360" s="5">
        <v>7.2289156626506026E-3</v>
      </c>
      <c r="D360" s="5">
        <v>3.0000000000000001E-3</v>
      </c>
      <c r="E360" s="5">
        <v>3.2302936630602783E-2</v>
      </c>
      <c r="F360" s="2" t="s">
        <v>720</v>
      </c>
      <c r="G360" s="2" t="s">
        <v>721</v>
      </c>
    </row>
    <row r="361" spans="1:7" ht="270" x14ac:dyDescent="0.25">
      <c r="A361" s="4">
        <v>360</v>
      </c>
      <c r="B361" s="5">
        <v>0.1063829787234043</v>
      </c>
      <c r="C361" s="5">
        <v>1.084337349397591E-2</v>
      </c>
      <c r="D361" s="5">
        <v>3.0000000000000001E-3</v>
      </c>
      <c r="E361" s="5">
        <v>3.6321483771251932E-2</v>
      </c>
      <c r="F361" s="2" t="s">
        <v>722</v>
      </c>
      <c r="G361" s="2" t="s">
        <v>723</v>
      </c>
    </row>
    <row r="362" spans="1:7" ht="285" x14ac:dyDescent="0.25">
      <c r="A362" s="4">
        <v>361</v>
      </c>
      <c r="B362" s="5">
        <v>1.9148936170212769E-2</v>
      </c>
      <c r="C362" s="5">
        <v>9.6385542168674707E-3</v>
      </c>
      <c r="D362" s="5">
        <v>2E-3</v>
      </c>
      <c r="E362" s="5">
        <v>6.33693972179289E-3</v>
      </c>
      <c r="F362" s="2" t="s">
        <v>724</v>
      </c>
      <c r="G362" s="2" t="s">
        <v>725</v>
      </c>
    </row>
    <row r="363" spans="1:7" ht="409.5" x14ac:dyDescent="0.25">
      <c r="A363" s="4">
        <v>362</v>
      </c>
      <c r="B363" s="5">
        <v>1.3829787234042551E-2</v>
      </c>
      <c r="C363" s="5">
        <v>3.6144578313253009E-3</v>
      </c>
      <c r="D363" s="5">
        <v>6.0000000000000001E-3</v>
      </c>
      <c r="E363" s="5">
        <v>2.4729520865533232E-3</v>
      </c>
      <c r="F363" s="2" t="s">
        <v>726</v>
      </c>
      <c r="G363" s="2" t="s">
        <v>727</v>
      </c>
    </row>
    <row r="364" spans="1:7" ht="255" x14ac:dyDescent="0.25">
      <c r="A364" s="4">
        <v>363</v>
      </c>
      <c r="B364" s="5">
        <v>7.2340425531914901E-2</v>
      </c>
      <c r="C364" s="5">
        <v>8.4337349397590362E-3</v>
      </c>
      <c r="D364" s="5">
        <v>1E-3</v>
      </c>
      <c r="E364" s="5">
        <v>2.782071097372488E-2</v>
      </c>
      <c r="F364" s="2" t="s">
        <v>728</v>
      </c>
      <c r="G364" s="2" t="s">
        <v>729</v>
      </c>
    </row>
    <row r="365" spans="1:7" ht="150" x14ac:dyDescent="0.25">
      <c r="A365" s="4">
        <v>364</v>
      </c>
      <c r="B365" s="5">
        <v>0.1063829787234043</v>
      </c>
      <c r="C365" s="5">
        <v>9.6385542168674707E-3</v>
      </c>
      <c r="D365" s="5">
        <v>2E-3</v>
      </c>
      <c r="E365" s="5">
        <v>3.6785162287480681E-2</v>
      </c>
      <c r="F365" s="2" t="s">
        <v>730</v>
      </c>
      <c r="G365" s="2" t="s">
        <v>731</v>
      </c>
    </row>
    <row r="366" spans="1:7" ht="255" x14ac:dyDescent="0.25">
      <c r="A366" s="4">
        <v>365</v>
      </c>
      <c r="B366" s="5">
        <v>0.10106382978723399</v>
      </c>
      <c r="C366" s="5">
        <v>1.204819277108434E-2</v>
      </c>
      <c r="D366" s="5">
        <v>1E-3</v>
      </c>
      <c r="E366" s="5">
        <v>3.4930448222565691E-2</v>
      </c>
      <c r="F366" s="2" t="s">
        <v>732</v>
      </c>
      <c r="G366" s="2" t="s">
        <v>733</v>
      </c>
    </row>
    <row r="367" spans="1:7" ht="225" x14ac:dyDescent="0.25">
      <c r="A367" s="4">
        <v>366</v>
      </c>
      <c r="B367" s="5">
        <v>0.1063829787234043</v>
      </c>
      <c r="C367" s="5">
        <v>9.6385542168674707E-3</v>
      </c>
      <c r="D367" s="5">
        <v>2E-3</v>
      </c>
      <c r="E367" s="5">
        <v>3.6785162287480681E-2</v>
      </c>
      <c r="F367" s="2" t="s">
        <v>734</v>
      </c>
      <c r="G367" s="2" t="s">
        <v>735</v>
      </c>
    </row>
    <row r="368" spans="1:7" ht="135" x14ac:dyDescent="0.25">
      <c r="A368" s="4">
        <v>367</v>
      </c>
      <c r="B368" s="5">
        <v>8.1914893617021284E-2</v>
      </c>
      <c r="C368" s="5">
        <v>7.2289156626506026E-3</v>
      </c>
      <c r="D368" s="5">
        <v>2E-3</v>
      </c>
      <c r="E368" s="5">
        <v>2.8438948995363211E-2</v>
      </c>
      <c r="F368" s="2" t="s">
        <v>736</v>
      </c>
      <c r="G368" s="2" t="s">
        <v>737</v>
      </c>
    </row>
    <row r="369" spans="1:7" ht="165" x14ac:dyDescent="0.25">
      <c r="A369" s="4">
        <v>368</v>
      </c>
      <c r="B369" s="5">
        <v>0.3595744680851064</v>
      </c>
      <c r="C369" s="5">
        <v>1.8072289156626509E-2</v>
      </c>
      <c r="D369" s="5">
        <v>6.9999999999999993E-3</v>
      </c>
      <c r="E369" s="5">
        <v>0.12565687789799071</v>
      </c>
      <c r="F369" s="2" t="s">
        <v>738</v>
      </c>
      <c r="G369" s="2" t="s">
        <v>739</v>
      </c>
    </row>
    <row r="370" spans="1:7" ht="135" x14ac:dyDescent="0.25">
      <c r="A370" s="4">
        <v>369</v>
      </c>
      <c r="B370" s="5">
        <v>0.20319148936170209</v>
      </c>
      <c r="C370" s="5">
        <v>5.4216867469879519E-2</v>
      </c>
      <c r="D370" s="5">
        <v>1.4999999999999999E-2</v>
      </c>
      <c r="E370" s="5">
        <v>6.1360123647604327E-2</v>
      </c>
      <c r="F370" s="2" t="s">
        <v>740</v>
      </c>
      <c r="G370" s="2" t="s">
        <v>741</v>
      </c>
    </row>
    <row r="371" spans="1:7" ht="135" x14ac:dyDescent="0.25">
      <c r="A371" s="4">
        <v>370</v>
      </c>
      <c r="B371" s="5">
        <v>0.36914893617021283</v>
      </c>
      <c r="C371" s="5">
        <v>1.566265060240964E-2</v>
      </c>
      <c r="D371" s="5">
        <v>6.9999999999999993E-3</v>
      </c>
      <c r="E371" s="5">
        <v>0.12952086553323031</v>
      </c>
      <c r="F371" s="2" t="s">
        <v>742</v>
      </c>
      <c r="G371" s="2" t="s">
        <v>743</v>
      </c>
    </row>
    <row r="372" spans="1:7" ht="180" x14ac:dyDescent="0.25">
      <c r="A372" s="4">
        <v>371</v>
      </c>
      <c r="B372" s="5">
        <v>0.20744680851063829</v>
      </c>
      <c r="C372" s="5">
        <v>4.8192771084337354E-3</v>
      </c>
      <c r="D372" s="5">
        <v>1.7000000000000001E-2</v>
      </c>
      <c r="E372" s="5">
        <v>6.8624420401854708E-2</v>
      </c>
      <c r="F372" s="2" t="s">
        <v>744</v>
      </c>
      <c r="G372" s="2" t="s">
        <v>745</v>
      </c>
    </row>
    <row r="373" spans="1:7" ht="240" x14ac:dyDescent="0.25">
      <c r="A373" s="4">
        <v>372</v>
      </c>
      <c r="B373" s="5">
        <v>0.41382978723404262</v>
      </c>
      <c r="C373" s="5">
        <v>0</v>
      </c>
      <c r="D373" s="5">
        <v>0</v>
      </c>
      <c r="E373" s="5">
        <v>0.14064914992272021</v>
      </c>
      <c r="F373" s="2" t="s">
        <v>746</v>
      </c>
      <c r="G373" s="2" t="s">
        <v>747</v>
      </c>
    </row>
    <row r="374" spans="1:7" ht="255" x14ac:dyDescent="0.25">
      <c r="A374" s="4">
        <v>373</v>
      </c>
      <c r="B374" s="5">
        <v>0.10106382978723399</v>
      </c>
      <c r="C374" s="5">
        <v>1.8072289156626509E-2</v>
      </c>
      <c r="D374" s="5">
        <v>1E-3</v>
      </c>
      <c r="E374" s="5">
        <v>3.4621329211746522E-2</v>
      </c>
      <c r="F374" s="2" t="s">
        <v>748</v>
      </c>
      <c r="G374" s="2" t="s">
        <v>749</v>
      </c>
    </row>
    <row r="375" spans="1:7" ht="360" x14ac:dyDescent="0.25">
      <c r="A375" s="4">
        <v>374</v>
      </c>
      <c r="B375" s="5">
        <v>0.13936170212765961</v>
      </c>
      <c r="C375" s="5">
        <v>1.3253012048192771E-2</v>
      </c>
      <c r="D375" s="5">
        <v>2E-3</v>
      </c>
      <c r="E375" s="5">
        <v>4.837712519319938E-2</v>
      </c>
      <c r="F375" s="2" t="s">
        <v>750</v>
      </c>
      <c r="G375" s="2" t="s">
        <v>751</v>
      </c>
    </row>
    <row r="376" spans="1:7" ht="225" x14ac:dyDescent="0.25">
      <c r="A376" s="4">
        <v>375</v>
      </c>
      <c r="B376" s="5">
        <v>0.29148936170212769</v>
      </c>
      <c r="C376" s="5">
        <v>2.0481927710843371E-2</v>
      </c>
      <c r="D376" s="5">
        <v>5.4000000000000013E-2</v>
      </c>
      <c r="E376" s="5">
        <v>8.5780525502318392E-2</v>
      </c>
      <c r="F376" s="2" t="s">
        <v>752</v>
      </c>
      <c r="G376" s="2" t="s">
        <v>753</v>
      </c>
    </row>
    <row r="377" spans="1:7" ht="150" x14ac:dyDescent="0.25">
      <c r="A377" s="4">
        <v>376</v>
      </c>
      <c r="B377" s="5">
        <v>0.43297872340425531</v>
      </c>
      <c r="C377" s="5">
        <v>7.7108433734939766E-2</v>
      </c>
      <c r="D377" s="5">
        <v>0.28199999999999997</v>
      </c>
      <c r="E377" s="5">
        <v>4.945904173106646E-2</v>
      </c>
      <c r="F377" s="2" t="s">
        <v>754</v>
      </c>
      <c r="G377" s="2" t="s">
        <v>755</v>
      </c>
    </row>
    <row r="378" spans="1:7" ht="285" x14ac:dyDescent="0.25">
      <c r="A378" s="4">
        <v>377</v>
      </c>
      <c r="B378" s="5">
        <v>3.7234042553191488E-2</v>
      </c>
      <c r="C378" s="5">
        <v>2.0481927710843371E-2</v>
      </c>
      <c r="D378" s="5">
        <v>2E-3</v>
      </c>
      <c r="E378" s="5">
        <v>1.1901081916537871E-2</v>
      </c>
      <c r="F378" s="2" t="s">
        <v>756</v>
      </c>
      <c r="G378" s="2" t="s">
        <v>757</v>
      </c>
    </row>
    <row r="379" spans="1:7" ht="180" x14ac:dyDescent="0.25">
      <c r="A379" s="4">
        <v>378</v>
      </c>
      <c r="B379" s="5">
        <v>0.37234042553191488</v>
      </c>
      <c r="C379" s="5">
        <v>1.6867469879518069E-2</v>
      </c>
      <c r="D379" s="5">
        <v>0.14399999999999999</v>
      </c>
      <c r="E379" s="5">
        <v>8.2843894899536322E-2</v>
      </c>
      <c r="F379" s="2" t="s">
        <v>758</v>
      </c>
      <c r="G379" s="2" t="s">
        <v>759</v>
      </c>
    </row>
    <row r="380" spans="1:7" ht="135" x14ac:dyDescent="0.25">
      <c r="A380" s="4">
        <v>379</v>
      </c>
      <c r="B380" s="5">
        <v>0.49148936170212759</v>
      </c>
      <c r="C380" s="5">
        <v>3.7349397590361447E-2</v>
      </c>
      <c r="D380" s="5">
        <v>0.24399999999999999</v>
      </c>
      <c r="E380" s="5">
        <v>8.9180834621329211E-2</v>
      </c>
      <c r="F380" s="2" t="s">
        <v>760</v>
      </c>
      <c r="G380" s="2" t="s">
        <v>761</v>
      </c>
    </row>
    <row r="381" spans="1:7" ht="120" x14ac:dyDescent="0.25">
      <c r="A381" s="4">
        <v>380</v>
      </c>
      <c r="B381" s="5">
        <v>7.9787234042553196E-2</v>
      </c>
      <c r="C381" s="5">
        <v>9.8795180722891562E-2</v>
      </c>
      <c r="D381" s="5">
        <v>0.02</v>
      </c>
      <c r="E381" s="5">
        <v>9.2735703245749607E-3</v>
      </c>
      <c r="F381" s="2" t="s">
        <v>762</v>
      </c>
      <c r="G381" s="2" t="s">
        <v>763</v>
      </c>
    </row>
    <row r="382" spans="1:7" ht="150" x14ac:dyDescent="0.25">
      <c r="A382" s="4">
        <v>381</v>
      </c>
      <c r="B382" s="5">
        <v>0.38297872340425532</v>
      </c>
      <c r="C382" s="5">
        <v>1.566265060240964E-2</v>
      </c>
      <c r="D382" s="5">
        <v>6.4000000000000001E-2</v>
      </c>
      <c r="E382" s="5">
        <v>0.1148377125193199</v>
      </c>
      <c r="F382" s="2" t="s">
        <v>764</v>
      </c>
      <c r="G382" s="2" t="s">
        <v>765</v>
      </c>
    </row>
    <row r="383" spans="1:7" ht="135" x14ac:dyDescent="0.25">
      <c r="A383" s="4">
        <v>382</v>
      </c>
      <c r="B383" s="5">
        <v>0.1823404255319149</v>
      </c>
      <c r="C383" s="5">
        <v>4.8192771084337352E-2</v>
      </c>
      <c r="D383" s="5">
        <v>0.04</v>
      </c>
      <c r="E383" s="5">
        <v>4.945904173106646E-2</v>
      </c>
      <c r="F383" s="2" t="s">
        <v>766</v>
      </c>
      <c r="G383" s="2" t="s">
        <v>767</v>
      </c>
    </row>
    <row r="384" spans="1:7" ht="255" x14ac:dyDescent="0.25">
      <c r="A384" s="4">
        <v>383</v>
      </c>
      <c r="B384" s="5">
        <v>0.1531914893617021</v>
      </c>
      <c r="C384" s="5">
        <v>1.3253012048192771E-2</v>
      </c>
      <c r="D384" s="5">
        <v>4.0000000000000001E-3</v>
      </c>
      <c r="E384" s="5">
        <v>5.2704791344667698E-2</v>
      </c>
      <c r="F384" s="2" t="s">
        <v>768</v>
      </c>
      <c r="G384" s="2" t="s">
        <v>769</v>
      </c>
    </row>
    <row r="385" spans="1:7" ht="195" x14ac:dyDescent="0.25">
      <c r="A385" s="4">
        <v>384</v>
      </c>
      <c r="B385" s="5">
        <v>0.21702127659574469</v>
      </c>
      <c r="C385" s="5">
        <v>6.024096385542169E-3</v>
      </c>
      <c r="D385" s="5">
        <v>1.4E-2</v>
      </c>
      <c r="E385" s="5">
        <v>7.3261205564142187E-2</v>
      </c>
      <c r="F385" s="2" t="s">
        <v>770</v>
      </c>
      <c r="G385" s="2" t="s">
        <v>771</v>
      </c>
    </row>
    <row r="386" spans="1:7" ht="150" x14ac:dyDescent="0.25">
      <c r="A386" s="4">
        <v>385</v>
      </c>
      <c r="B386" s="5">
        <v>0.1212765957446809</v>
      </c>
      <c r="C386" s="5">
        <v>0.19638554216867471</v>
      </c>
      <c r="D386" s="5">
        <v>4.5999999999999999E-2</v>
      </c>
      <c r="E386" s="5">
        <v>1.236476043276662E-3</v>
      </c>
      <c r="F386" s="2" t="s">
        <v>772</v>
      </c>
      <c r="G386" s="2" t="s">
        <v>110</v>
      </c>
    </row>
    <row r="387" spans="1:7" ht="225" x14ac:dyDescent="0.25">
      <c r="A387" s="4">
        <v>386</v>
      </c>
      <c r="B387" s="5">
        <v>0.1117021276595745</v>
      </c>
      <c r="C387" s="5">
        <v>0.2</v>
      </c>
      <c r="D387" s="5">
        <v>3.3000000000000002E-2</v>
      </c>
      <c r="E387" s="5">
        <v>1.5455950540958271E-3</v>
      </c>
      <c r="F387" s="2" t="s">
        <v>773</v>
      </c>
      <c r="G387" s="2" t="s">
        <v>774</v>
      </c>
    </row>
    <row r="388" spans="1:7" ht="165" x14ac:dyDescent="0.25">
      <c r="A388" s="4">
        <v>387</v>
      </c>
      <c r="B388" s="5">
        <v>0.15</v>
      </c>
      <c r="C388" s="5">
        <v>0.18072289156626509</v>
      </c>
      <c r="D388" s="5">
        <v>8.1000000000000003E-2</v>
      </c>
      <c r="E388" s="5">
        <v>1.3910355486862439E-3</v>
      </c>
      <c r="F388" s="2" t="s">
        <v>775</v>
      </c>
      <c r="G388" s="2" t="s">
        <v>776</v>
      </c>
    </row>
    <row r="389" spans="1:7" ht="409.5" x14ac:dyDescent="0.25">
      <c r="A389" s="4">
        <v>388</v>
      </c>
      <c r="B389" s="5">
        <v>5.6382978723404253E-2</v>
      </c>
      <c r="C389" s="5">
        <v>1.9277108433734941E-2</v>
      </c>
      <c r="D389" s="5">
        <v>1.6E-2</v>
      </c>
      <c r="E389" s="5">
        <v>1.360123647604328E-2</v>
      </c>
      <c r="F389" s="2" t="s">
        <v>777</v>
      </c>
      <c r="G389" s="2" t="s">
        <v>778</v>
      </c>
    </row>
    <row r="390" spans="1:7" ht="285" x14ac:dyDescent="0.25">
      <c r="A390" s="4">
        <v>389</v>
      </c>
      <c r="B390" s="5">
        <v>0.1702127659574468</v>
      </c>
      <c r="C390" s="5">
        <v>3.9759036144578312E-2</v>
      </c>
      <c r="D390" s="5">
        <v>9.1999999999999998E-2</v>
      </c>
      <c r="E390" s="5">
        <v>2.472952086553323E-2</v>
      </c>
      <c r="F390" s="2" t="s">
        <v>779</v>
      </c>
      <c r="G390" s="2" t="s">
        <v>780</v>
      </c>
    </row>
    <row r="391" spans="1:7" ht="135" x14ac:dyDescent="0.25">
      <c r="A391" s="4">
        <v>390</v>
      </c>
      <c r="B391" s="5">
        <v>0.39148936170212773</v>
      </c>
      <c r="C391" s="5">
        <v>0</v>
      </c>
      <c r="D391" s="5">
        <v>0</v>
      </c>
      <c r="E391" s="5">
        <v>0.14683153013910349</v>
      </c>
      <c r="F391" s="2" t="s">
        <v>781</v>
      </c>
      <c r="G391" s="2" t="s">
        <v>782</v>
      </c>
    </row>
    <row r="392" spans="1:7" ht="135" x14ac:dyDescent="0.25">
      <c r="A392" s="4">
        <v>391</v>
      </c>
      <c r="B392" s="5">
        <v>0.41063829787234041</v>
      </c>
      <c r="C392" s="5">
        <v>3.6144578313253017E-2</v>
      </c>
      <c r="D392" s="5">
        <v>0.1</v>
      </c>
      <c r="E392" s="5">
        <v>0.1174652241112828</v>
      </c>
      <c r="F392" s="2" t="s">
        <v>783</v>
      </c>
      <c r="G392" s="2" t="s">
        <v>784</v>
      </c>
    </row>
    <row r="393" spans="1:7" ht="375" x14ac:dyDescent="0.25">
      <c r="A393" s="4">
        <v>392</v>
      </c>
      <c r="B393" s="5">
        <v>0.37872340425531908</v>
      </c>
      <c r="C393" s="5">
        <v>4.8192771084337354E-3</v>
      </c>
      <c r="D393" s="5">
        <v>5.0000000000000001E-3</v>
      </c>
      <c r="E393" s="5">
        <v>0.14003091190108191</v>
      </c>
      <c r="F393" s="2" t="s">
        <v>785</v>
      </c>
      <c r="G393" s="2" t="s">
        <v>786</v>
      </c>
    </row>
    <row r="394" spans="1:7" ht="240" x14ac:dyDescent="0.25">
      <c r="A394" s="4">
        <v>393</v>
      </c>
      <c r="B394" s="5">
        <v>0.41914893617021282</v>
      </c>
      <c r="C394" s="5">
        <v>0</v>
      </c>
      <c r="D394" s="5">
        <v>0</v>
      </c>
      <c r="E394" s="5">
        <v>0.1452859350850077</v>
      </c>
      <c r="F394" s="2" t="s">
        <v>787</v>
      </c>
      <c r="G394" s="2" t="s">
        <v>788</v>
      </c>
    </row>
    <row r="395" spans="1:7" ht="300" x14ac:dyDescent="0.25">
      <c r="A395" s="4">
        <v>394</v>
      </c>
      <c r="B395" s="5">
        <v>5.5319148936170223E-2</v>
      </c>
      <c r="C395" s="5">
        <v>0.1204819277108434</v>
      </c>
      <c r="D395" s="5">
        <v>5.0000000000000001E-3</v>
      </c>
      <c r="E395" s="5">
        <v>2.7820710973724878E-3</v>
      </c>
      <c r="F395" s="2" t="s">
        <v>789</v>
      </c>
      <c r="G395" s="2" t="s">
        <v>790</v>
      </c>
    </row>
    <row r="396" spans="1:7" ht="105" x14ac:dyDescent="0.25">
      <c r="A396" s="4">
        <v>395</v>
      </c>
      <c r="B396" s="5">
        <v>0.11276595744680851</v>
      </c>
      <c r="C396" s="5">
        <v>0.1987951807228916</v>
      </c>
      <c r="D396" s="5">
        <v>3.3000000000000002E-2</v>
      </c>
      <c r="E396" s="5">
        <v>3.8639876352395668E-3</v>
      </c>
      <c r="F396" s="2" t="s">
        <v>791</v>
      </c>
      <c r="G396" s="2" t="s">
        <v>792</v>
      </c>
    </row>
    <row r="397" spans="1:7" ht="240" x14ac:dyDescent="0.25">
      <c r="A397" s="4">
        <v>396</v>
      </c>
      <c r="B397" s="5">
        <v>0.1574468085106383</v>
      </c>
      <c r="C397" s="5">
        <v>0.1204819277108434</v>
      </c>
      <c r="D397" s="5">
        <v>9.8000000000000004E-2</v>
      </c>
      <c r="E397" s="5">
        <v>7.7279752704791354E-3</v>
      </c>
      <c r="F397" s="2" t="s">
        <v>793</v>
      </c>
      <c r="G397" s="2" t="s">
        <v>794</v>
      </c>
    </row>
    <row r="398" spans="1:7" ht="135" x14ac:dyDescent="0.25">
      <c r="A398" s="4">
        <v>397</v>
      </c>
      <c r="B398" s="5">
        <v>0.13404255319148939</v>
      </c>
      <c r="C398" s="5">
        <v>5.0602409638554217E-2</v>
      </c>
      <c r="D398" s="5">
        <v>9.4E-2</v>
      </c>
      <c r="E398" s="5">
        <v>9.5826893353941275E-3</v>
      </c>
      <c r="F398" s="2" t="s">
        <v>795</v>
      </c>
      <c r="G398" s="2" t="s">
        <v>796</v>
      </c>
    </row>
    <row r="399" spans="1:7" ht="225" x14ac:dyDescent="0.25">
      <c r="A399" s="4">
        <v>398</v>
      </c>
      <c r="B399" s="5">
        <v>0.1170212765957447</v>
      </c>
      <c r="C399" s="5">
        <v>7.1084337349397592E-2</v>
      </c>
      <c r="D399" s="5">
        <v>8.199999999999999E-2</v>
      </c>
      <c r="E399" s="5">
        <v>4.9459041731066463E-3</v>
      </c>
      <c r="F399" s="2" t="s">
        <v>797</v>
      </c>
      <c r="G399" s="2" t="s">
        <v>798</v>
      </c>
    </row>
    <row r="400" spans="1:7" ht="165" x14ac:dyDescent="0.25">
      <c r="A400" s="4">
        <v>399</v>
      </c>
      <c r="B400" s="5">
        <v>0.15212765957446811</v>
      </c>
      <c r="C400" s="5">
        <v>4.8192771084337352E-2</v>
      </c>
      <c r="D400" s="5">
        <v>0.114</v>
      </c>
      <c r="E400" s="5">
        <v>9.2735703245749607E-3</v>
      </c>
      <c r="F400" s="2" t="s">
        <v>799</v>
      </c>
      <c r="G400" s="2" t="s">
        <v>800</v>
      </c>
    </row>
    <row r="401" spans="1:7" ht="165" x14ac:dyDescent="0.25">
      <c r="A401" s="4">
        <v>400</v>
      </c>
      <c r="B401" s="5">
        <v>0.18723404255319151</v>
      </c>
      <c r="C401" s="5">
        <v>8.7951807228915671E-2</v>
      </c>
      <c r="D401" s="5">
        <v>0.14899999999999999</v>
      </c>
      <c r="E401" s="5">
        <v>4.9459041731066463E-3</v>
      </c>
      <c r="F401" s="2" t="s">
        <v>801</v>
      </c>
      <c r="G401" s="2" t="s">
        <v>802</v>
      </c>
    </row>
    <row r="402" spans="1:7" ht="150" x14ac:dyDescent="0.25">
      <c r="A402" s="4">
        <v>401</v>
      </c>
      <c r="B402" s="5">
        <v>0.1404255319148936</v>
      </c>
      <c r="C402" s="5">
        <v>0.108433734939759</v>
      </c>
      <c r="D402" s="5">
        <v>7.2000000000000008E-2</v>
      </c>
      <c r="E402" s="5">
        <v>1.205564142194745E-2</v>
      </c>
      <c r="F402" s="2" t="s">
        <v>803</v>
      </c>
      <c r="G402" s="2" t="s">
        <v>804</v>
      </c>
    </row>
    <row r="403" spans="1:7" ht="180" x14ac:dyDescent="0.25">
      <c r="A403" s="4">
        <v>402</v>
      </c>
      <c r="B403" s="5">
        <v>0.20425531914893619</v>
      </c>
      <c r="C403" s="5">
        <v>0.15301204819277109</v>
      </c>
      <c r="D403" s="5">
        <v>0.10100000000000001</v>
      </c>
      <c r="E403" s="5">
        <v>1.9629057187017001E-2</v>
      </c>
      <c r="F403" s="2" t="s">
        <v>805</v>
      </c>
      <c r="G403" s="2" t="s">
        <v>806</v>
      </c>
    </row>
    <row r="404" spans="1:7" ht="105" x14ac:dyDescent="0.25">
      <c r="A404" s="4">
        <v>403</v>
      </c>
      <c r="B404" s="5">
        <v>0.23191489361702131</v>
      </c>
      <c r="C404" s="5">
        <v>6.024096385542169E-3</v>
      </c>
      <c r="D404" s="5">
        <v>2.5000000000000001E-2</v>
      </c>
      <c r="E404" s="5">
        <v>7.4961360123647597E-2</v>
      </c>
      <c r="F404" s="2" t="s">
        <v>807</v>
      </c>
      <c r="G404" s="2" t="s">
        <v>808</v>
      </c>
    </row>
    <row r="405" spans="1:7" ht="165" x14ac:dyDescent="0.25">
      <c r="A405" s="4">
        <v>404</v>
      </c>
      <c r="B405" s="5">
        <v>0.41382978723404262</v>
      </c>
      <c r="C405" s="5">
        <v>0.20361445783132531</v>
      </c>
      <c r="D405" s="5">
        <v>0.35</v>
      </c>
      <c r="E405" s="5">
        <v>4.6367851622874798E-4</v>
      </c>
      <c r="F405" s="2" t="s">
        <v>809</v>
      </c>
      <c r="G405" s="2" t="s">
        <v>810</v>
      </c>
    </row>
    <row r="406" spans="1:7" ht="150" x14ac:dyDescent="0.25">
      <c r="A406" s="4">
        <v>405</v>
      </c>
      <c r="B406" s="5">
        <v>6.9148936170212769E-2</v>
      </c>
      <c r="C406" s="5">
        <v>0.1204819277108434</v>
      </c>
      <c r="D406" s="5">
        <v>0.01</v>
      </c>
      <c r="E406" s="5">
        <v>5.4095826893353939E-3</v>
      </c>
      <c r="F406" s="2" t="s">
        <v>811</v>
      </c>
      <c r="G406" s="2" t="s">
        <v>812</v>
      </c>
    </row>
    <row r="407" spans="1:7" ht="180" x14ac:dyDescent="0.25">
      <c r="A407" s="4">
        <v>406</v>
      </c>
      <c r="B407" s="5">
        <v>0.14255319148936171</v>
      </c>
      <c r="C407" s="5">
        <v>0.23734939759036139</v>
      </c>
      <c r="D407" s="5">
        <v>4.8000000000000001E-2</v>
      </c>
      <c r="E407" s="5">
        <v>2.6275115919629061E-3</v>
      </c>
      <c r="F407" s="2" t="s">
        <v>813</v>
      </c>
      <c r="G407" s="2" t="s">
        <v>814</v>
      </c>
    </row>
    <row r="408" spans="1:7" ht="150" x14ac:dyDescent="0.25">
      <c r="A408" s="4">
        <v>407</v>
      </c>
      <c r="B408" s="5">
        <v>0.1446808510638298</v>
      </c>
      <c r="C408" s="5">
        <v>0.23734939759036139</v>
      </c>
      <c r="D408" s="5">
        <v>3.2000000000000001E-2</v>
      </c>
      <c r="E408" s="5">
        <v>9.2735703245749607E-3</v>
      </c>
      <c r="F408" s="2" t="s">
        <v>815</v>
      </c>
      <c r="G408" s="2" t="s">
        <v>816</v>
      </c>
    </row>
    <row r="409" spans="1:7" ht="135" x14ac:dyDescent="0.25">
      <c r="A409" s="4">
        <v>408</v>
      </c>
      <c r="B409" s="5">
        <v>0.41489361702127658</v>
      </c>
      <c r="C409" s="5">
        <v>0.1710843373493976</v>
      </c>
      <c r="D409" s="5">
        <v>7.400000000000001E-2</v>
      </c>
      <c r="E409" s="5">
        <v>0.1054095826893354</v>
      </c>
      <c r="F409" s="2" t="s">
        <v>817</v>
      </c>
      <c r="G409" s="2" t="s">
        <v>818</v>
      </c>
    </row>
    <row r="410" spans="1:7" ht="135" x14ac:dyDescent="0.25">
      <c r="A410" s="4">
        <v>409</v>
      </c>
      <c r="B410" s="5">
        <v>0.1351063829787234</v>
      </c>
      <c r="C410" s="5">
        <v>1.445783132530121E-2</v>
      </c>
      <c r="D410" s="5">
        <v>5.0000000000000001E-3</v>
      </c>
      <c r="E410" s="5">
        <v>4.5595054095826891E-2</v>
      </c>
      <c r="F410" s="2" t="s">
        <v>819</v>
      </c>
      <c r="G410" s="2" t="s">
        <v>820</v>
      </c>
    </row>
    <row r="411" spans="1:7" ht="225" x14ac:dyDescent="0.25">
      <c r="A411" s="4">
        <v>410</v>
      </c>
      <c r="B411" s="5">
        <v>0.15531914893617019</v>
      </c>
      <c r="C411" s="5">
        <v>0.2132530120481928</v>
      </c>
      <c r="D411" s="5">
        <v>5.8999999999999997E-2</v>
      </c>
      <c r="E411" s="5">
        <v>8.6553323029366306E-3</v>
      </c>
      <c r="F411" s="2" t="s">
        <v>821</v>
      </c>
      <c r="G411" s="2" t="s">
        <v>822</v>
      </c>
    </row>
    <row r="412" spans="1:7" ht="150" x14ac:dyDescent="0.25">
      <c r="A412" s="4">
        <v>411</v>
      </c>
      <c r="B412" s="5">
        <v>0.4042553191489362</v>
      </c>
      <c r="C412" s="5">
        <v>0.40481927710843379</v>
      </c>
      <c r="D412" s="5">
        <v>0.27500000000000002</v>
      </c>
      <c r="E412" s="5">
        <v>0</v>
      </c>
      <c r="F412" s="2" t="s">
        <v>823</v>
      </c>
      <c r="G412" s="2" t="s">
        <v>824</v>
      </c>
    </row>
    <row r="413" spans="1:7" ht="270" x14ac:dyDescent="0.25">
      <c r="A413" s="4">
        <v>412</v>
      </c>
      <c r="B413" s="5">
        <v>0.48510638297872338</v>
      </c>
      <c r="C413" s="5">
        <v>0.56024096385542177</v>
      </c>
      <c r="D413" s="5">
        <v>0.24399999999999999</v>
      </c>
      <c r="E413" s="5">
        <v>0</v>
      </c>
      <c r="F413" s="2" t="s">
        <v>825</v>
      </c>
      <c r="G413" s="2" t="s">
        <v>826</v>
      </c>
    </row>
    <row r="414" spans="1:7" ht="150" x14ac:dyDescent="0.25">
      <c r="A414" s="4">
        <v>413</v>
      </c>
      <c r="B414" s="5">
        <v>0.37021276595744679</v>
      </c>
      <c r="C414" s="5">
        <v>0.2253012048192771</v>
      </c>
      <c r="D414" s="5">
        <v>0.29499999999999998</v>
      </c>
      <c r="E414" s="5">
        <v>0</v>
      </c>
      <c r="F414" s="2" t="s">
        <v>827</v>
      </c>
      <c r="G414" s="2" t="s">
        <v>828</v>
      </c>
    </row>
    <row r="415" spans="1:7" ht="135" x14ac:dyDescent="0.25">
      <c r="A415" s="4">
        <v>414</v>
      </c>
      <c r="B415" s="5">
        <v>0.2053191489361702</v>
      </c>
      <c r="C415" s="5">
        <v>0.50602409638554224</v>
      </c>
      <c r="D415" s="5">
        <v>1.4999999999999999E-2</v>
      </c>
      <c r="E415" s="5">
        <v>0</v>
      </c>
      <c r="F415" s="2" t="s">
        <v>829</v>
      </c>
      <c r="G415" s="2" t="s">
        <v>830</v>
      </c>
    </row>
    <row r="416" spans="1:7" ht="285" x14ac:dyDescent="0.25">
      <c r="A416" s="4">
        <v>415</v>
      </c>
      <c r="B416" s="5">
        <v>0.45744680851063829</v>
      </c>
      <c r="C416" s="5">
        <v>0.70120481927710854</v>
      </c>
      <c r="D416" s="5">
        <v>0.23599999999999999</v>
      </c>
      <c r="E416" s="5">
        <v>0</v>
      </c>
      <c r="F416" s="2" t="s">
        <v>831</v>
      </c>
      <c r="G416" s="2" t="s">
        <v>832</v>
      </c>
    </row>
    <row r="417" spans="1:7" ht="150" x14ac:dyDescent="0.25">
      <c r="A417" s="4">
        <v>416</v>
      </c>
      <c r="B417" s="5">
        <v>0.69361702127659575</v>
      </c>
      <c r="C417" s="5">
        <v>0.48674698795180732</v>
      </c>
      <c r="D417" s="5">
        <v>0.54300000000000004</v>
      </c>
      <c r="E417" s="5">
        <v>0</v>
      </c>
      <c r="F417" s="2" t="s">
        <v>833</v>
      </c>
      <c r="G417" s="2" t="s">
        <v>834</v>
      </c>
    </row>
    <row r="418" spans="1:7" ht="270" x14ac:dyDescent="0.25">
      <c r="A418" s="4">
        <v>417</v>
      </c>
      <c r="B418" s="5">
        <v>0.33936170212765959</v>
      </c>
      <c r="C418" s="5">
        <v>8.313253012048194E-2</v>
      </c>
      <c r="D418" s="5">
        <v>0.317</v>
      </c>
      <c r="E418" s="5">
        <v>0</v>
      </c>
      <c r="F418" s="2" t="s">
        <v>835</v>
      </c>
      <c r="G418" s="2" t="s">
        <v>836</v>
      </c>
    </row>
    <row r="419" spans="1:7" ht="255" x14ac:dyDescent="0.25">
      <c r="A419" s="4">
        <v>418</v>
      </c>
      <c r="B419" s="5">
        <v>0.45744680851063829</v>
      </c>
      <c r="C419" s="5">
        <v>0.40240963855421691</v>
      </c>
      <c r="D419" s="5">
        <v>0.32400000000000001</v>
      </c>
      <c r="E419" s="5">
        <v>0</v>
      </c>
      <c r="F419" s="2" t="s">
        <v>837</v>
      </c>
      <c r="G419" s="2" t="s">
        <v>838</v>
      </c>
    </row>
    <row r="420" spans="1:7" ht="270" x14ac:dyDescent="0.25">
      <c r="A420" s="4">
        <v>419</v>
      </c>
      <c r="B420" s="5">
        <v>0.2106382978723404</v>
      </c>
      <c r="C420" s="5">
        <v>0.2289156626506024</v>
      </c>
      <c r="D420" s="5">
        <v>0.13</v>
      </c>
      <c r="E420" s="5">
        <v>0</v>
      </c>
      <c r="F420" s="2" t="s">
        <v>839</v>
      </c>
      <c r="G420" s="2" t="s">
        <v>840</v>
      </c>
    </row>
    <row r="421" spans="1:7" ht="150" x14ac:dyDescent="0.25">
      <c r="A421" s="4">
        <v>420</v>
      </c>
      <c r="B421" s="5">
        <v>0.11382978723404261</v>
      </c>
      <c r="C421" s="5">
        <v>0.1987951807228916</v>
      </c>
      <c r="D421" s="5">
        <v>3.9E-2</v>
      </c>
      <c r="E421" s="5">
        <v>2.3183925811437402E-3</v>
      </c>
      <c r="F421" s="2" t="s">
        <v>841</v>
      </c>
      <c r="G421" s="2" t="s">
        <v>842</v>
      </c>
    </row>
    <row r="422" spans="1:7" ht="150" x14ac:dyDescent="0.25">
      <c r="A422" s="4">
        <v>421</v>
      </c>
      <c r="B422" s="5">
        <v>0.1191489361702128</v>
      </c>
      <c r="C422" s="5">
        <v>0.24096385542168669</v>
      </c>
      <c r="D422" s="5">
        <v>1.2999999999999999E-2</v>
      </c>
      <c r="E422" s="5">
        <v>5.7187017001545598E-3</v>
      </c>
      <c r="F422" s="2" t="s">
        <v>843</v>
      </c>
      <c r="G422" s="2" t="s">
        <v>844</v>
      </c>
    </row>
    <row r="423" spans="1:7" ht="210" x14ac:dyDescent="0.25">
      <c r="A423" s="4">
        <v>422</v>
      </c>
      <c r="B423" s="5">
        <v>0.13723404255319149</v>
      </c>
      <c r="C423" s="5">
        <v>0.24096385542168669</v>
      </c>
      <c r="D423" s="5">
        <v>4.8000000000000001E-2</v>
      </c>
      <c r="E423" s="5">
        <v>0</v>
      </c>
      <c r="F423" s="2" t="s">
        <v>845</v>
      </c>
      <c r="G423" s="2" t="s">
        <v>846</v>
      </c>
    </row>
    <row r="424" spans="1:7" ht="195" x14ac:dyDescent="0.25">
      <c r="A424" s="4">
        <v>423</v>
      </c>
      <c r="B424" s="5">
        <v>0.31489361702127661</v>
      </c>
      <c r="C424" s="5">
        <v>0.2060240963855422</v>
      </c>
      <c r="D424" s="5">
        <v>0.20300000000000001</v>
      </c>
      <c r="E424" s="5">
        <v>1.7465224111282849E-2</v>
      </c>
      <c r="F424" s="2" t="s">
        <v>847</v>
      </c>
      <c r="G424" s="2" t="s">
        <v>848</v>
      </c>
    </row>
    <row r="425" spans="1:7" ht="135" x14ac:dyDescent="0.25">
      <c r="A425" s="4">
        <v>424</v>
      </c>
      <c r="B425" s="5">
        <v>0.1180851063829787</v>
      </c>
      <c r="C425" s="5">
        <v>0.23373493975903609</v>
      </c>
      <c r="D425" s="5">
        <v>9.0000000000000011E-3</v>
      </c>
      <c r="E425" s="5">
        <v>7.4188562596599686E-3</v>
      </c>
      <c r="F425" s="2" t="s">
        <v>849</v>
      </c>
      <c r="G425" s="2" t="s">
        <v>850</v>
      </c>
    </row>
    <row r="426" spans="1:7" ht="195" x14ac:dyDescent="0.25">
      <c r="A426" s="4">
        <v>425</v>
      </c>
      <c r="B426" s="5">
        <v>8.2978723404255314E-2</v>
      </c>
      <c r="C426" s="5">
        <v>0.1746987951807229</v>
      </c>
      <c r="D426" s="5">
        <v>6.0000000000000001E-3</v>
      </c>
      <c r="E426" s="5">
        <v>5.7187017001545598E-3</v>
      </c>
      <c r="F426" s="2" t="s">
        <v>851</v>
      </c>
      <c r="G426" s="2" t="s">
        <v>852</v>
      </c>
    </row>
    <row r="427" spans="1:7" ht="120" x14ac:dyDescent="0.25">
      <c r="A427" s="4">
        <v>426</v>
      </c>
      <c r="B427" s="5">
        <v>0.1531914893617021</v>
      </c>
      <c r="C427" s="5">
        <v>0.21445783132530119</v>
      </c>
      <c r="D427" s="5">
        <v>5.8000000000000003E-2</v>
      </c>
      <c r="E427" s="5">
        <v>8.0370942812983005E-3</v>
      </c>
      <c r="F427" s="2" t="s">
        <v>853</v>
      </c>
      <c r="G427" s="2" t="s">
        <v>854</v>
      </c>
    </row>
    <row r="428" spans="1:7" ht="135" x14ac:dyDescent="0.25">
      <c r="A428" s="4">
        <v>427</v>
      </c>
      <c r="B428" s="5">
        <v>0.1308510638297872</v>
      </c>
      <c r="C428" s="5">
        <v>0.1819277108433735</v>
      </c>
      <c r="D428" s="5">
        <v>5.5E-2</v>
      </c>
      <c r="E428" s="5">
        <v>5.100463678516228E-3</v>
      </c>
      <c r="F428" s="2" t="s">
        <v>855</v>
      </c>
      <c r="G428" s="2" t="s">
        <v>856</v>
      </c>
    </row>
    <row r="429" spans="1:7" ht="409.5" x14ac:dyDescent="0.25">
      <c r="A429" s="4">
        <v>428</v>
      </c>
      <c r="B429" s="5">
        <v>0.10212765957446809</v>
      </c>
      <c r="C429" s="5">
        <v>0.2289156626506024</v>
      </c>
      <c r="D429" s="5">
        <v>1.7000000000000001E-2</v>
      </c>
      <c r="E429" s="5">
        <v>0</v>
      </c>
      <c r="F429" s="2" t="s">
        <v>857</v>
      </c>
      <c r="G429" s="2" t="s">
        <v>858</v>
      </c>
    </row>
    <row r="430" spans="1:7" ht="180" x14ac:dyDescent="0.25">
      <c r="A430" s="4">
        <v>429</v>
      </c>
      <c r="B430" s="5">
        <v>0.14680851063829789</v>
      </c>
      <c r="C430" s="5">
        <v>0.16867469879518071</v>
      </c>
      <c r="D430" s="5">
        <v>6.9999999999999993E-3</v>
      </c>
      <c r="E430" s="5">
        <v>1.143740340030912E-2</v>
      </c>
      <c r="F430" s="2" t="s">
        <v>859</v>
      </c>
      <c r="G430" s="2" t="s">
        <v>196</v>
      </c>
    </row>
    <row r="431" spans="1:7" ht="120" x14ac:dyDescent="0.25">
      <c r="A431" s="4">
        <v>430</v>
      </c>
      <c r="B431" s="5">
        <v>0.13617021276595739</v>
      </c>
      <c r="C431" s="5">
        <v>0.2168674698795181</v>
      </c>
      <c r="D431" s="5">
        <v>0.03</v>
      </c>
      <c r="E431" s="5">
        <v>1.1128284389489949E-2</v>
      </c>
      <c r="F431" s="2" t="s">
        <v>860</v>
      </c>
      <c r="G431" s="2" t="s">
        <v>861</v>
      </c>
    </row>
    <row r="432" spans="1:7" ht="240" x14ac:dyDescent="0.25">
      <c r="A432" s="4">
        <v>431</v>
      </c>
      <c r="B432" s="5">
        <v>8.5106382978723402E-2</v>
      </c>
      <c r="C432" s="5">
        <v>0.17710843373493981</v>
      </c>
      <c r="D432" s="5">
        <v>1.4E-2</v>
      </c>
      <c r="E432" s="5">
        <v>3.4003091190108188E-3</v>
      </c>
      <c r="F432" s="2" t="s">
        <v>862</v>
      </c>
      <c r="G432" s="2" t="s">
        <v>863</v>
      </c>
    </row>
    <row r="433" spans="1:7" ht="150" x14ac:dyDescent="0.25">
      <c r="A433" s="4">
        <v>432</v>
      </c>
      <c r="B433" s="5">
        <v>0.44361702127659569</v>
      </c>
      <c r="C433" s="5">
        <v>0.31204819277108431</v>
      </c>
      <c r="D433" s="5">
        <v>0.19400000000000001</v>
      </c>
      <c r="E433" s="5">
        <v>4.945904173106646E-2</v>
      </c>
      <c r="F433" s="2" t="s">
        <v>864</v>
      </c>
      <c r="G433" s="2" t="s">
        <v>865</v>
      </c>
    </row>
    <row r="434" spans="1:7" ht="210" x14ac:dyDescent="0.25">
      <c r="A434" s="4">
        <v>433</v>
      </c>
      <c r="B434" s="5">
        <v>8.723404255319149E-2</v>
      </c>
      <c r="C434" s="5">
        <v>8.0722891566265068E-2</v>
      </c>
      <c r="D434" s="5">
        <v>0.01</v>
      </c>
      <c r="E434" s="5">
        <v>1.6846986089644508E-2</v>
      </c>
      <c r="F434" s="2" t="s">
        <v>866</v>
      </c>
      <c r="G434" s="2" t="s">
        <v>867</v>
      </c>
    </row>
    <row r="435" spans="1:7" ht="135" x14ac:dyDescent="0.25">
      <c r="A435" s="4">
        <v>434</v>
      </c>
      <c r="B435" s="5">
        <v>7.0212765957446813E-2</v>
      </c>
      <c r="C435" s="5">
        <v>0.16867469879518071</v>
      </c>
      <c r="D435" s="5">
        <v>0</v>
      </c>
      <c r="E435" s="5">
        <v>0</v>
      </c>
      <c r="F435" s="2" t="s">
        <v>868</v>
      </c>
      <c r="G435" s="2" t="s">
        <v>869</v>
      </c>
    </row>
    <row r="436" spans="1:7" ht="150" x14ac:dyDescent="0.25">
      <c r="A436" s="4">
        <v>435</v>
      </c>
      <c r="B436" s="5">
        <v>9.5744680851063829E-2</v>
      </c>
      <c r="C436" s="5">
        <v>0.17951807228915659</v>
      </c>
      <c r="D436" s="5">
        <v>2.5000000000000001E-2</v>
      </c>
      <c r="E436" s="5">
        <v>3.2457496136012371E-3</v>
      </c>
      <c r="F436" s="2" t="s">
        <v>870</v>
      </c>
      <c r="G436" s="2" t="s">
        <v>871</v>
      </c>
    </row>
    <row r="437" spans="1:7" ht="150" x14ac:dyDescent="0.25">
      <c r="A437" s="4">
        <v>436</v>
      </c>
      <c r="B437" s="5">
        <v>9.3617021276595741E-2</v>
      </c>
      <c r="C437" s="5">
        <v>0.1710843373493976</v>
      </c>
      <c r="D437" s="5">
        <v>6.9999999999999993E-3</v>
      </c>
      <c r="E437" s="5">
        <v>9.5826893353941275E-3</v>
      </c>
      <c r="F437" s="2" t="s">
        <v>872</v>
      </c>
      <c r="G437" s="2" t="s">
        <v>873</v>
      </c>
    </row>
    <row r="438" spans="1:7" ht="165" x14ac:dyDescent="0.25">
      <c r="A438" s="4">
        <v>437</v>
      </c>
      <c r="B438" s="5">
        <v>0.1063829787234043</v>
      </c>
      <c r="C438" s="5">
        <v>0.17710843373493981</v>
      </c>
      <c r="D438" s="5">
        <v>2.4E-2</v>
      </c>
      <c r="E438" s="5">
        <v>7.573415765069552E-3</v>
      </c>
      <c r="F438" s="2" t="s">
        <v>874</v>
      </c>
      <c r="G438" s="2" t="s">
        <v>875</v>
      </c>
    </row>
    <row r="439" spans="1:7" ht="150" x14ac:dyDescent="0.25">
      <c r="A439" s="4">
        <v>438</v>
      </c>
      <c r="B439" s="5">
        <v>0.14255319148936171</v>
      </c>
      <c r="C439" s="5">
        <v>0.30722891566265059</v>
      </c>
      <c r="D439" s="5">
        <v>1.2999999999999999E-2</v>
      </c>
      <c r="E439" s="5">
        <v>7.7279752704791354E-3</v>
      </c>
      <c r="F439" s="2" t="s">
        <v>876</v>
      </c>
      <c r="G439" s="2" t="s">
        <v>877</v>
      </c>
    </row>
    <row r="440" spans="1:7" ht="150" x14ac:dyDescent="0.25">
      <c r="A440" s="4">
        <v>439</v>
      </c>
      <c r="B440" s="5">
        <v>0.21702127659574469</v>
      </c>
      <c r="C440" s="5">
        <v>0.4120481927710844</v>
      </c>
      <c r="D440" s="5">
        <v>5.5999999999999987E-2</v>
      </c>
      <c r="E440" s="5">
        <v>2.9366306027820712E-3</v>
      </c>
      <c r="F440" s="2" t="s">
        <v>878</v>
      </c>
      <c r="G440" s="2" t="s">
        <v>879</v>
      </c>
    </row>
    <row r="441" spans="1:7" ht="210" x14ac:dyDescent="0.25">
      <c r="A441" s="4">
        <v>440</v>
      </c>
      <c r="B441" s="5">
        <v>0.2106382978723404</v>
      </c>
      <c r="C441" s="5">
        <v>0.43975903614457829</v>
      </c>
      <c r="D441" s="5">
        <v>2.1999999999999999E-2</v>
      </c>
      <c r="E441" s="5">
        <v>8.5007727975270481E-3</v>
      </c>
      <c r="F441" s="2" t="s">
        <v>880</v>
      </c>
      <c r="G441" s="2" t="s">
        <v>881</v>
      </c>
    </row>
    <row r="442" spans="1:7" ht="165" x14ac:dyDescent="0.25">
      <c r="A442" s="4">
        <v>441</v>
      </c>
      <c r="B442" s="5">
        <v>0.1276595744680851</v>
      </c>
      <c r="C442" s="5">
        <v>0.136144578313253</v>
      </c>
      <c r="D442" s="5">
        <v>3.9E-2</v>
      </c>
      <c r="E442" s="5">
        <v>1.5455950540958271E-2</v>
      </c>
      <c r="F442" s="2" t="s">
        <v>882</v>
      </c>
      <c r="G442" s="2" t="s">
        <v>883</v>
      </c>
    </row>
    <row r="443" spans="1:7" ht="165" x14ac:dyDescent="0.25">
      <c r="A443" s="4">
        <v>442</v>
      </c>
      <c r="B443" s="5">
        <v>0.12340425531914891</v>
      </c>
      <c r="C443" s="5">
        <v>0.13493975903614461</v>
      </c>
      <c r="D443" s="5">
        <v>1.2E-2</v>
      </c>
      <c r="E443" s="5">
        <v>1.5765069551777429E-2</v>
      </c>
      <c r="F443" s="2" t="s">
        <v>884</v>
      </c>
      <c r="G443" s="2" t="s">
        <v>883</v>
      </c>
    </row>
    <row r="444" spans="1:7" ht="165" x14ac:dyDescent="0.25">
      <c r="A444" s="4">
        <v>443</v>
      </c>
      <c r="B444" s="5">
        <v>9.1489361702127667E-2</v>
      </c>
      <c r="C444" s="5">
        <v>0.1228915662650602</v>
      </c>
      <c r="D444" s="5">
        <v>1.0999999999999999E-2</v>
      </c>
      <c r="E444" s="5">
        <v>1.3446676970633689E-2</v>
      </c>
      <c r="F444" s="2" t="s">
        <v>885</v>
      </c>
      <c r="G444" s="2" t="s">
        <v>883</v>
      </c>
    </row>
    <row r="445" spans="1:7" ht="165" x14ac:dyDescent="0.25">
      <c r="A445" s="4">
        <v>444</v>
      </c>
      <c r="B445" s="5">
        <v>0.11382978723404261</v>
      </c>
      <c r="C445" s="5">
        <v>0.236144578313253</v>
      </c>
      <c r="D445" s="5">
        <v>6.9999999999999993E-3</v>
      </c>
      <c r="E445" s="5">
        <v>8.5007727975270481E-3</v>
      </c>
      <c r="F445" s="2" t="s">
        <v>886</v>
      </c>
      <c r="G445" s="2" t="s">
        <v>883</v>
      </c>
    </row>
    <row r="446" spans="1:7" ht="165" x14ac:dyDescent="0.25">
      <c r="A446" s="4">
        <v>445</v>
      </c>
      <c r="B446" s="5">
        <v>8.6170212765957446E-2</v>
      </c>
      <c r="C446" s="5">
        <v>0.13734939759036149</v>
      </c>
      <c r="D446" s="5">
        <v>1.9E-2</v>
      </c>
      <c r="E446" s="5">
        <v>5.8732612055641424E-3</v>
      </c>
      <c r="F446" s="2" t="s">
        <v>887</v>
      </c>
      <c r="G446" s="2" t="s">
        <v>888</v>
      </c>
    </row>
    <row r="447" spans="1:7" ht="120" x14ac:dyDescent="0.25">
      <c r="A447" s="4">
        <v>446</v>
      </c>
      <c r="B447" s="5">
        <v>0.1074468085106383</v>
      </c>
      <c r="C447" s="5">
        <v>0.13855421686746991</v>
      </c>
      <c r="D447" s="5">
        <v>4.0999999999999988E-2</v>
      </c>
      <c r="E447" s="5">
        <v>7.1097372488408027E-3</v>
      </c>
      <c r="F447" s="2" t="s">
        <v>889</v>
      </c>
      <c r="G447" s="2" t="s">
        <v>890</v>
      </c>
    </row>
    <row r="448" spans="1:7" ht="135" x14ac:dyDescent="0.25">
      <c r="A448" s="4">
        <v>447</v>
      </c>
      <c r="B448" s="5">
        <v>0.1159574468085106</v>
      </c>
      <c r="C448" s="5">
        <v>0.20481927710843381</v>
      </c>
      <c r="D448" s="5">
        <v>0.04</v>
      </c>
      <c r="E448" s="5">
        <v>0</v>
      </c>
      <c r="F448" s="2" t="s">
        <v>891</v>
      </c>
      <c r="G448" s="2" t="s">
        <v>892</v>
      </c>
    </row>
    <row r="449" spans="1:7" ht="135" x14ac:dyDescent="0.25">
      <c r="A449" s="4">
        <v>448</v>
      </c>
      <c r="B449" s="5">
        <v>0.27765957446808509</v>
      </c>
      <c r="C449" s="5">
        <v>0.45903614457831332</v>
      </c>
      <c r="D449" s="5">
        <v>2.3E-2</v>
      </c>
      <c r="E449" s="5">
        <v>3.3848531684698598E-2</v>
      </c>
      <c r="F449" s="2" t="s">
        <v>893</v>
      </c>
      <c r="G449" s="2" t="s">
        <v>894</v>
      </c>
    </row>
    <row r="450" spans="1:7" ht="120" x14ac:dyDescent="0.25">
      <c r="A450" s="4">
        <v>449</v>
      </c>
      <c r="B450" s="5">
        <v>0.31063829787234037</v>
      </c>
      <c r="C450" s="5">
        <v>0.6987951807228916</v>
      </c>
      <c r="D450" s="5">
        <v>0.04</v>
      </c>
      <c r="E450" s="5">
        <v>0</v>
      </c>
      <c r="F450" s="2" t="s">
        <v>895</v>
      </c>
      <c r="G450" s="2" t="s">
        <v>896</v>
      </c>
    </row>
    <row r="451" spans="1:7" ht="225" x14ac:dyDescent="0.25">
      <c r="A451" s="4">
        <v>450</v>
      </c>
      <c r="B451" s="5">
        <v>7.8723404255319152E-2</v>
      </c>
      <c r="C451" s="5">
        <v>0.30361445783132529</v>
      </c>
      <c r="D451" s="5">
        <v>1.7000000000000001E-2</v>
      </c>
      <c r="E451" s="5">
        <v>0</v>
      </c>
      <c r="F451" s="2" t="s">
        <v>897</v>
      </c>
      <c r="G451" s="2" t="s">
        <v>898</v>
      </c>
    </row>
    <row r="452" spans="1:7" ht="120" x14ac:dyDescent="0.25">
      <c r="A452" s="4">
        <v>451</v>
      </c>
      <c r="B452" s="5">
        <v>0.28404255319148941</v>
      </c>
      <c r="C452" s="5">
        <v>0.27831325301204818</v>
      </c>
      <c r="D452" s="5">
        <v>0.19400000000000001</v>
      </c>
      <c r="E452" s="5">
        <v>3.0911901081916539E-4</v>
      </c>
      <c r="F452" s="2" t="s">
        <v>899</v>
      </c>
      <c r="G452" s="2" t="s">
        <v>900</v>
      </c>
    </row>
    <row r="453" spans="1:7" ht="105" x14ac:dyDescent="0.25">
      <c r="A453" s="4">
        <v>452</v>
      </c>
      <c r="B453" s="5">
        <v>0.1074468085106383</v>
      </c>
      <c r="C453" s="5">
        <v>0.1240963855421687</v>
      </c>
      <c r="D453" s="5">
        <v>3.7000000000000012E-2</v>
      </c>
      <c r="E453" s="5">
        <v>1.035548686244204E-2</v>
      </c>
      <c r="F453" s="2" t="s">
        <v>901</v>
      </c>
      <c r="G453" s="2" t="s">
        <v>902</v>
      </c>
    </row>
    <row r="454" spans="1:7" ht="120" x14ac:dyDescent="0.25">
      <c r="A454" s="4">
        <v>453</v>
      </c>
      <c r="B454" s="5">
        <v>0.31702127659574469</v>
      </c>
      <c r="C454" s="5">
        <v>0.55783132530120483</v>
      </c>
      <c r="D454" s="5">
        <v>3.5999999999999997E-2</v>
      </c>
      <c r="E454" s="5">
        <v>3.12210200927357E-2</v>
      </c>
      <c r="F454" s="2" t="s">
        <v>903</v>
      </c>
      <c r="G454" s="2" t="s">
        <v>904</v>
      </c>
    </row>
    <row r="455" spans="1:7" ht="180" x14ac:dyDescent="0.25">
      <c r="A455" s="4">
        <v>454</v>
      </c>
      <c r="B455" s="5">
        <v>6.063829787234043E-2</v>
      </c>
      <c r="C455" s="5">
        <v>0.12891566265060239</v>
      </c>
      <c r="D455" s="5">
        <v>3.0000000000000001E-3</v>
      </c>
      <c r="E455" s="5">
        <v>3.4003091190108188E-3</v>
      </c>
      <c r="F455" s="2" t="s">
        <v>905</v>
      </c>
      <c r="G455" s="2" t="s">
        <v>906</v>
      </c>
    </row>
    <row r="456" spans="1:7" ht="135" x14ac:dyDescent="0.25">
      <c r="A456" s="4">
        <v>455</v>
      </c>
      <c r="B456" s="5">
        <v>8.1914893617021284E-2</v>
      </c>
      <c r="C456" s="5">
        <v>0.18795180722891569</v>
      </c>
      <c r="D456" s="5">
        <v>9.0000000000000011E-3</v>
      </c>
      <c r="E456" s="5">
        <v>2.4729520865533232E-3</v>
      </c>
      <c r="F456" s="2" t="s">
        <v>907</v>
      </c>
      <c r="G456" s="2" t="s">
        <v>908</v>
      </c>
    </row>
    <row r="457" spans="1:7" ht="285" x14ac:dyDescent="0.25">
      <c r="A457" s="4">
        <v>456</v>
      </c>
      <c r="B457" s="5">
        <v>9.7872340425531917E-2</v>
      </c>
      <c r="C457" s="5">
        <v>0.24096385542168669</v>
      </c>
      <c r="D457" s="5">
        <v>6.9999999999999993E-3</v>
      </c>
      <c r="E457" s="5">
        <v>0</v>
      </c>
      <c r="F457" s="2" t="s">
        <v>909</v>
      </c>
      <c r="G457" s="2" t="s">
        <v>910</v>
      </c>
    </row>
    <row r="458" spans="1:7" ht="120" x14ac:dyDescent="0.25">
      <c r="A458" s="4">
        <v>457</v>
      </c>
      <c r="B458" s="5">
        <v>8.723404255319149E-2</v>
      </c>
      <c r="C458" s="5">
        <v>0.13734939759036149</v>
      </c>
      <c r="D458" s="5">
        <v>1.2E-2</v>
      </c>
      <c r="E458" s="5">
        <v>9.8918083462132926E-3</v>
      </c>
      <c r="F458" s="2" t="s">
        <v>911</v>
      </c>
      <c r="G458" s="2" t="s">
        <v>912</v>
      </c>
    </row>
    <row r="459" spans="1:7" ht="180" x14ac:dyDescent="0.25">
      <c r="A459" s="4">
        <v>458</v>
      </c>
      <c r="B459" s="5">
        <v>0.1404255319148936</v>
      </c>
      <c r="C459" s="5">
        <v>0.20481927710843381</v>
      </c>
      <c r="D459" s="5">
        <v>6.7000000000000004E-2</v>
      </c>
      <c r="E459" s="5">
        <v>1.236476043276662E-3</v>
      </c>
      <c r="F459" s="2" t="s">
        <v>913</v>
      </c>
      <c r="G459" s="2" t="s">
        <v>914</v>
      </c>
    </row>
    <row r="460" spans="1:7" ht="165" x14ac:dyDescent="0.25">
      <c r="A460" s="4">
        <v>459</v>
      </c>
      <c r="B460" s="5">
        <v>0.17234042553191489</v>
      </c>
      <c r="C460" s="5">
        <v>0.38192771084337351</v>
      </c>
      <c r="D460" s="5">
        <v>2.8000000000000001E-2</v>
      </c>
      <c r="E460" s="5">
        <v>4.6367851622874798E-4</v>
      </c>
      <c r="F460" s="2" t="s">
        <v>915</v>
      </c>
      <c r="G460" s="2" t="s">
        <v>916</v>
      </c>
    </row>
    <row r="461" spans="1:7" ht="150" x14ac:dyDescent="0.25">
      <c r="A461" s="4">
        <v>460</v>
      </c>
      <c r="B461" s="5">
        <v>0.1170212765957447</v>
      </c>
      <c r="C461" s="5">
        <v>0.15180722891566259</v>
      </c>
      <c r="D461" s="5">
        <v>4.2000000000000003E-2</v>
      </c>
      <c r="E461" s="5">
        <v>8.3462132921174655E-3</v>
      </c>
      <c r="F461" s="2" t="s">
        <v>917</v>
      </c>
      <c r="G461" s="2" t="s">
        <v>918</v>
      </c>
    </row>
    <row r="462" spans="1:7" ht="120" x14ac:dyDescent="0.25">
      <c r="A462" s="4">
        <v>461</v>
      </c>
      <c r="B462" s="5">
        <v>0.32127659574468093</v>
      </c>
      <c r="C462" s="5">
        <v>0.85180722891566274</v>
      </c>
      <c r="D462" s="5">
        <v>1.9E-2</v>
      </c>
      <c r="E462" s="5">
        <v>6.1823802163833079E-4</v>
      </c>
      <c r="F462" s="2" t="s">
        <v>919</v>
      </c>
      <c r="G462" s="2" t="s">
        <v>920</v>
      </c>
    </row>
    <row r="463" spans="1:7" ht="240" x14ac:dyDescent="0.25">
      <c r="A463" s="4">
        <v>462</v>
      </c>
      <c r="B463" s="5">
        <v>0.1095744680851064</v>
      </c>
      <c r="C463" s="5">
        <v>0.26506024096385539</v>
      </c>
      <c r="D463" s="5">
        <v>0.01</v>
      </c>
      <c r="E463" s="5">
        <v>0</v>
      </c>
      <c r="F463" s="2" t="s">
        <v>921</v>
      </c>
      <c r="G463" s="2" t="s">
        <v>922</v>
      </c>
    </row>
    <row r="464" spans="1:7" ht="210" x14ac:dyDescent="0.25">
      <c r="A464" s="4">
        <v>463</v>
      </c>
      <c r="B464" s="5">
        <v>7.4468085106382975E-2</v>
      </c>
      <c r="C464" s="5">
        <v>0.13012048192771089</v>
      </c>
      <c r="D464" s="5">
        <v>6.9999999999999993E-3</v>
      </c>
      <c r="E464" s="5">
        <v>8.0370942812983005E-3</v>
      </c>
      <c r="F464" s="2" t="s">
        <v>923</v>
      </c>
      <c r="G464" s="2" t="s">
        <v>924</v>
      </c>
    </row>
    <row r="465" spans="1:7" ht="195" x14ac:dyDescent="0.25">
      <c r="A465" s="4">
        <v>464</v>
      </c>
      <c r="B465" s="5">
        <v>0.15638297872340429</v>
      </c>
      <c r="C465" s="5">
        <v>0.21084337349397589</v>
      </c>
      <c r="D465" s="5">
        <v>6.5000000000000002E-2</v>
      </c>
      <c r="E465" s="5">
        <v>8.3462132921174655E-3</v>
      </c>
      <c r="F465" s="2" t="s">
        <v>925</v>
      </c>
      <c r="G465" s="2" t="s">
        <v>926</v>
      </c>
    </row>
    <row r="466" spans="1:7" ht="120" x14ac:dyDescent="0.25">
      <c r="A466" s="4">
        <v>465</v>
      </c>
      <c r="B466" s="5">
        <v>0.1159574468085106</v>
      </c>
      <c r="C466" s="5">
        <v>0.26506024096385539</v>
      </c>
      <c r="D466" s="5">
        <v>1.7000000000000001E-2</v>
      </c>
      <c r="E466" s="5">
        <v>0</v>
      </c>
      <c r="F466" s="2" t="s">
        <v>927</v>
      </c>
      <c r="G466" s="2" t="s">
        <v>928</v>
      </c>
    </row>
    <row r="467" spans="1:7" ht="105" x14ac:dyDescent="0.25">
      <c r="A467" s="4">
        <v>466</v>
      </c>
      <c r="B467" s="5">
        <v>8.723404255319149E-2</v>
      </c>
      <c r="C467" s="5">
        <v>0.2168674698795181</v>
      </c>
      <c r="D467" s="5">
        <v>0.01</v>
      </c>
      <c r="E467" s="5">
        <v>6.1823802163833079E-4</v>
      </c>
      <c r="F467" s="2" t="s">
        <v>929</v>
      </c>
      <c r="G467" s="2" t="s">
        <v>930</v>
      </c>
    </row>
    <row r="468" spans="1:7" ht="195" x14ac:dyDescent="0.25">
      <c r="A468" s="4">
        <v>467</v>
      </c>
      <c r="B468" s="5">
        <v>9.5744680851063829E-2</v>
      </c>
      <c r="C468" s="5">
        <v>0.24578313253012049</v>
      </c>
      <c r="D468" s="5">
        <v>9.0000000000000011E-3</v>
      </c>
      <c r="E468" s="5">
        <v>0</v>
      </c>
      <c r="F468" s="2" t="s">
        <v>931</v>
      </c>
      <c r="G468" s="2" t="s">
        <v>932</v>
      </c>
    </row>
    <row r="469" spans="1:7" ht="165" x14ac:dyDescent="0.25">
      <c r="A469" s="4">
        <v>468</v>
      </c>
      <c r="B469" s="5">
        <v>0.26808510638297872</v>
      </c>
      <c r="C469" s="5">
        <v>0.2397590361445783</v>
      </c>
      <c r="D469" s="5">
        <v>0.191</v>
      </c>
      <c r="E469" s="5">
        <v>0</v>
      </c>
      <c r="F469" s="2" t="s">
        <v>933</v>
      </c>
      <c r="G469" s="2" t="s">
        <v>934</v>
      </c>
    </row>
    <row r="470" spans="1:7" ht="270" x14ac:dyDescent="0.25">
      <c r="A470" s="4">
        <v>469</v>
      </c>
      <c r="B470" s="5">
        <v>0.1191489361702128</v>
      </c>
      <c r="C470" s="5">
        <v>0.24096385542168669</v>
      </c>
      <c r="D470" s="5">
        <v>0.03</v>
      </c>
      <c r="E470" s="5">
        <v>0</v>
      </c>
      <c r="F470" s="2" t="s">
        <v>935</v>
      </c>
      <c r="G470" s="2" t="s">
        <v>936</v>
      </c>
    </row>
    <row r="471" spans="1:7" ht="165" x14ac:dyDescent="0.25">
      <c r="A471" s="4">
        <v>470</v>
      </c>
      <c r="B471" s="5">
        <v>0.1106382978723404</v>
      </c>
      <c r="C471" s="5">
        <v>0.18795180722891569</v>
      </c>
      <c r="D471" s="5">
        <v>3.2000000000000001E-2</v>
      </c>
      <c r="E471" s="5">
        <v>3.0911901081916542E-3</v>
      </c>
      <c r="F471" s="2" t="s">
        <v>937</v>
      </c>
      <c r="G471" s="2" t="s">
        <v>938</v>
      </c>
    </row>
    <row r="472" spans="1:7" ht="210" x14ac:dyDescent="0.25">
      <c r="A472" s="4">
        <v>471</v>
      </c>
      <c r="B472" s="5">
        <v>0.27446808510638299</v>
      </c>
      <c r="C472" s="5">
        <v>0.48554216867469879</v>
      </c>
      <c r="D472" s="5">
        <v>2.3E-2</v>
      </c>
      <c r="E472" s="5">
        <v>2.9211746522411128E-2</v>
      </c>
      <c r="F472" s="2" t="s">
        <v>939</v>
      </c>
      <c r="G472" s="2" t="s">
        <v>940</v>
      </c>
    </row>
    <row r="473" spans="1:7" ht="270" x14ac:dyDescent="0.25">
      <c r="A473" s="4">
        <v>472</v>
      </c>
      <c r="B473" s="5">
        <v>0.1053191489361702</v>
      </c>
      <c r="C473" s="5">
        <v>0.2481927710843374</v>
      </c>
      <c r="D473" s="5">
        <v>1.4E-2</v>
      </c>
      <c r="E473" s="5">
        <v>1.3910355486862439E-3</v>
      </c>
      <c r="F473" s="2" t="s">
        <v>941</v>
      </c>
      <c r="G473" s="2" t="s">
        <v>942</v>
      </c>
    </row>
    <row r="474" spans="1:7" ht="165" x14ac:dyDescent="0.25">
      <c r="A474" s="4">
        <v>473</v>
      </c>
      <c r="B474" s="5">
        <v>9.1489361702127667E-2</v>
      </c>
      <c r="C474" s="5">
        <v>0.19277108433734941</v>
      </c>
      <c r="D474" s="5">
        <v>0.02</v>
      </c>
      <c r="E474" s="5">
        <v>0</v>
      </c>
      <c r="F474" s="2" t="s">
        <v>943</v>
      </c>
      <c r="G474" s="2" t="s">
        <v>944</v>
      </c>
    </row>
    <row r="475" spans="1:7" ht="409.5" x14ac:dyDescent="0.25">
      <c r="A475" s="4">
        <v>474</v>
      </c>
      <c r="B475" s="5">
        <v>0.2</v>
      </c>
      <c r="C475" s="5">
        <v>0.2325301204819277</v>
      </c>
      <c r="D475" s="5">
        <v>0.122</v>
      </c>
      <c r="E475" s="5">
        <v>0</v>
      </c>
      <c r="F475" s="2" t="s">
        <v>945</v>
      </c>
      <c r="G475" s="2" t="s">
        <v>946</v>
      </c>
    </row>
    <row r="476" spans="1:7" ht="165" x14ac:dyDescent="0.25">
      <c r="A476" s="4">
        <v>475</v>
      </c>
      <c r="B476" s="5">
        <v>0.22234042553191491</v>
      </c>
      <c r="C476" s="5">
        <v>0.18313253012048189</v>
      </c>
      <c r="D476" s="5">
        <v>0.113</v>
      </c>
      <c r="E476" s="5">
        <v>1.823802163833076E-2</v>
      </c>
      <c r="F476" s="2" t="s">
        <v>947</v>
      </c>
      <c r="G476" s="2" t="s">
        <v>948</v>
      </c>
    </row>
    <row r="477" spans="1:7" ht="165" x14ac:dyDescent="0.25">
      <c r="A477" s="4">
        <v>476</v>
      </c>
      <c r="B477" s="5">
        <v>0.1031914893617021</v>
      </c>
      <c r="C477" s="5">
        <v>0.21566265060240961</v>
      </c>
      <c r="D477" s="5">
        <v>0.02</v>
      </c>
      <c r="E477" s="5">
        <v>6.1823802163833079E-4</v>
      </c>
      <c r="F477" s="2" t="s">
        <v>949</v>
      </c>
      <c r="G477" s="2" t="s">
        <v>950</v>
      </c>
    </row>
    <row r="478" spans="1:7" ht="225" x14ac:dyDescent="0.25">
      <c r="A478" s="4">
        <v>477</v>
      </c>
      <c r="B478" s="5">
        <v>0.63617021276595742</v>
      </c>
      <c r="C478" s="5">
        <v>0.89518072289156625</v>
      </c>
      <c r="D478" s="5">
        <v>0.26900000000000002</v>
      </c>
      <c r="E478" s="5">
        <v>1.4219474497681611E-2</v>
      </c>
      <c r="F478" s="2" t="s">
        <v>951</v>
      </c>
      <c r="G478" s="2" t="s">
        <v>646</v>
      </c>
    </row>
    <row r="479" spans="1:7" ht="225" x14ac:dyDescent="0.25">
      <c r="A479" s="4">
        <v>478</v>
      </c>
      <c r="B479" s="5">
        <v>0.61914893617021283</v>
      </c>
      <c r="C479" s="5">
        <v>0.82289156626506021</v>
      </c>
      <c r="D479" s="5">
        <v>0.152</v>
      </c>
      <c r="E479" s="5">
        <v>5.7496136012364772E-2</v>
      </c>
      <c r="F479" s="2" t="s">
        <v>952</v>
      </c>
      <c r="G479" s="2" t="s">
        <v>953</v>
      </c>
    </row>
    <row r="480" spans="1:7" ht="180" x14ac:dyDescent="0.25">
      <c r="A480" s="4">
        <v>479</v>
      </c>
      <c r="B480" s="5">
        <v>0.44255319148936167</v>
      </c>
      <c r="C480" s="5">
        <v>0.56506024096385543</v>
      </c>
      <c r="D480" s="5">
        <v>0.23899999999999999</v>
      </c>
      <c r="E480" s="5">
        <v>0</v>
      </c>
      <c r="F480" s="2" t="s">
        <v>954</v>
      </c>
      <c r="G480" s="2" t="s">
        <v>955</v>
      </c>
    </row>
    <row r="481" spans="1:7" ht="135" x14ac:dyDescent="0.25">
      <c r="A481" s="4">
        <v>480</v>
      </c>
      <c r="B481" s="5">
        <v>0.12872340425531911</v>
      </c>
      <c r="C481" s="5">
        <v>0.26144578313253009</v>
      </c>
      <c r="D481" s="5">
        <v>2.8000000000000001E-2</v>
      </c>
      <c r="E481" s="5">
        <v>1.236476043276662E-3</v>
      </c>
      <c r="F481" s="2" t="s">
        <v>956</v>
      </c>
      <c r="G481" s="2" t="s">
        <v>957</v>
      </c>
    </row>
    <row r="482" spans="1:7" ht="120" x14ac:dyDescent="0.25">
      <c r="A482" s="4">
        <v>481</v>
      </c>
      <c r="B482" s="5">
        <v>9.4680851063829785E-2</v>
      </c>
      <c r="C482" s="5">
        <v>0.2253012048192771</v>
      </c>
      <c r="D482" s="5">
        <v>0.01</v>
      </c>
      <c r="E482" s="5">
        <v>0</v>
      </c>
      <c r="F482" s="2" t="s">
        <v>958</v>
      </c>
      <c r="G482" s="2" t="s">
        <v>959</v>
      </c>
    </row>
    <row r="483" spans="1:7" ht="300" x14ac:dyDescent="0.25">
      <c r="A483" s="4">
        <v>482</v>
      </c>
      <c r="B483" s="5">
        <v>0.1638297872340426</v>
      </c>
      <c r="C483" s="5">
        <v>0.2024096385542169</v>
      </c>
      <c r="D483" s="5">
        <v>0.05</v>
      </c>
      <c r="E483" s="5">
        <v>1.6228748068006182E-2</v>
      </c>
      <c r="F483" s="2" t="s">
        <v>960</v>
      </c>
      <c r="G483" s="2" t="s">
        <v>961</v>
      </c>
    </row>
    <row r="484" spans="1:7" ht="285" x14ac:dyDescent="0.25">
      <c r="A484" s="4">
        <v>483</v>
      </c>
      <c r="B484" s="5">
        <v>0.13297872340425529</v>
      </c>
      <c r="C484" s="5">
        <v>0.25662650602409642</v>
      </c>
      <c r="D484" s="5">
        <v>3.4000000000000002E-2</v>
      </c>
      <c r="E484" s="5">
        <v>3.4003091190108188E-3</v>
      </c>
      <c r="F484" s="2" t="s">
        <v>962</v>
      </c>
      <c r="G484" s="2" t="s">
        <v>963</v>
      </c>
    </row>
    <row r="485" spans="1:7" ht="150" x14ac:dyDescent="0.25">
      <c r="A485" s="4">
        <v>484</v>
      </c>
      <c r="B485" s="5">
        <v>0.16170212765957451</v>
      </c>
      <c r="C485" s="5">
        <v>0.21204819277108439</v>
      </c>
      <c r="D485" s="5">
        <v>6.0999999999999999E-2</v>
      </c>
      <c r="E485" s="5">
        <v>1.035548686244204E-2</v>
      </c>
      <c r="F485" s="2" t="s">
        <v>964</v>
      </c>
      <c r="G485" s="2" t="s">
        <v>965</v>
      </c>
    </row>
    <row r="486" spans="1:7" ht="270" x14ac:dyDescent="0.25">
      <c r="A486" s="4">
        <v>485</v>
      </c>
      <c r="B486" s="5">
        <v>0.1276595744680851</v>
      </c>
      <c r="C486" s="5">
        <v>0.17228915662650601</v>
      </c>
      <c r="D486" s="5">
        <v>4.9000000000000002E-2</v>
      </c>
      <c r="E486" s="5">
        <v>7.1097372488408027E-3</v>
      </c>
      <c r="F486" s="2" t="s">
        <v>966</v>
      </c>
      <c r="G486" s="2" t="s">
        <v>967</v>
      </c>
    </row>
    <row r="487" spans="1:7" ht="255" x14ac:dyDescent="0.25">
      <c r="A487" s="4">
        <v>486</v>
      </c>
      <c r="B487" s="5">
        <v>0.1531914893617021</v>
      </c>
      <c r="C487" s="5">
        <v>0.21084337349397589</v>
      </c>
      <c r="D487" s="5">
        <v>6.3E-2</v>
      </c>
      <c r="E487" s="5">
        <v>6.646058732612055E-3</v>
      </c>
      <c r="F487" s="2" t="s">
        <v>968</v>
      </c>
      <c r="G487" s="2" t="s">
        <v>969</v>
      </c>
    </row>
    <row r="488" spans="1:7" ht="240" x14ac:dyDescent="0.25">
      <c r="A488" s="4">
        <v>487</v>
      </c>
      <c r="B488" s="5">
        <v>0.1404255319148936</v>
      </c>
      <c r="C488" s="5">
        <v>0.20481927710843381</v>
      </c>
      <c r="D488" s="5">
        <v>6.6000000000000003E-2</v>
      </c>
      <c r="E488" s="5">
        <v>1.70015455950541E-3</v>
      </c>
      <c r="F488" s="2" t="s">
        <v>970</v>
      </c>
      <c r="G488" s="2" t="s">
        <v>971</v>
      </c>
    </row>
    <row r="489" spans="1:7" ht="300" x14ac:dyDescent="0.25">
      <c r="A489" s="4">
        <v>488</v>
      </c>
      <c r="B489" s="5">
        <v>0.1659574468085106</v>
      </c>
      <c r="C489" s="5">
        <v>0.33734939759036148</v>
      </c>
      <c r="D489" s="5">
        <v>0.04</v>
      </c>
      <c r="E489" s="5">
        <v>3.0911901081916542E-3</v>
      </c>
      <c r="F489" s="2" t="s">
        <v>972</v>
      </c>
      <c r="G489" s="2" t="s">
        <v>973</v>
      </c>
    </row>
    <row r="490" spans="1:7" ht="150" x14ac:dyDescent="0.25">
      <c r="A490" s="4">
        <v>489</v>
      </c>
      <c r="B490" s="5">
        <v>0.18723404255319151</v>
      </c>
      <c r="C490" s="5">
        <v>0.38554216867469882</v>
      </c>
      <c r="D490" s="5">
        <v>4.3999999999999997E-2</v>
      </c>
      <c r="E490" s="5">
        <v>0</v>
      </c>
      <c r="F490" s="2" t="s">
        <v>974</v>
      </c>
      <c r="G490" s="2" t="s">
        <v>975</v>
      </c>
    </row>
    <row r="491" spans="1:7" ht="210" x14ac:dyDescent="0.25">
      <c r="A491" s="4">
        <v>490</v>
      </c>
      <c r="B491" s="5">
        <v>0.1670212765957447</v>
      </c>
      <c r="C491" s="5">
        <v>0.33734939759036148</v>
      </c>
      <c r="D491" s="5">
        <v>4.2000000000000003E-2</v>
      </c>
      <c r="E491" s="5">
        <v>2.7820710973724878E-3</v>
      </c>
      <c r="F491" s="2" t="s">
        <v>976</v>
      </c>
      <c r="G491" s="2" t="s">
        <v>977</v>
      </c>
    </row>
    <row r="492" spans="1:7" ht="270" x14ac:dyDescent="0.25">
      <c r="A492" s="4">
        <v>491</v>
      </c>
      <c r="B492" s="5">
        <v>0.18085106382978719</v>
      </c>
      <c r="C492" s="5">
        <v>0.37349397590361449</v>
      </c>
      <c r="D492" s="5">
        <v>4.2000000000000003E-2</v>
      </c>
      <c r="E492" s="5">
        <v>0</v>
      </c>
      <c r="F492" s="2" t="s">
        <v>978</v>
      </c>
      <c r="G492" s="2" t="s">
        <v>979</v>
      </c>
    </row>
    <row r="493" spans="1:7" ht="120" x14ac:dyDescent="0.25">
      <c r="A493" s="4">
        <v>492</v>
      </c>
      <c r="B493" s="5">
        <v>0.1627659574468085</v>
      </c>
      <c r="C493" s="5">
        <v>0.36144578313253012</v>
      </c>
      <c r="D493" s="5">
        <v>2.8000000000000001E-2</v>
      </c>
      <c r="E493" s="5">
        <v>0</v>
      </c>
      <c r="F493" s="2" t="s">
        <v>980</v>
      </c>
      <c r="G493" s="2" t="s">
        <v>981</v>
      </c>
    </row>
    <row r="494" spans="1:7" ht="135" x14ac:dyDescent="0.25">
      <c r="A494" s="4">
        <v>493</v>
      </c>
      <c r="B494" s="5">
        <v>0.15106382978723401</v>
      </c>
      <c r="C494" s="5">
        <v>0.3253012048192771</v>
      </c>
      <c r="D494" s="5">
        <v>0.03</v>
      </c>
      <c r="E494" s="5">
        <v>0</v>
      </c>
      <c r="F494" s="2" t="s">
        <v>982</v>
      </c>
      <c r="G494" s="2" t="s">
        <v>983</v>
      </c>
    </row>
    <row r="495" spans="1:7" ht="270" x14ac:dyDescent="0.25">
      <c r="A495" s="4">
        <v>494</v>
      </c>
      <c r="B495" s="5">
        <v>0.44148936170212771</v>
      </c>
      <c r="C495" s="5">
        <v>0.73855421686746991</v>
      </c>
      <c r="D495" s="5">
        <v>0.17599999999999999</v>
      </c>
      <c r="E495" s="5">
        <v>4.4822256568778978E-3</v>
      </c>
      <c r="F495" s="2" t="s">
        <v>984</v>
      </c>
      <c r="G495" s="2" t="s">
        <v>985</v>
      </c>
    </row>
    <row r="496" spans="1:7" ht="150" x14ac:dyDescent="0.25">
      <c r="A496" s="4">
        <v>495</v>
      </c>
      <c r="B496" s="5">
        <v>0.56808510638297871</v>
      </c>
      <c r="C496" s="5">
        <v>0.48433734939759038</v>
      </c>
      <c r="D496" s="5">
        <v>0.39300000000000002</v>
      </c>
      <c r="E496" s="5">
        <v>7.573415765069552E-3</v>
      </c>
      <c r="F496" s="2" t="s">
        <v>986</v>
      </c>
      <c r="G496" s="2" t="s">
        <v>987</v>
      </c>
    </row>
    <row r="497" spans="1:7" ht="120" x14ac:dyDescent="0.25">
      <c r="A497" s="4">
        <v>496</v>
      </c>
      <c r="B497" s="5">
        <v>0.30212765957446808</v>
      </c>
      <c r="C497" s="5">
        <v>0.41084337349397593</v>
      </c>
      <c r="D497" s="5">
        <v>9.9000000000000005E-2</v>
      </c>
      <c r="E497" s="5">
        <v>2.2565687789799071E-2</v>
      </c>
      <c r="F497" s="2" t="s">
        <v>988</v>
      </c>
      <c r="G497" s="2" t="s">
        <v>989</v>
      </c>
    </row>
    <row r="498" spans="1:7" ht="135" x14ac:dyDescent="0.25">
      <c r="A498" s="4">
        <v>497</v>
      </c>
      <c r="B498" s="5">
        <v>0.1202127659574468</v>
      </c>
      <c r="C498" s="5">
        <v>0.1674698795180723</v>
      </c>
      <c r="D498" s="5">
        <v>4.9000000000000002E-2</v>
      </c>
      <c r="E498" s="5">
        <v>5.2550231839258114E-3</v>
      </c>
      <c r="F498" s="2" t="s">
        <v>990</v>
      </c>
      <c r="G498" s="2" t="s">
        <v>991</v>
      </c>
    </row>
    <row r="499" spans="1:7" ht="255" x14ac:dyDescent="0.25">
      <c r="A499" s="4">
        <v>498</v>
      </c>
      <c r="B499" s="5">
        <v>0.25531914893617019</v>
      </c>
      <c r="C499" s="5">
        <v>0.26144578313253009</v>
      </c>
      <c r="D499" s="5">
        <v>7.6999999999999999E-2</v>
      </c>
      <c r="E499" s="5">
        <v>3.1993817619783607E-2</v>
      </c>
      <c r="F499" s="2" t="s">
        <v>992</v>
      </c>
      <c r="G499" s="2" t="s">
        <v>993</v>
      </c>
    </row>
    <row r="500" spans="1:7" ht="150" x14ac:dyDescent="0.25">
      <c r="A500" s="4">
        <v>499</v>
      </c>
      <c r="B500" s="5">
        <v>0.1159574468085106</v>
      </c>
      <c r="C500" s="5">
        <v>0.2397590361445783</v>
      </c>
      <c r="D500" s="5">
        <v>1.7999999999999999E-2</v>
      </c>
      <c r="E500" s="5">
        <v>5.2550231839258114E-3</v>
      </c>
      <c r="F500" s="2" t="s">
        <v>994</v>
      </c>
      <c r="G500" s="2" t="s">
        <v>995</v>
      </c>
    </row>
    <row r="501" spans="1:7" ht="240" x14ac:dyDescent="0.25">
      <c r="A501" s="4">
        <v>500</v>
      </c>
      <c r="B501" s="5">
        <v>0.1202127659574468</v>
      </c>
      <c r="C501" s="5">
        <v>0.20481927710843381</v>
      </c>
      <c r="D501" s="5">
        <v>4.4999999999999998E-2</v>
      </c>
      <c r="E501" s="5">
        <v>0</v>
      </c>
      <c r="F501" s="2" t="s">
        <v>996</v>
      </c>
      <c r="G501" s="2" t="s">
        <v>997</v>
      </c>
    </row>
    <row r="502" spans="1:7" ht="225" x14ac:dyDescent="0.25">
      <c r="A502" s="4">
        <v>501</v>
      </c>
      <c r="B502" s="5">
        <v>0.20638297872340419</v>
      </c>
      <c r="C502" s="5">
        <v>0.45783132530120491</v>
      </c>
      <c r="D502" s="5">
        <v>3.5000000000000003E-2</v>
      </c>
      <c r="E502" s="5">
        <v>0</v>
      </c>
      <c r="F502" s="2" t="s">
        <v>998</v>
      </c>
      <c r="G502" s="2" t="s">
        <v>999</v>
      </c>
    </row>
    <row r="503" spans="1:7" ht="180" x14ac:dyDescent="0.25">
      <c r="A503" s="4">
        <v>502</v>
      </c>
      <c r="B503" s="5">
        <v>0.14680851063829789</v>
      </c>
      <c r="C503" s="5">
        <v>0.3253012048192771</v>
      </c>
      <c r="D503" s="5">
        <v>3.3000000000000002E-2</v>
      </c>
      <c r="E503" s="5">
        <v>0</v>
      </c>
      <c r="F503" s="2" t="s">
        <v>1000</v>
      </c>
      <c r="G503" s="2" t="s">
        <v>1001</v>
      </c>
    </row>
    <row r="504" spans="1:7" ht="270" x14ac:dyDescent="0.25">
      <c r="A504" s="4">
        <v>503</v>
      </c>
      <c r="B504" s="5">
        <v>0.1063829787234043</v>
      </c>
      <c r="C504" s="5">
        <v>0.22650602409638559</v>
      </c>
      <c r="D504" s="5">
        <v>2.1999999999999999E-2</v>
      </c>
      <c r="E504" s="5">
        <v>0</v>
      </c>
      <c r="F504" s="2" t="s">
        <v>1002</v>
      </c>
      <c r="G504" s="2" t="s">
        <v>1003</v>
      </c>
    </row>
    <row r="505" spans="1:7" ht="165" x14ac:dyDescent="0.25">
      <c r="A505" s="4">
        <v>504</v>
      </c>
      <c r="B505" s="5">
        <v>0.30744680851063833</v>
      </c>
      <c r="C505" s="5">
        <v>0.45783132530120491</v>
      </c>
      <c r="D505" s="5">
        <v>0.14000000000000001</v>
      </c>
      <c r="E505" s="5">
        <v>0</v>
      </c>
      <c r="F505" s="2" t="s">
        <v>1004</v>
      </c>
      <c r="G505" s="2" t="s">
        <v>1005</v>
      </c>
    </row>
    <row r="506" spans="1:7" ht="255" x14ac:dyDescent="0.25">
      <c r="A506" s="4">
        <v>505</v>
      </c>
      <c r="B506" s="5">
        <v>8.9361702127659579E-2</v>
      </c>
      <c r="C506" s="5">
        <v>0.18313253012048189</v>
      </c>
      <c r="D506" s="5">
        <v>6.0000000000000001E-3</v>
      </c>
      <c r="E506" s="5">
        <v>7.2642967542503869E-3</v>
      </c>
      <c r="F506" s="2" t="s">
        <v>1006</v>
      </c>
      <c r="G506" s="2" t="s">
        <v>1007</v>
      </c>
    </row>
    <row r="507" spans="1:7" ht="135" x14ac:dyDescent="0.25">
      <c r="A507" s="4">
        <v>506</v>
      </c>
      <c r="B507" s="5">
        <v>8.6170212765957446E-2</v>
      </c>
      <c r="C507" s="5">
        <v>0.13734939759036149</v>
      </c>
      <c r="D507" s="5">
        <v>1.9E-2</v>
      </c>
      <c r="E507" s="5">
        <v>5.8732612055641424E-3</v>
      </c>
      <c r="F507" s="2" t="s">
        <v>1008</v>
      </c>
      <c r="G507" s="2" t="s">
        <v>208</v>
      </c>
    </row>
    <row r="508" spans="1:7" ht="105" x14ac:dyDescent="0.25">
      <c r="A508" s="4">
        <v>507</v>
      </c>
      <c r="B508" s="5">
        <v>0.2117021276595745</v>
      </c>
      <c r="C508" s="5">
        <v>0.41084337349397593</v>
      </c>
      <c r="D508" s="5">
        <v>3.7999999999999999E-2</v>
      </c>
      <c r="E508" s="5">
        <v>1.097372488408037E-2</v>
      </c>
      <c r="F508" s="2" t="s">
        <v>1009</v>
      </c>
      <c r="G508" s="2" t="s">
        <v>1010</v>
      </c>
    </row>
    <row r="509" spans="1:7" ht="150" x14ac:dyDescent="0.25">
      <c r="A509" s="4">
        <v>508</v>
      </c>
      <c r="B509" s="5">
        <v>0.1180851063829787</v>
      </c>
      <c r="C509" s="5">
        <v>0.16024096385542169</v>
      </c>
      <c r="D509" s="5">
        <v>3.4000000000000002E-2</v>
      </c>
      <c r="E509" s="5">
        <v>1.035548686244204E-2</v>
      </c>
      <c r="F509" s="2" t="s">
        <v>1011</v>
      </c>
      <c r="G509" s="2" t="s">
        <v>1012</v>
      </c>
    </row>
    <row r="510" spans="1:7" ht="135" x14ac:dyDescent="0.25">
      <c r="A510" s="4">
        <v>509</v>
      </c>
      <c r="B510" s="5">
        <v>9.3617021276595741E-2</v>
      </c>
      <c r="C510" s="5">
        <v>0.19156626506024099</v>
      </c>
      <c r="D510" s="5">
        <v>9.0000000000000011E-3</v>
      </c>
      <c r="E510" s="5">
        <v>6.33693972179289E-3</v>
      </c>
      <c r="F510" s="2" t="s">
        <v>1013</v>
      </c>
      <c r="G510" s="2" t="s">
        <v>1014</v>
      </c>
    </row>
    <row r="511" spans="1:7" ht="165" x14ac:dyDescent="0.25">
      <c r="A511" s="4">
        <v>510</v>
      </c>
      <c r="B511" s="5">
        <v>0.10212765957446809</v>
      </c>
      <c r="C511" s="5">
        <v>0.23493975903614461</v>
      </c>
      <c r="D511" s="5">
        <v>1.0999999999999999E-2</v>
      </c>
      <c r="E511" s="5">
        <v>3.0911901081916542E-3</v>
      </c>
      <c r="F511" s="2" t="s">
        <v>1015</v>
      </c>
      <c r="G511" s="2" t="s">
        <v>1016</v>
      </c>
    </row>
    <row r="512" spans="1:7" ht="409.5" x14ac:dyDescent="0.25">
      <c r="A512" s="4">
        <v>511</v>
      </c>
      <c r="B512" s="5">
        <v>0.10106382978723399</v>
      </c>
      <c r="C512" s="5">
        <v>0.19036144578313249</v>
      </c>
      <c r="D512" s="5">
        <v>6.9999999999999993E-3</v>
      </c>
      <c r="E512" s="5">
        <v>1.004636785162288E-2</v>
      </c>
      <c r="F512" s="2" t="s">
        <v>1017</v>
      </c>
      <c r="G512" s="2" t="s">
        <v>1018</v>
      </c>
    </row>
    <row r="513" spans="1:7" ht="195" x14ac:dyDescent="0.25">
      <c r="A513" s="4">
        <v>512</v>
      </c>
      <c r="B513" s="5">
        <v>0.38085106382978717</v>
      </c>
      <c r="C513" s="5">
        <v>0.24939759036144579</v>
      </c>
      <c r="D513" s="5">
        <v>0.26400000000000001</v>
      </c>
      <c r="E513" s="5">
        <v>1.452859350850077E-2</v>
      </c>
      <c r="F513" s="2" t="s">
        <v>1019</v>
      </c>
      <c r="G513" s="2" t="s">
        <v>1020</v>
      </c>
    </row>
    <row r="514" spans="1:7" ht="225" x14ac:dyDescent="0.25">
      <c r="A514" s="4">
        <v>513</v>
      </c>
      <c r="B514" s="5">
        <v>0.21702127659574469</v>
      </c>
      <c r="C514" s="5">
        <v>0.19277108433734941</v>
      </c>
      <c r="D514" s="5">
        <v>0.15</v>
      </c>
      <c r="E514" s="5">
        <v>0</v>
      </c>
      <c r="F514" s="2" t="s">
        <v>1021</v>
      </c>
      <c r="G514" s="2" t="s">
        <v>1022</v>
      </c>
    </row>
    <row r="515" spans="1:7" ht="210" x14ac:dyDescent="0.25">
      <c r="A515" s="4">
        <v>514</v>
      </c>
      <c r="B515" s="5">
        <v>0.1074468085106383</v>
      </c>
      <c r="C515" s="5">
        <v>0.1819277108433735</v>
      </c>
      <c r="D515" s="5">
        <v>4.0999999999999988E-2</v>
      </c>
      <c r="E515" s="5">
        <v>1.5455950540958271E-3</v>
      </c>
      <c r="F515" s="2" t="s">
        <v>1023</v>
      </c>
      <c r="G515" s="2" t="s">
        <v>1024</v>
      </c>
    </row>
    <row r="516" spans="1:7" ht="225" x14ac:dyDescent="0.25">
      <c r="A516" s="4">
        <v>515</v>
      </c>
      <c r="B516" s="5">
        <v>0.33617021276595738</v>
      </c>
      <c r="C516" s="5">
        <v>0.72409638554216871</v>
      </c>
      <c r="D516" s="5">
        <v>6.5000000000000002E-2</v>
      </c>
      <c r="E516" s="5">
        <v>3.4621329211746522E-2</v>
      </c>
      <c r="F516" s="2" t="s">
        <v>1025</v>
      </c>
      <c r="G516" s="2" t="s">
        <v>1026</v>
      </c>
    </row>
    <row r="517" spans="1:7" ht="409.5" x14ac:dyDescent="0.25">
      <c r="A517" s="4">
        <v>516</v>
      </c>
      <c r="B517" s="5">
        <v>0.1042553191489362</v>
      </c>
      <c r="C517" s="5">
        <v>0.236144578313253</v>
      </c>
      <c r="D517" s="5">
        <v>1.7000000000000001E-2</v>
      </c>
      <c r="E517" s="5">
        <v>1.5455950540958271E-3</v>
      </c>
      <c r="F517" s="2" t="s">
        <v>1027</v>
      </c>
      <c r="G517" s="2" t="s">
        <v>1028</v>
      </c>
    </row>
    <row r="518" spans="1:7" ht="195" x14ac:dyDescent="0.25">
      <c r="A518" s="4">
        <v>517</v>
      </c>
      <c r="B518" s="5">
        <v>0.2946808510638298</v>
      </c>
      <c r="C518" s="5">
        <v>0.72289156626506024</v>
      </c>
      <c r="D518" s="5">
        <v>2.3E-2</v>
      </c>
      <c r="E518" s="5">
        <v>2.7820710973724878E-3</v>
      </c>
      <c r="F518" s="2" t="s">
        <v>1029</v>
      </c>
      <c r="G518" s="2" t="s">
        <v>1030</v>
      </c>
    </row>
    <row r="519" spans="1:7" ht="409.5" x14ac:dyDescent="0.25">
      <c r="A519" s="4">
        <v>518</v>
      </c>
      <c r="B519" s="5">
        <v>0.18085106382978719</v>
      </c>
      <c r="C519" s="5">
        <v>0.40240963855421691</v>
      </c>
      <c r="D519" s="5">
        <v>0.03</v>
      </c>
      <c r="E519" s="5">
        <v>0</v>
      </c>
      <c r="F519" s="2" t="s">
        <v>1031</v>
      </c>
      <c r="G519" s="2" t="s">
        <v>1032</v>
      </c>
    </row>
    <row r="520" spans="1:7" ht="135" x14ac:dyDescent="0.25">
      <c r="A520" s="4">
        <v>519</v>
      </c>
      <c r="B520" s="5">
        <v>0.35212765957446812</v>
      </c>
      <c r="C520" s="5">
        <v>0.8277108433734941</v>
      </c>
      <c r="D520" s="5">
        <v>4.2000000000000003E-2</v>
      </c>
      <c r="E520" s="5">
        <v>0</v>
      </c>
      <c r="F520" s="2" t="s">
        <v>1033</v>
      </c>
      <c r="G520" s="2" t="s">
        <v>1034</v>
      </c>
    </row>
    <row r="521" spans="1:7" ht="105" x14ac:dyDescent="0.25">
      <c r="A521" s="4">
        <v>520</v>
      </c>
      <c r="B521" s="5">
        <v>0.1531914893617021</v>
      </c>
      <c r="C521" s="5">
        <v>0.391566265060241</v>
      </c>
      <c r="D521" s="5">
        <v>6.0000000000000001E-3</v>
      </c>
      <c r="E521" s="5">
        <v>0</v>
      </c>
      <c r="F521" s="2" t="s">
        <v>1035</v>
      </c>
      <c r="G521" s="2" t="s">
        <v>1036</v>
      </c>
    </row>
    <row r="522" spans="1:7" ht="225" x14ac:dyDescent="0.25">
      <c r="A522" s="4">
        <v>521</v>
      </c>
      <c r="B522" s="5">
        <v>7.8723404255319152E-2</v>
      </c>
      <c r="C522" s="5">
        <v>0.1240963855421687</v>
      </c>
      <c r="D522" s="5">
        <v>1.4E-2</v>
      </c>
      <c r="E522" s="5">
        <v>6.33693972179289E-3</v>
      </c>
      <c r="F522" s="2" t="s">
        <v>1037</v>
      </c>
      <c r="G522" s="2" t="s">
        <v>1038</v>
      </c>
    </row>
    <row r="523" spans="1:7" ht="120" x14ac:dyDescent="0.25">
      <c r="A523" s="4">
        <v>522</v>
      </c>
      <c r="B523" s="5">
        <v>0.36914893617021283</v>
      </c>
      <c r="C523" s="5">
        <v>0.58795180722891571</v>
      </c>
      <c r="D523" s="5">
        <v>6.4000000000000001E-2</v>
      </c>
      <c r="E523" s="5">
        <v>3.0293663060278211E-2</v>
      </c>
      <c r="F523" s="2" t="s">
        <v>1039</v>
      </c>
      <c r="G523" s="2" t="s">
        <v>1040</v>
      </c>
    </row>
    <row r="524" spans="1:7" ht="135" x14ac:dyDescent="0.25">
      <c r="A524" s="4">
        <v>523</v>
      </c>
      <c r="B524" s="5">
        <v>8.723404255319149E-2</v>
      </c>
      <c r="C524" s="5">
        <v>0.2096385542168675</v>
      </c>
      <c r="D524" s="5">
        <v>4.0000000000000001E-3</v>
      </c>
      <c r="E524" s="5">
        <v>3.5548686244204009E-3</v>
      </c>
      <c r="F524" s="2" t="s">
        <v>1041</v>
      </c>
      <c r="G524" s="2" t="s">
        <v>1042</v>
      </c>
    </row>
    <row r="525" spans="1:7" ht="165" x14ac:dyDescent="0.25">
      <c r="A525" s="4">
        <v>524</v>
      </c>
      <c r="B525" s="5">
        <v>0.1063829787234043</v>
      </c>
      <c r="C525" s="5">
        <v>0.16506024096385541</v>
      </c>
      <c r="D525" s="5">
        <v>1.4999999999999999E-2</v>
      </c>
      <c r="E525" s="5">
        <v>1.236476043276661E-2</v>
      </c>
      <c r="F525" s="2" t="s">
        <v>1043</v>
      </c>
      <c r="G525" s="2" t="s">
        <v>1044</v>
      </c>
    </row>
    <row r="526" spans="1:7" ht="105" x14ac:dyDescent="0.25">
      <c r="A526" s="4">
        <v>525</v>
      </c>
      <c r="B526" s="5">
        <v>0.10212765957446809</v>
      </c>
      <c r="C526" s="5">
        <v>0.23132530120481931</v>
      </c>
      <c r="D526" s="5">
        <v>0.02</v>
      </c>
      <c r="E526" s="5">
        <v>3.0911901081916539E-4</v>
      </c>
      <c r="F526" s="2" t="s">
        <v>1045</v>
      </c>
      <c r="G526" s="2" t="s">
        <v>1046</v>
      </c>
    </row>
    <row r="527" spans="1:7" ht="165" x14ac:dyDescent="0.25">
      <c r="A527" s="4">
        <v>526</v>
      </c>
      <c r="B527" s="5">
        <v>0.50425531914893618</v>
      </c>
      <c r="C527" s="5">
        <v>9.1566265060240959E-2</v>
      </c>
      <c r="D527" s="5">
        <v>0.216</v>
      </c>
      <c r="E527" s="5">
        <v>9.6290571870170011E-2</v>
      </c>
      <c r="F527" s="2" t="s">
        <v>1047</v>
      </c>
      <c r="G527" s="2" t="s">
        <v>1048</v>
      </c>
    </row>
    <row r="528" spans="1:7" ht="360" x14ac:dyDescent="0.25">
      <c r="A528" s="4">
        <v>527</v>
      </c>
      <c r="B528" s="5">
        <v>0.52765957446808509</v>
      </c>
      <c r="C528" s="5">
        <v>0.36506024096385548</v>
      </c>
      <c r="D528" s="5">
        <v>0.33500000000000002</v>
      </c>
      <c r="E528" s="5">
        <v>2.8438948995363211E-2</v>
      </c>
      <c r="F528" s="2" t="s">
        <v>1049</v>
      </c>
      <c r="G528" s="2" t="s">
        <v>1050</v>
      </c>
    </row>
    <row r="529" spans="1:7" ht="225" x14ac:dyDescent="0.25">
      <c r="A529" s="4">
        <v>528</v>
      </c>
      <c r="B529" s="5">
        <v>0.1659574468085106</v>
      </c>
      <c r="C529" s="5">
        <v>3.2530120481927723E-2</v>
      </c>
      <c r="D529" s="5">
        <v>1.2999999999999999E-2</v>
      </c>
      <c r="E529" s="5">
        <v>5.1468315301391031E-2</v>
      </c>
      <c r="F529" s="2" t="s">
        <v>1051</v>
      </c>
      <c r="G529" s="2" t="s">
        <v>1052</v>
      </c>
    </row>
    <row r="530" spans="1:7" ht="165" x14ac:dyDescent="0.25">
      <c r="A530" s="4">
        <v>529</v>
      </c>
      <c r="B530" s="5">
        <v>0.38404255319148939</v>
      </c>
      <c r="C530" s="5">
        <v>0.10481927710843369</v>
      </c>
      <c r="D530" s="5">
        <v>4.4999999999999998E-2</v>
      </c>
      <c r="E530" s="5">
        <v>0.1119010819165379</v>
      </c>
      <c r="F530" s="2" t="s">
        <v>1053</v>
      </c>
      <c r="G530" s="2" t="s">
        <v>1054</v>
      </c>
    </row>
    <row r="531" spans="1:7" ht="240" x14ac:dyDescent="0.25">
      <c r="A531" s="4">
        <v>530</v>
      </c>
      <c r="B531" s="5">
        <v>0.13723404255319149</v>
      </c>
      <c r="C531" s="5">
        <v>4.9397590361445781E-2</v>
      </c>
      <c r="D531" s="5">
        <v>1.2999999999999999E-2</v>
      </c>
      <c r="E531" s="5">
        <v>4.6831530139103558E-2</v>
      </c>
      <c r="F531" s="2" t="s">
        <v>1055</v>
      </c>
      <c r="G531" s="2" t="s">
        <v>1056</v>
      </c>
    </row>
    <row r="532" spans="1:7" ht="405" x14ac:dyDescent="0.25">
      <c r="A532" s="4">
        <v>531</v>
      </c>
      <c r="B532" s="5">
        <v>0.32659574468085112</v>
      </c>
      <c r="C532" s="5">
        <v>9.5180722891566275E-2</v>
      </c>
      <c r="D532" s="5">
        <v>3.4000000000000002E-2</v>
      </c>
      <c r="E532" s="5">
        <v>9.8299845440494596E-2</v>
      </c>
      <c r="F532" s="2" t="s">
        <v>1057</v>
      </c>
      <c r="G532" s="2" t="s">
        <v>1058</v>
      </c>
    </row>
    <row r="533" spans="1:7" ht="210" x14ac:dyDescent="0.25">
      <c r="A533" s="4">
        <v>532</v>
      </c>
      <c r="B533" s="5">
        <v>0.38936170212765958</v>
      </c>
      <c r="C533" s="5">
        <v>0.1180722891566265</v>
      </c>
      <c r="D533" s="5">
        <v>7.2999999999999995E-2</v>
      </c>
      <c r="E533" s="5">
        <v>0.1068006182380216</v>
      </c>
      <c r="F533" s="2" t="s">
        <v>1059</v>
      </c>
      <c r="G533" s="2" t="s">
        <v>1060</v>
      </c>
    </row>
    <row r="534" spans="1:7" ht="405" x14ac:dyDescent="0.25">
      <c r="A534" s="4">
        <v>533</v>
      </c>
      <c r="B534" s="5">
        <v>0.37765957446808512</v>
      </c>
      <c r="C534" s="5">
        <v>0.1108433734939759</v>
      </c>
      <c r="D534" s="5">
        <v>3.9E-2</v>
      </c>
      <c r="E534" s="5">
        <v>0.1139103554868624</v>
      </c>
      <c r="F534" s="2" t="s">
        <v>1061</v>
      </c>
      <c r="G534" s="2" t="s">
        <v>1058</v>
      </c>
    </row>
    <row r="535" spans="1:7" ht="225" x14ac:dyDescent="0.25">
      <c r="A535" s="4">
        <v>534</v>
      </c>
      <c r="B535" s="5">
        <v>0.1638297872340426</v>
      </c>
      <c r="C535" s="5">
        <v>4.5783132530120479E-2</v>
      </c>
      <c r="D535" s="5">
        <v>3.5000000000000003E-2</v>
      </c>
      <c r="E535" s="5">
        <v>4.3894899536321481E-2</v>
      </c>
      <c r="F535" s="2" t="s">
        <v>1062</v>
      </c>
      <c r="G535" s="2" t="s">
        <v>1063</v>
      </c>
    </row>
    <row r="536" spans="1:7" ht="375" x14ac:dyDescent="0.25">
      <c r="A536" s="4">
        <v>535</v>
      </c>
      <c r="B536" s="5">
        <v>0.14893617021276601</v>
      </c>
      <c r="C536" s="5">
        <v>5.6626506024096392E-2</v>
      </c>
      <c r="D536" s="5">
        <v>1.2999999999999999E-2</v>
      </c>
      <c r="E536" s="5">
        <v>5.1159196290571869E-2</v>
      </c>
      <c r="F536" s="2" t="s">
        <v>1064</v>
      </c>
      <c r="G536" s="2" t="s">
        <v>1065</v>
      </c>
    </row>
    <row r="537" spans="1:7" ht="240" x14ac:dyDescent="0.25">
      <c r="A537" s="4">
        <v>536</v>
      </c>
      <c r="B537" s="5">
        <v>0.37765957446808512</v>
      </c>
      <c r="C537" s="5">
        <v>0.1108433734939759</v>
      </c>
      <c r="D537" s="5">
        <v>3.9E-2</v>
      </c>
      <c r="E537" s="5">
        <v>0.1139103554868624</v>
      </c>
      <c r="F537" s="2" t="s">
        <v>1066</v>
      </c>
      <c r="G537" s="2" t="s">
        <v>1067</v>
      </c>
    </row>
    <row r="538" spans="1:7" ht="210" x14ac:dyDescent="0.25">
      <c r="A538" s="4">
        <v>537</v>
      </c>
      <c r="B538" s="5">
        <v>3.7234042553191488E-2</v>
      </c>
      <c r="C538" s="5">
        <v>2.6506024096385541E-2</v>
      </c>
      <c r="D538" s="5">
        <v>1E-3</v>
      </c>
      <c r="E538" s="5">
        <v>1.143740340030912E-2</v>
      </c>
      <c r="F538" s="2" t="s">
        <v>1068</v>
      </c>
      <c r="G538" s="2" t="s">
        <v>1069</v>
      </c>
    </row>
    <row r="539" spans="1:7" ht="409.5" x14ac:dyDescent="0.25">
      <c r="A539" s="4">
        <v>538</v>
      </c>
      <c r="B539" s="5">
        <v>0.15638297872340429</v>
      </c>
      <c r="C539" s="5">
        <v>6.1445783132530123E-2</v>
      </c>
      <c r="D539" s="5">
        <v>6.9999999999999993E-3</v>
      </c>
      <c r="E539" s="5">
        <v>4.8686244204018549E-2</v>
      </c>
      <c r="F539" s="2" t="s">
        <v>1070</v>
      </c>
      <c r="G539" s="2" t="s">
        <v>1071</v>
      </c>
    </row>
    <row r="540" spans="1:7" ht="150" x14ac:dyDescent="0.25">
      <c r="A540" s="4">
        <v>539</v>
      </c>
      <c r="B540" s="5">
        <v>0.15106382978723401</v>
      </c>
      <c r="C540" s="5">
        <v>6.0240963855421693E-2</v>
      </c>
      <c r="D540" s="5">
        <v>6.9999999999999993E-3</v>
      </c>
      <c r="E540" s="5">
        <v>4.6831530139103558E-2</v>
      </c>
      <c r="F540" s="2" t="s">
        <v>1072</v>
      </c>
      <c r="G540" s="2" t="s">
        <v>1073</v>
      </c>
    </row>
    <row r="541" spans="1:7" ht="150" x14ac:dyDescent="0.25">
      <c r="A541" s="4">
        <v>540</v>
      </c>
      <c r="B541" s="5">
        <v>0.3904255319148936</v>
      </c>
      <c r="C541" s="5">
        <v>7.4698795180722893E-2</v>
      </c>
      <c r="D541" s="5">
        <v>5.0999999999999997E-2</v>
      </c>
      <c r="E541" s="5">
        <v>0.117774343122102</v>
      </c>
      <c r="F541" s="2" t="s">
        <v>1074</v>
      </c>
      <c r="G541" s="2" t="s">
        <v>1075</v>
      </c>
    </row>
    <row r="542" spans="1:7" ht="150" x14ac:dyDescent="0.25">
      <c r="A542" s="4">
        <v>541</v>
      </c>
      <c r="B542" s="5">
        <v>0.39148936170212773</v>
      </c>
      <c r="C542" s="5">
        <v>6.6265060240963861E-2</v>
      </c>
      <c r="D542" s="5">
        <v>4.5999999999999999E-2</v>
      </c>
      <c r="E542" s="5">
        <v>0.12055641421947449</v>
      </c>
      <c r="F542" s="2" t="s">
        <v>1076</v>
      </c>
      <c r="G542" s="2" t="s">
        <v>1077</v>
      </c>
    </row>
    <row r="543" spans="1:7" ht="135" x14ac:dyDescent="0.25">
      <c r="A543" s="4">
        <v>542</v>
      </c>
      <c r="B543" s="5">
        <v>0.38404255319148939</v>
      </c>
      <c r="C543" s="5">
        <v>0.10481927710843369</v>
      </c>
      <c r="D543" s="5">
        <v>4.4999999999999998E-2</v>
      </c>
      <c r="E543" s="5">
        <v>0.1119010819165379</v>
      </c>
      <c r="F543" s="2" t="s">
        <v>1078</v>
      </c>
      <c r="G543" s="2" t="s">
        <v>1079</v>
      </c>
    </row>
    <row r="544" spans="1:7" ht="240" x14ac:dyDescent="0.25">
      <c r="A544" s="4">
        <v>543</v>
      </c>
      <c r="B544" s="5">
        <v>0.13723404255319149</v>
      </c>
      <c r="C544" s="5">
        <v>4.9397590361445781E-2</v>
      </c>
      <c r="D544" s="5">
        <v>1.2999999999999999E-2</v>
      </c>
      <c r="E544" s="5">
        <v>4.6831530139103558E-2</v>
      </c>
      <c r="F544" s="2" t="s">
        <v>1080</v>
      </c>
      <c r="G544" s="2" t="s">
        <v>1081</v>
      </c>
    </row>
    <row r="545" spans="1:7" ht="135" x14ac:dyDescent="0.25">
      <c r="A545" s="4">
        <v>544</v>
      </c>
      <c r="B545" s="5">
        <v>0.32659574468085112</v>
      </c>
      <c r="C545" s="5">
        <v>9.5180722891566275E-2</v>
      </c>
      <c r="D545" s="5">
        <v>3.4000000000000002E-2</v>
      </c>
      <c r="E545" s="5">
        <v>9.8299845440494596E-2</v>
      </c>
      <c r="F545" s="2" t="s">
        <v>1082</v>
      </c>
      <c r="G545" s="2" t="s">
        <v>1083</v>
      </c>
    </row>
    <row r="546" spans="1:7" ht="135" x14ac:dyDescent="0.25">
      <c r="A546" s="4">
        <v>545</v>
      </c>
      <c r="B546" s="5">
        <v>0.37765957446808512</v>
      </c>
      <c r="C546" s="5">
        <v>0.1108433734939759</v>
      </c>
      <c r="D546" s="5">
        <v>3.9E-2</v>
      </c>
      <c r="E546" s="5">
        <v>0.1139103554868624</v>
      </c>
      <c r="F546" s="2" t="s">
        <v>1084</v>
      </c>
      <c r="G546" s="2" t="s">
        <v>1083</v>
      </c>
    </row>
    <row r="547" spans="1:7" ht="150" x14ac:dyDescent="0.25">
      <c r="A547" s="4">
        <v>546</v>
      </c>
      <c r="B547" s="5">
        <v>0.14893617021276601</v>
      </c>
      <c r="C547" s="5">
        <v>5.6626506024096392E-2</v>
      </c>
      <c r="D547" s="5">
        <v>1.2999999999999999E-2</v>
      </c>
      <c r="E547" s="5">
        <v>5.1159196290571869E-2</v>
      </c>
      <c r="F547" s="2" t="s">
        <v>1085</v>
      </c>
      <c r="G547" s="2" t="s">
        <v>1086</v>
      </c>
    </row>
    <row r="548" spans="1:7" ht="225" x14ac:dyDescent="0.25">
      <c r="A548" s="4">
        <v>547</v>
      </c>
      <c r="B548" s="5">
        <v>0.18617021276595741</v>
      </c>
      <c r="C548" s="5">
        <v>2.168674698795181E-2</v>
      </c>
      <c r="D548" s="5">
        <v>1.7999999999999999E-2</v>
      </c>
      <c r="E548" s="5">
        <v>5.4095826893353939E-2</v>
      </c>
      <c r="F548" s="2" t="s">
        <v>1087</v>
      </c>
      <c r="G548" s="2" t="s">
        <v>1088</v>
      </c>
    </row>
    <row r="549" spans="1:7" ht="255" x14ac:dyDescent="0.25">
      <c r="A549" s="4">
        <v>548</v>
      </c>
      <c r="B549" s="5">
        <v>0.15840425531914901</v>
      </c>
      <c r="C549" s="5">
        <v>0.12530120481927709</v>
      </c>
      <c r="D549" s="5">
        <v>0.104</v>
      </c>
      <c r="E549" s="5">
        <v>3.1066460587326119E-2</v>
      </c>
      <c r="F549" s="2" t="s">
        <v>1089</v>
      </c>
      <c r="G549" s="2" t="s">
        <v>1090</v>
      </c>
    </row>
    <row r="550" spans="1:7" ht="285" x14ac:dyDescent="0.25">
      <c r="A550" s="4">
        <v>549</v>
      </c>
      <c r="B550" s="5">
        <v>0.39787234042553188</v>
      </c>
      <c r="C550" s="5">
        <v>0.1132530120481928</v>
      </c>
      <c r="D550" s="5">
        <v>2.1999999999999999E-2</v>
      </c>
      <c r="E550" s="5">
        <v>0.1222565687789799</v>
      </c>
      <c r="F550" s="2" t="s">
        <v>1091</v>
      </c>
      <c r="G550" s="2" t="s">
        <v>1092</v>
      </c>
    </row>
    <row r="551" spans="1:7" ht="409.5" x14ac:dyDescent="0.25">
      <c r="A551" s="4">
        <v>550</v>
      </c>
      <c r="B551" s="5">
        <v>5.4255319148936172E-2</v>
      </c>
      <c r="C551" s="5">
        <v>1.8072289156626509E-2</v>
      </c>
      <c r="D551" s="5">
        <v>0.01</v>
      </c>
      <c r="E551" s="5">
        <v>1.561051004636785E-2</v>
      </c>
      <c r="F551" s="2" t="s">
        <v>1093</v>
      </c>
      <c r="G551" s="2" t="s">
        <v>1094</v>
      </c>
    </row>
    <row r="552" spans="1:7" ht="270" x14ac:dyDescent="0.25">
      <c r="A552" s="4">
        <v>551</v>
      </c>
      <c r="B552" s="5">
        <v>0.30744680851063833</v>
      </c>
      <c r="C552" s="5">
        <v>0.13253012048192769</v>
      </c>
      <c r="D552" s="5">
        <v>0.04</v>
      </c>
      <c r="E552" s="5">
        <v>9.428129829984544E-2</v>
      </c>
      <c r="F552" s="2" t="s">
        <v>1095</v>
      </c>
      <c r="G552" s="2" t="s">
        <v>1096</v>
      </c>
    </row>
    <row r="553" spans="1:7" ht="135" x14ac:dyDescent="0.25">
      <c r="A553" s="4">
        <v>552</v>
      </c>
      <c r="B553" s="5">
        <v>0.25425531914893618</v>
      </c>
      <c r="C553" s="5">
        <v>6.024096385542169E-3</v>
      </c>
      <c r="D553" s="5">
        <v>6.0000000000000001E-3</v>
      </c>
      <c r="E553" s="5">
        <v>9.969088098918083E-2</v>
      </c>
      <c r="F553" s="2" t="s">
        <v>1097</v>
      </c>
      <c r="G553" s="2" t="s">
        <v>1098</v>
      </c>
    </row>
    <row r="554" spans="1:7" ht="255" x14ac:dyDescent="0.25">
      <c r="A554" s="4">
        <v>553</v>
      </c>
      <c r="B554" s="5">
        <v>0.30425531914893622</v>
      </c>
      <c r="C554" s="5">
        <v>0.58433734939759041</v>
      </c>
      <c r="D554" s="5">
        <v>9.1999999999999998E-2</v>
      </c>
      <c r="E554" s="5">
        <v>3.5548686244204009E-3</v>
      </c>
      <c r="F554" s="2" t="s">
        <v>1099</v>
      </c>
      <c r="G554" s="2" t="s">
        <v>1100</v>
      </c>
    </row>
    <row r="555" spans="1:7" ht="285" x14ac:dyDescent="0.25">
      <c r="A555" s="4">
        <v>554</v>
      </c>
      <c r="B555" s="5">
        <v>4.8936170212765959E-2</v>
      </c>
      <c r="C555" s="5">
        <v>7.2289156626506026E-3</v>
      </c>
      <c r="D555" s="5">
        <v>0</v>
      </c>
      <c r="E555" s="5">
        <v>1.823802163833076E-2</v>
      </c>
      <c r="F555" s="2" t="s">
        <v>1101</v>
      </c>
      <c r="G555" s="2" t="s">
        <v>1102</v>
      </c>
    </row>
    <row r="556" spans="1:7" ht="240" x14ac:dyDescent="0.25">
      <c r="A556" s="4">
        <v>555</v>
      </c>
      <c r="B556" s="5">
        <v>5.2127659574468077E-2</v>
      </c>
      <c r="C556" s="5">
        <v>1.084337349397591E-2</v>
      </c>
      <c r="D556" s="5">
        <v>3.0000000000000001E-3</v>
      </c>
      <c r="E556" s="5">
        <v>1.885625965996909E-2</v>
      </c>
      <c r="F556" s="2" t="s">
        <v>1103</v>
      </c>
      <c r="G556" s="2" t="s">
        <v>1104</v>
      </c>
    </row>
    <row r="557" spans="1:7" ht="240" x14ac:dyDescent="0.25">
      <c r="A557" s="4">
        <v>556</v>
      </c>
      <c r="B557" s="5">
        <v>6.4893617021276592E-2</v>
      </c>
      <c r="C557" s="5">
        <v>1.084337349397591E-2</v>
      </c>
      <c r="D557" s="5">
        <v>3.0000000000000001E-3</v>
      </c>
      <c r="E557" s="5">
        <v>2.3802163833075731E-2</v>
      </c>
      <c r="F557" s="2" t="s">
        <v>1105</v>
      </c>
      <c r="G557" s="2" t="s">
        <v>1106</v>
      </c>
    </row>
    <row r="558" spans="1:7" ht="240" x14ac:dyDescent="0.25">
      <c r="A558" s="4">
        <v>557</v>
      </c>
      <c r="B558" s="5">
        <v>5.9574468085106393E-2</v>
      </c>
      <c r="C558" s="5">
        <v>7.2289156626506026E-3</v>
      </c>
      <c r="D558" s="5">
        <v>3.0000000000000001E-3</v>
      </c>
      <c r="E558" s="5">
        <v>2.1947449768160741E-2</v>
      </c>
      <c r="F558" s="2" t="s">
        <v>1107</v>
      </c>
      <c r="G558" s="2" t="s">
        <v>1108</v>
      </c>
    </row>
    <row r="559" spans="1:7" ht="285" x14ac:dyDescent="0.25">
      <c r="A559" s="4">
        <v>558</v>
      </c>
      <c r="B559" s="5">
        <v>6.8085106382978725E-2</v>
      </c>
      <c r="C559" s="5">
        <v>8.4337349397590362E-3</v>
      </c>
      <c r="D559" s="5">
        <v>6.0000000000000001E-3</v>
      </c>
      <c r="E559" s="5">
        <v>2.4420401854714061E-2</v>
      </c>
      <c r="F559" s="2" t="s">
        <v>1109</v>
      </c>
      <c r="G559" s="2" t="s">
        <v>1110</v>
      </c>
    </row>
    <row r="560" spans="1:7" ht="255" x14ac:dyDescent="0.25">
      <c r="A560" s="4">
        <v>559</v>
      </c>
      <c r="B560" s="5">
        <v>0.37234042553191488</v>
      </c>
      <c r="C560" s="5">
        <v>7.4698795180722893E-2</v>
      </c>
      <c r="D560" s="5">
        <v>1.4E-2</v>
      </c>
      <c r="E560" s="5">
        <v>0.1208655332302937</v>
      </c>
      <c r="F560" s="2" t="s">
        <v>1111</v>
      </c>
      <c r="G560" s="2" t="s">
        <v>1112</v>
      </c>
    </row>
    <row r="561" spans="1:7" ht="345" x14ac:dyDescent="0.25">
      <c r="A561" s="4">
        <v>560</v>
      </c>
      <c r="B561" s="5">
        <v>4.7872340425531908E-2</v>
      </c>
      <c r="C561" s="5">
        <v>3.012048192771084E-2</v>
      </c>
      <c r="D561" s="5">
        <v>3.9E-2</v>
      </c>
      <c r="E561" s="5">
        <v>0</v>
      </c>
      <c r="F561" s="2" t="s">
        <v>1113</v>
      </c>
      <c r="G561" s="2" t="s">
        <v>1114</v>
      </c>
    </row>
    <row r="562" spans="1:7" ht="150" x14ac:dyDescent="0.25">
      <c r="A562" s="4">
        <v>561</v>
      </c>
      <c r="B562" s="5">
        <v>0.31489361702127661</v>
      </c>
      <c r="C562" s="5">
        <v>0.1132530120481928</v>
      </c>
      <c r="D562" s="5">
        <v>1.0999999999999999E-2</v>
      </c>
      <c r="E562" s="5">
        <v>9.5826893353941262E-2</v>
      </c>
      <c r="F562" s="2" t="s">
        <v>1115</v>
      </c>
      <c r="G562" s="2" t="s">
        <v>1116</v>
      </c>
    </row>
    <row r="563" spans="1:7" ht="240" x14ac:dyDescent="0.25">
      <c r="A563" s="4">
        <v>562</v>
      </c>
      <c r="B563" s="5">
        <v>0.31276595744680852</v>
      </c>
      <c r="C563" s="5">
        <v>0.19277108433734941</v>
      </c>
      <c r="D563" s="5">
        <v>9.0000000000000011E-3</v>
      </c>
      <c r="E563" s="5">
        <v>9.9845440494590404E-2</v>
      </c>
      <c r="F563" s="2" t="s">
        <v>1117</v>
      </c>
      <c r="G563" s="2" t="s">
        <v>1118</v>
      </c>
    </row>
    <row r="564" spans="1:7" ht="285" x14ac:dyDescent="0.25">
      <c r="A564" s="4">
        <v>563</v>
      </c>
      <c r="B564" s="5">
        <v>2.2340425531914891E-2</v>
      </c>
      <c r="C564" s="5">
        <v>4.5783132530120479E-2</v>
      </c>
      <c r="D564" s="5">
        <v>6.0000000000000001E-3</v>
      </c>
      <c r="E564" s="5">
        <v>1.3910355486862439E-3</v>
      </c>
      <c r="F564" s="2" t="s">
        <v>1119</v>
      </c>
      <c r="G564" s="2" t="s">
        <v>1120</v>
      </c>
    </row>
    <row r="565" spans="1:7" ht="240" x14ac:dyDescent="0.25">
      <c r="A565" s="4">
        <v>564</v>
      </c>
      <c r="B565" s="5">
        <v>3.1914893617021267E-2</v>
      </c>
      <c r="C565" s="5">
        <v>4.2168674698795178E-2</v>
      </c>
      <c r="D565" s="5">
        <v>2E-3</v>
      </c>
      <c r="E565" s="5">
        <v>6.1823802163833066E-3</v>
      </c>
      <c r="F565" s="2" t="s">
        <v>1121</v>
      </c>
      <c r="G565" s="2" t="s">
        <v>1122</v>
      </c>
    </row>
    <row r="566" spans="1:7" ht="150" x14ac:dyDescent="0.25">
      <c r="A566" s="4">
        <v>565</v>
      </c>
      <c r="B566" s="5">
        <v>5.1063829787234047E-2</v>
      </c>
      <c r="C566" s="5">
        <v>3.3734939759036138E-2</v>
      </c>
      <c r="D566" s="5">
        <v>4.0999999999999988E-2</v>
      </c>
      <c r="E566" s="5">
        <v>4.4822256568778978E-3</v>
      </c>
      <c r="F566" s="2" t="s">
        <v>1123</v>
      </c>
      <c r="G566" s="2" t="s">
        <v>1124</v>
      </c>
    </row>
    <row r="567" spans="1:7" ht="180" x14ac:dyDescent="0.25">
      <c r="A567" s="4">
        <v>566</v>
      </c>
      <c r="B567" s="5">
        <v>5.1063829787234047E-2</v>
      </c>
      <c r="C567" s="5">
        <v>2.289156626506024E-2</v>
      </c>
      <c r="D567" s="5">
        <v>3.2000000000000001E-2</v>
      </c>
      <c r="E567" s="5">
        <v>4.3276661514683153E-3</v>
      </c>
      <c r="F567" s="2" t="s">
        <v>1125</v>
      </c>
      <c r="G567" s="2" t="s">
        <v>1126</v>
      </c>
    </row>
    <row r="568" spans="1:7" ht="225" x14ac:dyDescent="0.25">
      <c r="A568" s="4">
        <v>567</v>
      </c>
      <c r="B568" s="5">
        <v>3.1914893617021267E-2</v>
      </c>
      <c r="C568" s="5">
        <v>2.289156626506024E-2</v>
      </c>
      <c r="D568" s="5">
        <v>1E-3</v>
      </c>
      <c r="E568" s="5">
        <v>8.5007727975270481E-3</v>
      </c>
      <c r="F568" s="2" t="s">
        <v>1127</v>
      </c>
      <c r="G568" s="2" t="s">
        <v>1128</v>
      </c>
    </row>
    <row r="569" spans="1:7" ht="150" x14ac:dyDescent="0.25">
      <c r="A569" s="4">
        <v>568</v>
      </c>
      <c r="B569" s="5">
        <v>0.11382978723404261</v>
      </c>
      <c r="C569" s="5">
        <v>6.3855421686746988E-2</v>
      </c>
      <c r="D569" s="5">
        <v>2.1999999999999999E-2</v>
      </c>
      <c r="E569" s="5">
        <v>2.5502318392581141E-2</v>
      </c>
      <c r="F569" s="2" t="s">
        <v>1129</v>
      </c>
      <c r="G569" s="2" t="s">
        <v>1130</v>
      </c>
    </row>
    <row r="570" spans="1:7" ht="240" x14ac:dyDescent="0.25">
      <c r="A570" s="4">
        <v>569</v>
      </c>
      <c r="B570" s="5">
        <v>3.2978723404255318E-2</v>
      </c>
      <c r="C570" s="5">
        <v>1.445783132530121E-2</v>
      </c>
      <c r="D570" s="5">
        <v>3.0000000000000001E-3</v>
      </c>
      <c r="E570" s="5">
        <v>1.097372488408037E-2</v>
      </c>
      <c r="F570" s="2" t="s">
        <v>1131</v>
      </c>
      <c r="G570" s="2" t="s">
        <v>1132</v>
      </c>
    </row>
    <row r="571" spans="1:7" ht="135" x14ac:dyDescent="0.25">
      <c r="A571" s="4">
        <v>570</v>
      </c>
      <c r="B571" s="5">
        <v>0.53191489361702127</v>
      </c>
      <c r="C571" s="5">
        <v>1.445783132530121E-2</v>
      </c>
      <c r="D571" s="5">
        <v>0.251</v>
      </c>
      <c r="E571" s="5">
        <v>0.10401854714064911</v>
      </c>
      <c r="F571" s="2" t="s">
        <v>1133</v>
      </c>
      <c r="G571" s="2" t="s">
        <v>1134</v>
      </c>
    </row>
    <row r="572" spans="1:7" ht="240" x14ac:dyDescent="0.25">
      <c r="A572" s="4">
        <v>571</v>
      </c>
      <c r="B572" s="5">
        <v>5.1063829787234047E-2</v>
      </c>
      <c r="C572" s="5">
        <v>3.012048192771084E-2</v>
      </c>
      <c r="D572" s="5">
        <v>4.2000000000000003E-2</v>
      </c>
      <c r="E572" s="5">
        <v>0</v>
      </c>
      <c r="F572" s="2" t="s">
        <v>1135</v>
      </c>
      <c r="G572" s="2" t="s">
        <v>1136</v>
      </c>
    </row>
    <row r="573" spans="1:7" ht="210" x14ac:dyDescent="0.25">
      <c r="A573" s="4">
        <v>572</v>
      </c>
      <c r="B573" s="5">
        <v>0.35531914893617023</v>
      </c>
      <c r="C573" s="5">
        <v>0.1168674698795181</v>
      </c>
      <c r="D573" s="5">
        <v>3.5000000000000003E-2</v>
      </c>
      <c r="E573" s="5">
        <v>0.11344667697063369</v>
      </c>
      <c r="F573" s="2" t="s">
        <v>1137</v>
      </c>
      <c r="G573" s="2" t="s">
        <v>1138</v>
      </c>
    </row>
    <row r="574" spans="1:7" ht="225" x14ac:dyDescent="0.25">
      <c r="A574" s="4">
        <v>573</v>
      </c>
      <c r="B574" s="5">
        <v>0.40606382978723399</v>
      </c>
      <c r="C574" s="5">
        <v>0.1144578313253012</v>
      </c>
      <c r="D574" s="5">
        <v>9.5000000000000001E-2</v>
      </c>
      <c r="E574" s="5">
        <v>0.1017001545595054</v>
      </c>
      <c r="F574" s="2" t="s">
        <v>1139</v>
      </c>
      <c r="G574" s="2" t="s">
        <v>1140</v>
      </c>
    </row>
    <row r="575" spans="1:7" ht="240" x14ac:dyDescent="0.25">
      <c r="A575" s="4">
        <v>574</v>
      </c>
      <c r="B575" s="5">
        <v>0.20425531914893619</v>
      </c>
      <c r="C575" s="5">
        <v>6.5060240963855431E-2</v>
      </c>
      <c r="D575" s="5">
        <v>3.0000000000000001E-3</v>
      </c>
      <c r="E575" s="5">
        <v>6.2905718701700156E-2</v>
      </c>
      <c r="F575" s="2" t="s">
        <v>1141</v>
      </c>
      <c r="G575" s="2" t="s">
        <v>1142</v>
      </c>
    </row>
    <row r="576" spans="1:7" ht="285" x14ac:dyDescent="0.25">
      <c r="A576" s="4">
        <v>575</v>
      </c>
      <c r="B576" s="5">
        <v>5.1063829787234047E-2</v>
      </c>
      <c r="C576" s="5">
        <v>7.2289156626506026E-3</v>
      </c>
      <c r="D576" s="5">
        <v>2E-3</v>
      </c>
      <c r="E576" s="5">
        <v>1.9165378670788259E-2</v>
      </c>
      <c r="F576" s="2" t="s">
        <v>1143</v>
      </c>
      <c r="G576" s="2" t="s">
        <v>1144</v>
      </c>
    </row>
    <row r="577" spans="1:7" ht="240" x14ac:dyDescent="0.25">
      <c r="A577" s="4">
        <v>576</v>
      </c>
      <c r="B577" s="5">
        <v>6.4893617021276592E-2</v>
      </c>
      <c r="C577" s="5">
        <v>9.6385542168674707E-3</v>
      </c>
      <c r="D577" s="5">
        <v>2E-3</v>
      </c>
      <c r="E577" s="5">
        <v>2.179289026275116E-2</v>
      </c>
      <c r="F577" s="2" t="s">
        <v>1145</v>
      </c>
      <c r="G577" s="2" t="s">
        <v>1146</v>
      </c>
    </row>
    <row r="578" spans="1:7" ht="165" x14ac:dyDescent="0.25">
      <c r="A578" s="4">
        <v>577</v>
      </c>
      <c r="B578" s="5">
        <v>4.6808510638297871E-2</v>
      </c>
      <c r="C578" s="5">
        <v>9.6385542168674707E-3</v>
      </c>
      <c r="D578" s="5">
        <v>3.0000000000000001E-3</v>
      </c>
      <c r="E578" s="5">
        <v>1.6846986089644508E-2</v>
      </c>
      <c r="F578" s="2" t="s">
        <v>1147</v>
      </c>
      <c r="G578" s="2" t="s">
        <v>1148</v>
      </c>
    </row>
    <row r="579" spans="1:7" ht="195" x14ac:dyDescent="0.25">
      <c r="A579" s="4">
        <v>578</v>
      </c>
      <c r="B579" s="5">
        <v>4.1489361702127657E-2</v>
      </c>
      <c r="C579" s="5">
        <v>3.6144578313253009E-3</v>
      </c>
      <c r="D579" s="5">
        <v>3.0000000000000001E-3</v>
      </c>
      <c r="E579" s="5">
        <v>1.3755795981452859E-2</v>
      </c>
      <c r="F579" s="2" t="s">
        <v>1149</v>
      </c>
      <c r="G579" s="2" t="s">
        <v>1150</v>
      </c>
    </row>
    <row r="580" spans="1:7" ht="210" x14ac:dyDescent="0.25">
      <c r="A580" s="4">
        <v>579</v>
      </c>
      <c r="B580" s="5">
        <v>4.7872340425531908E-2</v>
      </c>
      <c r="C580" s="5">
        <v>1.084337349397591E-2</v>
      </c>
      <c r="D580" s="5">
        <v>2E-3</v>
      </c>
      <c r="E580" s="5">
        <v>1.7310664605873261E-2</v>
      </c>
      <c r="F580" s="2" t="s">
        <v>1151</v>
      </c>
      <c r="G580" s="2" t="s">
        <v>1152</v>
      </c>
    </row>
    <row r="581" spans="1:7" ht="150" x14ac:dyDescent="0.25">
      <c r="A581" s="4">
        <v>580</v>
      </c>
      <c r="B581" s="5">
        <v>3.9361702127659583E-2</v>
      </c>
      <c r="C581" s="5">
        <v>9.6385542168674707E-3</v>
      </c>
      <c r="D581" s="5">
        <v>1E-3</v>
      </c>
      <c r="E581" s="5">
        <v>1.9010819165378671E-2</v>
      </c>
      <c r="F581" s="2" t="s">
        <v>1153</v>
      </c>
      <c r="G581" s="2" t="s">
        <v>1154</v>
      </c>
    </row>
    <row r="582" spans="1:7" ht="225" x14ac:dyDescent="0.25">
      <c r="A582" s="4">
        <v>581</v>
      </c>
      <c r="B582" s="5">
        <v>5.2127659574468077E-2</v>
      </c>
      <c r="C582" s="5">
        <v>8.4337349397590362E-3</v>
      </c>
      <c r="D582" s="5">
        <v>2E-3</v>
      </c>
      <c r="E582" s="5">
        <v>1.715610510046368E-2</v>
      </c>
      <c r="F582" s="2" t="s">
        <v>1155</v>
      </c>
      <c r="G582" s="2" t="s">
        <v>1156</v>
      </c>
    </row>
    <row r="583" spans="1:7" ht="180" x14ac:dyDescent="0.25">
      <c r="A583" s="4">
        <v>582</v>
      </c>
      <c r="B583" s="5">
        <v>3.4042553191489362E-2</v>
      </c>
      <c r="C583" s="5">
        <v>2.289156626506024E-2</v>
      </c>
      <c r="D583" s="5">
        <v>3.0000000000000001E-3</v>
      </c>
      <c r="E583" s="5">
        <v>1.097372488408037E-2</v>
      </c>
      <c r="F583" s="2" t="s">
        <v>1157</v>
      </c>
      <c r="G583" s="2" t="s">
        <v>1158</v>
      </c>
    </row>
    <row r="584" spans="1:7" ht="210" x14ac:dyDescent="0.25">
      <c r="A584" s="4">
        <v>583</v>
      </c>
      <c r="B584" s="5">
        <v>1.5957446808510641E-2</v>
      </c>
      <c r="C584" s="5">
        <v>0.18313253012048189</v>
      </c>
      <c r="D584" s="5">
        <v>4.2999999999999997E-2</v>
      </c>
      <c r="E584" s="5">
        <v>1.360123647604328E-2</v>
      </c>
      <c r="F584" s="2" t="s">
        <v>1159</v>
      </c>
      <c r="G584" s="2" t="s">
        <v>1160</v>
      </c>
    </row>
    <row r="585" spans="1:7" ht="210" x14ac:dyDescent="0.25">
      <c r="A585" s="4">
        <v>584</v>
      </c>
      <c r="B585" s="5">
        <v>0.13829787234042551</v>
      </c>
      <c r="C585" s="5">
        <v>8.0722891566265068E-2</v>
      </c>
      <c r="D585" s="5">
        <v>3.0000000000000001E-3</v>
      </c>
      <c r="E585" s="5">
        <v>3.8948995363214833E-2</v>
      </c>
      <c r="F585" s="2" t="s">
        <v>1161</v>
      </c>
      <c r="G585" s="2" t="s">
        <v>1162</v>
      </c>
    </row>
    <row r="586" spans="1:7" ht="165" x14ac:dyDescent="0.25">
      <c r="A586" s="4">
        <v>585</v>
      </c>
      <c r="B586" s="5">
        <v>0.1414893617021277</v>
      </c>
      <c r="C586" s="5">
        <v>1.204819277108434E-2</v>
      </c>
      <c r="D586" s="5">
        <v>2E-3</v>
      </c>
      <c r="E586" s="5">
        <v>4.9768160741885628E-2</v>
      </c>
      <c r="F586" s="2" t="s">
        <v>1163</v>
      </c>
      <c r="G586" s="2" t="s">
        <v>1164</v>
      </c>
    </row>
    <row r="587" spans="1:7" ht="409.5" x14ac:dyDescent="0.25">
      <c r="A587" s="4">
        <v>586</v>
      </c>
      <c r="B587" s="5">
        <v>0.26595744680851058</v>
      </c>
      <c r="C587" s="5">
        <v>3.1325301204819279E-2</v>
      </c>
      <c r="D587" s="5">
        <v>2.5000000000000001E-2</v>
      </c>
      <c r="E587" s="5">
        <v>5.4714064914992269E-2</v>
      </c>
      <c r="F587" s="2" t="s">
        <v>1165</v>
      </c>
      <c r="G587" s="2" t="s">
        <v>1166</v>
      </c>
    </row>
    <row r="588" spans="1:7" ht="195" x14ac:dyDescent="0.25">
      <c r="A588" s="4">
        <v>587</v>
      </c>
      <c r="B588" s="5">
        <v>0.37872340425531908</v>
      </c>
      <c r="C588" s="5">
        <v>0.24698795180722891</v>
      </c>
      <c r="D588" s="5">
        <v>4.0999999999999988E-2</v>
      </c>
      <c r="E588" s="5">
        <v>9.5208655332302938E-2</v>
      </c>
      <c r="F588" s="2" t="s">
        <v>1167</v>
      </c>
      <c r="G588" s="2" t="s">
        <v>1168</v>
      </c>
    </row>
    <row r="589" spans="1:7" ht="300" x14ac:dyDescent="0.25">
      <c r="A589" s="4">
        <v>588</v>
      </c>
      <c r="B589" s="5">
        <v>0.35106382978723399</v>
      </c>
      <c r="C589" s="5">
        <v>0.28674698795180731</v>
      </c>
      <c r="D589" s="5">
        <v>1.4E-2</v>
      </c>
      <c r="E589" s="5">
        <v>9.3044822256568779E-2</v>
      </c>
      <c r="F589" s="2" t="s">
        <v>1169</v>
      </c>
      <c r="G589" s="2" t="s">
        <v>1170</v>
      </c>
    </row>
    <row r="590" spans="1:7" ht="240" x14ac:dyDescent="0.25">
      <c r="A590" s="4">
        <v>589</v>
      </c>
      <c r="B590" s="5">
        <v>0.56702127659574464</v>
      </c>
      <c r="C590" s="5">
        <v>0.33493975903614459</v>
      </c>
      <c r="D590" s="5">
        <v>0.38100000000000001</v>
      </c>
      <c r="E590" s="5">
        <v>4.4513137557959812E-2</v>
      </c>
      <c r="F590" s="2" t="s">
        <v>1171</v>
      </c>
      <c r="G590" s="2" t="s">
        <v>1172</v>
      </c>
    </row>
    <row r="591" spans="1:7" ht="375" x14ac:dyDescent="0.25">
      <c r="A591" s="4">
        <v>590</v>
      </c>
      <c r="B591" s="5">
        <v>0.36276595744680851</v>
      </c>
      <c r="C591" s="5">
        <v>0.36626506024096378</v>
      </c>
      <c r="D591" s="5">
        <v>3.2000000000000001E-2</v>
      </c>
      <c r="E591" s="5">
        <v>7.9289026275115915E-2</v>
      </c>
      <c r="F591" s="2" t="s">
        <v>1173</v>
      </c>
      <c r="G591" s="2" t="s">
        <v>1174</v>
      </c>
    </row>
    <row r="592" spans="1:7" ht="180" x14ac:dyDescent="0.25">
      <c r="A592" s="4">
        <v>591</v>
      </c>
      <c r="B592" s="5">
        <v>0.42553191489361702</v>
      </c>
      <c r="C592" s="5">
        <v>0.41445783132530117</v>
      </c>
      <c r="D592" s="5">
        <v>0.16900000000000001</v>
      </c>
      <c r="E592" s="5">
        <v>5.2704791344667698E-2</v>
      </c>
      <c r="F592" s="2" t="s">
        <v>1175</v>
      </c>
      <c r="G592" s="2" t="s">
        <v>1176</v>
      </c>
    </row>
    <row r="593" spans="1:7" ht="409.5" x14ac:dyDescent="0.25">
      <c r="A593" s="4">
        <v>592</v>
      </c>
      <c r="B593" s="5">
        <v>0.21702127659574469</v>
      </c>
      <c r="C593" s="5">
        <v>0.20361445783132531</v>
      </c>
      <c r="D593" s="5">
        <v>8.8000000000000009E-2</v>
      </c>
      <c r="E593" s="5">
        <v>2.704791344667697E-2</v>
      </c>
      <c r="F593" s="2" t="s">
        <v>1177</v>
      </c>
      <c r="G593" s="2" t="s">
        <v>1178</v>
      </c>
    </row>
    <row r="594" spans="1:7" ht="240" x14ac:dyDescent="0.25">
      <c r="A594" s="4">
        <v>593</v>
      </c>
      <c r="B594" s="5">
        <v>0.22553191489361701</v>
      </c>
      <c r="C594" s="5">
        <v>0.21084337349397589</v>
      </c>
      <c r="D594" s="5">
        <v>0.1</v>
      </c>
      <c r="E594" s="5">
        <v>1.9938176197836169E-2</v>
      </c>
      <c r="F594" s="2" t="s">
        <v>1179</v>
      </c>
      <c r="G594" s="2" t="s">
        <v>1180</v>
      </c>
    </row>
    <row r="595" spans="1:7" ht="135" x14ac:dyDescent="0.25">
      <c r="A595" s="4">
        <v>594</v>
      </c>
      <c r="B595" s="5">
        <v>0.12553191489361701</v>
      </c>
      <c r="C595" s="5">
        <v>5.301204819277109E-2</v>
      </c>
      <c r="D595" s="5">
        <v>1.4999999999999999E-2</v>
      </c>
      <c r="E595" s="5">
        <v>3.3384853168469862E-2</v>
      </c>
      <c r="F595" s="2" t="s">
        <v>1181</v>
      </c>
      <c r="G595" s="2" t="s">
        <v>1182</v>
      </c>
    </row>
    <row r="596" spans="1:7" ht="240" x14ac:dyDescent="0.25">
      <c r="A596" s="4">
        <v>595</v>
      </c>
      <c r="B596" s="5">
        <v>0.50957446808510642</v>
      </c>
      <c r="C596" s="5">
        <v>0.15301204819277109</v>
      </c>
      <c r="D596" s="5">
        <v>0.23200000000000001</v>
      </c>
      <c r="E596" s="5">
        <v>9.1035548686244194E-2</v>
      </c>
      <c r="F596" s="2" t="s">
        <v>1183</v>
      </c>
      <c r="G596" s="2" t="s">
        <v>1184</v>
      </c>
    </row>
    <row r="597" spans="1:7" ht="135" x14ac:dyDescent="0.25">
      <c r="A597" s="4">
        <v>596</v>
      </c>
      <c r="B597" s="5">
        <v>0.39361702127659581</v>
      </c>
      <c r="C597" s="5">
        <v>0.19277108433734941</v>
      </c>
      <c r="D597" s="5">
        <v>0.06</v>
      </c>
      <c r="E597" s="5">
        <v>0.1004636785162287</v>
      </c>
      <c r="F597" s="2" t="s">
        <v>1185</v>
      </c>
      <c r="G597" s="2" t="s">
        <v>1186</v>
      </c>
    </row>
    <row r="598" spans="1:7" ht="105" x14ac:dyDescent="0.25">
      <c r="A598" s="4">
        <v>597</v>
      </c>
      <c r="B598" s="5">
        <v>0.17127659574468079</v>
      </c>
      <c r="C598" s="5">
        <v>9.2771084337349402E-2</v>
      </c>
      <c r="D598" s="5">
        <v>2.8000000000000001E-2</v>
      </c>
      <c r="E598" s="5">
        <v>4.188562596599691E-2</v>
      </c>
      <c r="F598" s="2" t="s">
        <v>1187</v>
      </c>
      <c r="G598" s="2" t="s">
        <v>1188</v>
      </c>
    </row>
    <row r="599" spans="1:7" ht="210" x14ac:dyDescent="0.25">
      <c r="A599" s="4">
        <v>598</v>
      </c>
      <c r="B599" s="5">
        <v>0.175531914893617</v>
      </c>
      <c r="C599" s="5">
        <v>9.2771084337349402E-2</v>
      </c>
      <c r="D599" s="5">
        <v>3.1E-2</v>
      </c>
      <c r="E599" s="5">
        <v>4.2349304482225653E-2</v>
      </c>
      <c r="F599" s="2" t="s">
        <v>1189</v>
      </c>
      <c r="G599" s="2" t="s">
        <v>1190</v>
      </c>
    </row>
    <row r="600" spans="1:7" ht="240" x14ac:dyDescent="0.25">
      <c r="A600" s="4">
        <v>599</v>
      </c>
      <c r="B600" s="5">
        <v>0.35212765957446812</v>
      </c>
      <c r="C600" s="5">
        <v>0.30120481927710852</v>
      </c>
      <c r="D600" s="5">
        <v>0.01</v>
      </c>
      <c r="E600" s="5">
        <v>8.964451313755796E-2</v>
      </c>
      <c r="F600" s="2" t="s">
        <v>1191</v>
      </c>
      <c r="G600" s="2" t="s">
        <v>1192</v>
      </c>
    </row>
    <row r="601" spans="1:7" ht="165" x14ac:dyDescent="0.25">
      <c r="A601" s="4">
        <v>600</v>
      </c>
      <c r="B601" s="5">
        <v>0.13723404255319149</v>
      </c>
      <c r="C601" s="5">
        <v>0.14939759036144579</v>
      </c>
      <c r="D601" s="5">
        <v>6.9999999999999993E-3</v>
      </c>
      <c r="E601" s="5">
        <v>2.828438948995363E-2</v>
      </c>
      <c r="F601" s="2" t="s">
        <v>1193</v>
      </c>
      <c r="G601" s="2" t="s">
        <v>1194</v>
      </c>
    </row>
    <row r="602" spans="1:7" ht="270" x14ac:dyDescent="0.25">
      <c r="A602" s="4">
        <v>601</v>
      </c>
      <c r="B602" s="5">
        <v>0.35744680851063831</v>
      </c>
      <c r="C602" s="5">
        <v>0.27831325301204818</v>
      </c>
      <c r="D602" s="5">
        <v>1.7000000000000001E-2</v>
      </c>
      <c r="E602" s="5">
        <v>9.1962905718701693E-2</v>
      </c>
      <c r="F602" s="2" t="s">
        <v>1195</v>
      </c>
      <c r="G602" s="2" t="s">
        <v>1196</v>
      </c>
    </row>
    <row r="603" spans="1:7" ht="195" x14ac:dyDescent="0.25">
      <c r="A603" s="4">
        <v>602</v>
      </c>
      <c r="B603" s="5">
        <v>0.54893617021276597</v>
      </c>
      <c r="C603" s="5">
        <v>0.17710843373493981</v>
      </c>
      <c r="D603" s="5">
        <v>0.311</v>
      </c>
      <c r="E603" s="5">
        <v>6.8624420401854708E-2</v>
      </c>
      <c r="F603" s="2" t="s">
        <v>1197</v>
      </c>
      <c r="G603" s="2" t="s">
        <v>1198</v>
      </c>
    </row>
    <row r="604" spans="1:7" ht="165" x14ac:dyDescent="0.25">
      <c r="A604" s="4">
        <v>603</v>
      </c>
      <c r="B604" s="5">
        <v>0.35744680851063831</v>
      </c>
      <c r="C604" s="5">
        <v>0.24939759036144579</v>
      </c>
      <c r="D604" s="5">
        <v>1.4E-2</v>
      </c>
      <c r="E604" s="5">
        <v>9.5826893353941262E-2</v>
      </c>
      <c r="F604" s="2" t="s">
        <v>1199</v>
      </c>
      <c r="G604" s="2" t="s">
        <v>1200</v>
      </c>
    </row>
    <row r="605" spans="1:7" ht="120" x14ac:dyDescent="0.25">
      <c r="A605" s="4">
        <v>604</v>
      </c>
      <c r="B605" s="5">
        <v>0.33617021276595738</v>
      </c>
      <c r="C605" s="5">
        <v>0.24939759036144579</v>
      </c>
      <c r="D605" s="5">
        <v>0.01</v>
      </c>
      <c r="E605" s="5">
        <v>8.964451313755796E-2</v>
      </c>
      <c r="F605" s="2" t="s">
        <v>1201</v>
      </c>
      <c r="G605" s="2" t="s">
        <v>1202</v>
      </c>
    </row>
    <row r="606" spans="1:7" ht="150" x14ac:dyDescent="0.25">
      <c r="A606" s="4">
        <v>605</v>
      </c>
      <c r="B606" s="5">
        <v>0.1212765957446809</v>
      </c>
      <c r="C606" s="5">
        <v>8.4337349397590369E-2</v>
      </c>
      <c r="D606" s="5">
        <v>6.0000000000000001E-3</v>
      </c>
      <c r="E606" s="5">
        <v>3.2148377125193202E-2</v>
      </c>
      <c r="F606" s="2" t="s">
        <v>1203</v>
      </c>
      <c r="G606" s="2" t="s">
        <v>1204</v>
      </c>
    </row>
    <row r="607" spans="1:7" ht="300" x14ac:dyDescent="0.25">
      <c r="A607" s="4">
        <v>606</v>
      </c>
      <c r="B607" s="5">
        <v>0.1308510638297872</v>
      </c>
      <c r="C607" s="5">
        <v>0.10120481927710839</v>
      </c>
      <c r="D607" s="5">
        <v>6.0000000000000001E-3</v>
      </c>
      <c r="E607" s="5">
        <v>2.7820710973724878E-3</v>
      </c>
      <c r="F607" s="2" t="s">
        <v>1205</v>
      </c>
      <c r="G607" s="2" t="s">
        <v>1206</v>
      </c>
    </row>
    <row r="608" spans="1:7" ht="270" x14ac:dyDescent="0.25">
      <c r="A608" s="4">
        <v>607</v>
      </c>
      <c r="B608" s="5">
        <v>0.15638297872340429</v>
      </c>
      <c r="C608" s="5">
        <v>0.108433734939759</v>
      </c>
      <c r="D608" s="5">
        <v>5.0000000000000001E-3</v>
      </c>
      <c r="E608" s="5">
        <v>4.250386398763524E-2</v>
      </c>
      <c r="F608" s="2" t="s">
        <v>1207</v>
      </c>
      <c r="G608" s="2" t="s">
        <v>1208</v>
      </c>
    </row>
    <row r="609" spans="1:7" ht="120" x14ac:dyDescent="0.25">
      <c r="A609" s="4">
        <v>608</v>
      </c>
      <c r="B609" s="5">
        <v>0.34361702127659582</v>
      </c>
      <c r="C609" s="5">
        <v>0.27590361445783129</v>
      </c>
      <c r="D609" s="5">
        <v>1.4999999999999999E-2</v>
      </c>
      <c r="E609" s="5">
        <v>8.7789799072642963E-2</v>
      </c>
      <c r="F609" s="2" t="s">
        <v>1209</v>
      </c>
      <c r="G609" s="2" t="s">
        <v>1210</v>
      </c>
    </row>
    <row r="610" spans="1:7" ht="300" x14ac:dyDescent="0.25">
      <c r="A610" s="4">
        <v>609</v>
      </c>
      <c r="B610" s="5">
        <v>0.1159574468085106</v>
      </c>
      <c r="C610" s="5">
        <v>0.10481927710843369</v>
      </c>
      <c r="D610" s="5">
        <v>5.0000000000000001E-3</v>
      </c>
      <c r="E610" s="5">
        <v>2.828438948995363E-2</v>
      </c>
      <c r="F610" s="2" t="s">
        <v>1211</v>
      </c>
      <c r="G610" s="2" t="s">
        <v>1212</v>
      </c>
    </row>
    <row r="611" spans="1:7" ht="210" x14ac:dyDescent="0.25">
      <c r="A611" s="4">
        <v>610</v>
      </c>
      <c r="B611" s="5">
        <v>0.37234042553191488</v>
      </c>
      <c r="C611" s="5">
        <v>0.2060240963855422</v>
      </c>
      <c r="D611" s="5">
        <v>1.7999999999999999E-2</v>
      </c>
      <c r="E611" s="5">
        <v>0.10927357032457501</v>
      </c>
      <c r="F611" s="2" t="s">
        <v>1213</v>
      </c>
      <c r="G611" s="2" t="s">
        <v>1214</v>
      </c>
    </row>
    <row r="612" spans="1:7" ht="255" x14ac:dyDescent="0.25">
      <c r="A612" s="4">
        <v>611</v>
      </c>
      <c r="B612" s="5">
        <v>0.36063829787234042</v>
      </c>
      <c r="C612" s="5">
        <v>0.25060240963855418</v>
      </c>
      <c r="D612" s="5">
        <v>2.1000000000000001E-2</v>
      </c>
      <c r="E612" s="5">
        <v>9.9845440494590404E-2</v>
      </c>
      <c r="F612" s="2" t="s">
        <v>1215</v>
      </c>
      <c r="G612" s="2" t="s">
        <v>1216</v>
      </c>
    </row>
    <row r="613" spans="1:7" ht="225" x14ac:dyDescent="0.25">
      <c r="A613" s="4">
        <v>612</v>
      </c>
      <c r="B613" s="5">
        <v>0.36808510638297881</v>
      </c>
      <c r="C613" s="5">
        <v>0.2</v>
      </c>
      <c r="D613" s="5">
        <v>1.7000000000000001E-2</v>
      </c>
      <c r="E613" s="5">
        <v>0.10216383307573421</v>
      </c>
      <c r="F613" s="2" t="s">
        <v>1217</v>
      </c>
      <c r="G613" s="2" t="s">
        <v>1218</v>
      </c>
    </row>
    <row r="614" spans="1:7" ht="405" x14ac:dyDescent="0.25">
      <c r="A614" s="4">
        <v>613</v>
      </c>
      <c r="B614" s="5">
        <v>0.36702127659574468</v>
      </c>
      <c r="C614" s="5">
        <v>0.26746987951807227</v>
      </c>
      <c r="D614" s="5">
        <v>1.2E-2</v>
      </c>
      <c r="E614" s="5">
        <v>9.721792890262751E-2</v>
      </c>
      <c r="F614" s="2" t="s">
        <v>1219</v>
      </c>
      <c r="G614" s="2" t="s">
        <v>1220</v>
      </c>
    </row>
    <row r="615" spans="1:7" ht="120" x14ac:dyDescent="0.25">
      <c r="A615" s="4">
        <v>614</v>
      </c>
      <c r="B615" s="5">
        <v>0.47340425531914893</v>
      </c>
      <c r="C615" s="5">
        <v>0.13253012048192769</v>
      </c>
      <c r="D615" s="5">
        <v>0.11</v>
      </c>
      <c r="E615" s="5">
        <v>0.10123647604327669</v>
      </c>
      <c r="F615" s="2" t="s">
        <v>1221</v>
      </c>
      <c r="G615" s="2" t="s">
        <v>1222</v>
      </c>
    </row>
    <row r="616" spans="1:7" ht="135" x14ac:dyDescent="0.25">
      <c r="A616" s="4">
        <v>615</v>
      </c>
      <c r="B616" s="5">
        <v>0.1042553191489362</v>
      </c>
      <c r="C616" s="5">
        <v>8.0722891566265068E-2</v>
      </c>
      <c r="D616" s="5">
        <v>4.0000000000000001E-3</v>
      </c>
      <c r="E616" s="5">
        <v>2.7357032457496131E-2</v>
      </c>
      <c r="F616" s="2" t="s">
        <v>1223</v>
      </c>
      <c r="G616" s="2" t="s">
        <v>1224</v>
      </c>
    </row>
    <row r="617" spans="1:7" ht="135" x14ac:dyDescent="0.25">
      <c r="A617" s="4">
        <v>616</v>
      </c>
      <c r="B617" s="5">
        <v>0.30425531914893622</v>
      </c>
      <c r="C617" s="5">
        <v>0.363855421686747</v>
      </c>
      <c r="D617" s="5">
        <v>0.156</v>
      </c>
      <c r="E617" s="5">
        <v>4.652241112828439E-2</v>
      </c>
      <c r="F617" s="2" t="s">
        <v>1225</v>
      </c>
      <c r="G617" s="2" t="s">
        <v>1226</v>
      </c>
    </row>
    <row r="618" spans="1:7" ht="240" x14ac:dyDescent="0.25">
      <c r="A618" s="4">
        <v>617</v>
      </c>
      <c r="B618" s="5">
        <v>0.55425531914893622</v>
      </c>
      <c r="C618" s="5">
        <v>0.3879518072289157</v>
      </c>
      <c r="D618" s="5">
        <v>0.37700000000000011</v>
      </c>
      <c r="E618" s="5">
        <v>3.5394126738794433E-2</v>
      </c>
      <c r="F618" s="2" t="s">
        <v>1227</v>
      </c>
      <c r="G618" s="2" t="s">
        <v>1228</v>
      </c>
    </row>
    <row r="619" spans="1:7" ht="225" x14ac:dyDescent="0.25">
      <c r="A619" s="4">
        <v>618</v>
      </c>
      <c r="B619" s="5">
        <v>0.40531914893617021</v>
      </c>
      <c r="C619" s="5">
        <v>0.48674698795180732</v>
      </c>
      <c r="D619" s="5">
        <v>0.16700000000000001</v>
      </c>
      <c r="E619" s="5">
        <v>3.8485316846986077E-2</v>
      </c>
      <c r="F619" s="2" t="s">
        <v>1229</v>
      </c>
      <c r="G619" s="2" t="s">
        <v>1230</v>
      </c>
    </row>
    <row r="620" spans="1:7" ht="150" x14ac:dyDescent="0.25">
      <c r="A620" s="4">
        <v>619</v>
      </c>
      <c r="B620" s="5">
        <v>7.9787234042553196E-2</v>
      </c>
      <c r="C620" s="5">
        <v>4.9397590361445781E-2</v>
      </c>
      <c r="D620" s="5">
        <v>2.1000000000000001E-2</v>
      </c>
      <c r="E620" s="5">
        <v>1.653786707882535E-2</v>
      </c>
      <c r="F620" s="2" t="s">
        <v>1231</v>
      </c>
      <c r="G620" s="2" t="s">
        <v>1232</v>
      </c>
    </row>
    <row r="621" spans="1:7" ht="165" x14ac:dyDescent="0.25">
      <c r="A621" s="4">
        <v>620</v>
      </c>
      <c r="B621" s="5">
        <v>0.20106382978723411</v>
      </c>
      <c r="C621" s="5">
        <v>0.2433734939759036</v>
      </c>
      <c r="D621" s="5">
        <v>8.199999999999999E-2</v>
      </c>
      <c r="E621" s="5">
        <v>1.9629057187017001E-2</v>
      </c>
      <c r="F621" s="2" t="s">
        <v>1233</v>
      </c>
      <c r="G621" s="2" t="s">
        <v>1234</v>
      </c>
    </row>
    <row r="622" spans="1:7" ht="300" x14ac:dyDescent="0.25">
      <c r="A622" s="4">
        <v>621</v>
      </c>
      <c r="B622" s="5">
        <v>0.30425531914893622</v>
      </c>
      <c r="C622" s="5">
        <v>0.363855421686747</v>
      </c>
      <c r="D622" s="5">
        <v>0.156</v>
      </c>
      <c r="E622" s="5">
        <v>4.652241112828439E-2</v>
      </c>
      <c r="F622" s="2" t="s">
        <v>1235</v>
      </c>
      <c r="G622" s="2" t="s">
        <v>1236</v>
      </c>
    </row>
    <row r="623" spans="1:7" ht="75" x14ac:dyDescent="0.25">
      <c r="A623" s="4">
        <v>622</v>
      </c>
      <c r="B623" s="5">
        <v>0.34787234042553189</v>
      </c>
      <c r="C623" s="5">
        <v>0.1975903614457831</v>
      </c>
      <c r="D623" s="5">
        <v>4.2999999999999997E-2</v>
      </c>
      <c r="E623" s="5">
        <v>8.6244204018547141E-2</v>
      </c>
      <c r="F623" s="2" t="s">
        <v>1237</v>
      </c>
      <c r="G623" s="2" t="s">
        <v>1238</v>
      </c>
    </row>
    <row r="624" spans="1:7" ht="165" x14ac:dyDescent="0.25">
      <c r="A624" s="4">
        <v>623</v>
      </c>
      <c r="B624" s="5">
        <v>0.37765957446808512</v>
      </c>
      <c r="C624" s="5">
        <v>0.20481927710843381</v>
      </c>
      <c r="D624" s="5">
        <v>2.5000000000000001E-2</v>
      </c>
      <c r="E624" s="5">
        <v>0.1020092735703246</v>
      </c>
      <c r="F624" s="2" t="s">
        <v>1239</v>
      </c>
      <c r="G624" s="2" t="s">
        <v>1240</v>
      </c>
    </row>
    <row r="625" spans="1:7" ht="270" x14ac:dyDescent="0.25">
      <c r="A625" s="4">
        <v>624</v>
      </c>
      <c r="B625" s="5">
        <v>0.36808510638297881</v>
      </c>
      <c r="C625" s="5">
        <v>0.1987951807228916</v>
      </c>
      <c r="D625" s="5">
        <v>1.4999999999999999E-2</v>
      </c>
      <c r="E625" s="5">
        <v>0.1029366306027821</v>
      </c>
      <c r="F625" s="2" t="s">
        <v>1241</v>
      </c>
      <c r="G625" s="2" t="s">
        <v>1242</v>
      </c>
    </row>
    <row r="626" spans="1:7" ht="345" x14ac:dyDescent="0.25">
      <c r="A626" s="4">
        <v>625</v>
      </c>
      <c r="B626" s="5">
        <v>2.3404255319148939E-2</v>
      </c>
      <c r="C626" s="5">
        <v>1.3253012048192771E-2</v>
      </c>
      <c r="D626" s="5">
        <v>0.01</v>
      </c>
      <c r="E626" s="5">
        <v>5.2550231839258114E-3</v>
      </c>
      <c r="F626" s="2" t="s">
        <v>1243</v>
      </c>
      <c r="G626" s="2" t="s">
        <v>1244</v>
      </c>
    </row>
    <row r="627" spans="1:7" ht="255" x14ac:dyDescent="0.25">
      <c r="A627" s="4">
        <v>626</v>
      </c>
      <c r="B627" s="5">
        <v>0.36595744680851072</v>
      </c>
      <c r="C627" s="5">
        <v>0.2012048192771084</v>
      </c>
      <c r="D627" s="5">
        <v>2.1000000000000001E-2</v>
      </c>
      <c r="E627" s="5">
        <v>9.9845440494590404E-2</v>
      </c>
      <c r="F627" s="2" t="s">
        <v>1245</v>
      </c>
      <c r="G627" s="2" t="s">
        <v>1246</v>
      </c>
    </row>
    <row r="628" spans="1:7" ht="270" x14ac:dyDescent="0.25">
      <c r="A628" s="4">
        <v>627</v>
      </c>
      <c r="B628" s="5">
        <v>0.35744680851063831</v>
      </c>
      <c r="C628" s="5">
        <v>0.27831325301204818</v>
      </c>
      <c r="D628" s="5">
        <v>1.7000000000000001E-2</v>
      </c>
      <c r="E628" s="5">
        <v>9.1962905718701693E-2</v>
      </c>
      <c r="F628" s="2" t="s">
        <v>1247</v>
      </c>
      <c r="G628" s="2" t="s">
        <v>1248</v>
      </c>
    </row>
    <row r="629" spans="1:7" ht="135" x14ac:dyDescent="0.25">
      <c r="A629" s="4">
        <v>628</v>
      </c>
      <c r="B629" s="5">
        <v>0.37234042553191488</v>
      </c>
      <c r="C629" s="5">
        <v>0.1674698795180723</v>
      </c>
      <c r="D629" s="5">
        <v>0.03</v>
      </c>
      <c r="E629" s="5">
        <v>0.1034003091190108</v>
      </c>
      <c r="F629" s="2" t="s">
        <v>1249</v>
      </c>
      <c r="G629" s="2" t="s">
        <v>1250</v>
      </c>
    </row>
    <row r="630" spans="1:7" ht="240" x14ac:dyDescent="0.25">
      <c r="A630" s="4">
        <v>629</v>
      </c>
      <c r="B630" s="5">
        <v>0.33404255319148929</v>
      </c>
      <c r="C630" s="5">
        <v>0.26626506024096391</v>
      </c>
      <c r="D630" s="5">
        <v>1.0999999999999999E-2</v>
      </c>
      <c r="E630" s="5">
        <v>8.6862442040185478E-2</v>
      </c>
      <c r="F630" s="2" t="s">
        <v>1251</v>
      </c>
      <c r="G630" s="2" t="s">
        <v>1252</v>
      </c>
    </row>
    <row r="631" spans="1:7" ht="240" x14ac:dyDescent="0.25">
      <c r="A631" s="4">
        <v>630</v>
      </c>
      <c r="B631" s="5">
        <v>0.16808510638297869</v>
      </c>
      <c r="C631" s="5">
        <v>0.1240963855421687</v>
      </c>
      <c r="D631" s="5">
        <v>9.0000000000000011E-3</v>
      </c>
      <c r="E631" s="5">
        <v>4.358578052550232E-2</v>
      </c>
      <c r="F631" s="2" t="s">
        <v>1253</v>
      </c>
      <c r="G631" s="2" t="s">
        <v>1254</v>
      </c>
    </row>
    <row r="632" spans="1:7" ht="225" x14ac:dyDescent="0.25">
      <c r="A632" s="4">
        <v>631</v>
      </c>
      <c r="B632" s="5">
        <v>0.18191489361702129</v>
      </c>
      <c r="C632" s="5">
        <v>0.13253012048192769</v>
      </c>
      <c r="D632" s="5">
        <v>2.1999999999999999E-2</v>
      </c>
      <c r="E632" s="5">
        <v>4.3276661514683151E-2</v>
      </c>
      <c r="F632" s="2" t="s">
        <v>1255</v>
      </c>
      <c r="G632" s="2" t="s">
        <v>1256</v>
      </c>
    </row>
    <row r="633" spans="1:7" ht="409.5" x14ac:dyDescent="0.25">
      <c r="A633" s="4">
        <v>632</v>
      </c>
      <c r="B633" s="5">
        <v>0.1531914893617021</v>
      </c>
      <c r="C633" s="5">
        <v>0.1204819277108434</v>
      </c>
      <c r="D633" s="5">
        <v>0.01</v>
      </c>
      <c r="E633" s="5">
        <v>3.8176197836166922E-2</v>
      </c>
      <c r="F633" s="2" t="s">
        <v>1257</v>
      </c>
      <c r="G633" s="2" t="s">
        <v>1258</v>
      </c>
    </row>
    <row r="634" spans="1:7" ht="135" x14ac:dyDescent="0.25">
      <c r="A634" s="4">
        <v>633</v>
      </c>
      <c r="B634" s="5">
        <v>0.2978723404255319</v>
      </c>
      <c r="C634" s="5">
        <v>0.2012048192771084</v>
      </c>
      <c r="D634" s="5">
        <v>1.6E-2</v>
      </c>
      <c r="E634" s="5">
        <v>9.7681607418856259E-2</v>
      </c>
      <c r="F634" s="2" t="s">
        <v>1259</v>
      </c>
      <c r="G634" s="2" t="s">
        <v>1260</v>
      </c>
    </row>
    <row r="635" spans="1:7" ht="270" x14ac:dyDescent="0.25">
      <c r="A635" s="4">
        <v>634</v>
      </c>
      <c r="B635" s="5">
        <v>0.66914893617021276</v>
      </c>
      <c r="C635" s="5">
        <v>0.24578313253012049</v>
      </c>
      <c r="D635" s="5">
        <v>0.56299999999999994</v>
      </c>
      <c r="E635" s="5">
        <v>3.060278207109737E-2</v>
      </c>
      <c r="F635" s="2" t="s">
        <v>1261</v>
      </c>
      <c r="G635" s="2" t="s">
        <v>1262</v>
      </c>
    </row>
    <row r="636" spans="1:7" ht="195" x14ac:dyDescent="0.25">
      <c r="A636" s="4">
        <v>635</v>
      </c>
      <c r="B636" s="5">
        <v>0.65531914893617027</v>
      </c>
      <c r="C636" s="5">
        <v>0.19638554216867471</v>
      </c>
      <c r="D636" s="5">
        <v>0.48399999999999999</v>
      </c>
      <c r="E636" s="5">
        <v>4.4358578052550231E-2</v>
      </c>
      <c r="F636" s="2" t="s">
        <v>1263</v>
      </c>
      <c r="G636" s="2" t="s">
        <v>1264</v>
      </c>
    </row>
    <row r="637" spans="1:7" ht="285" x14ac:dyDescent="0.25">
      <c r="A637" s="4">
        <v>636</v>
      </c>
      <c r="B637" s="5">
        <v>0.51063829787234039</v>
      </c>
      <c r="C637" s="5">
        <v>0.22168674698795179</v>
      </c>
      <c r="D637" s="5">
        <v>0.191</v>
      </c>
      <c r="E637" s="5">
        <v>9.0417310664605871E-2</v>
      </c>
      <c r="F637" s="2" t="s">
        <v>1265</v>
      </c>
      <c r="G637" s="2" t="s">
        <v>1266</v>
      </c>
    </row>
    <row r="638" spans="1:7" ht="315" x14ac:dyDescent="0.25">
      <c r="A638" s="4">
        <v>637</v>
      </c>
      <c r="B638" s="5">
        <v>4.6808510638297871E-2</v>
      </c>
      <c r="C638" s="5">
        <v>3.2530120481927723E-2</v>
      </c>
      <c r="D638" s="5">
        <v>3.0000000000000001E-3</v>
      </c>
      <c r="E638" s="5">
        <v>1.205564142194745E-2</v>
      </c>
      <c r="F638" s="2" t="s">
        <v>1267</v>
      </c>
      <c r="G638" s="2" t="s">
        <v>1268</v>
      </c>
    </row>
    <row r="639" spans="1:7" ht="120" x14ac:dyDescent="0.25">
      <c r="A639" s="4">
        <v>638</v>
      </c>
      <c r="B639" s="5">
        <v>0.37978723404255321</v>
      </c>
      <c r="C639" s="5">
        <v>0.20843373493975911</v>
      </c>
      <c r="D639" s="5">
        <v>1.4999999999999999E-2</v>
      </c>
      <c r="E639" s="5">
        <v>0.10819165378670791</v>
      </c>
      <c r="F639" s="2" t="s">
        <v>1269</v>
      </c>
      <c r="G639" s="2" t="s">
        <v>1270</v>
      </c>
    </row>
    <row r="640" spans="1:7" ht="210" x14ac:dyDescent="0.25">
      <c r="A640" s="4">
        <v>639</v>
      </c>
      <c r="B640" s="5">
        <v>4.1489361702127657E-2</v>
      </c>
      <c r="C640" s="5">
        <v>3.6144578313253017E-2</v>
      </c>
      <c r="D640" s="5">
        <v>6.0000000000000001E-3</v>
      </c>
      <c r="E640" s="5">
        <v>1.174652241112828E-2</v>
      </c>
      <c r="F640" s="2" t="s">
        <v>1271</v>
      </c>
      <c r="G640" s="2" t="s">
        <v>1272</v>
      </c>
    </row>
    <row r="641" spans="1:7" ht="240" x14ac:dyDescent="0.25">
      <c r="A641" s="4">
        <v>640</v>
      </c>
      <c r="B641" s="5">
        <v>0.15957446808510639</v>
      </c>
      <c r="C641" s="5">
        <v>3.012048192771084E-2</v>
      </c>
      <c r="D641" s="5">
        <v>0.125</v>
      </c>
      <c r="E641" s="5">
        <v>1.081916537867079E-2</v>
      </c>
      <c r="F641" s="2" t="s">
        <v>1273</v>
      </c>
      <c r="G641" s="2" t="s">
        <v>1274</v>
      </c>
    </row>
    <row r="642" spans="1:7" ht="135" x14ac:dyDescent="0.25">
      <c r="A642" s="4">
        <v>641</v>
      </c>
      <c r="B642" s="5">
        <v>3.9361702127659583E-2</v>
      </c>
      <c r="C642" s="5">
        <v>3.7349397590361447E-2</v>
      </c>
      <c r="D642" s="5">
        <v>2E-3</v>
      </c>
      <c r="E642" s="5">
        <v>1.2210200927357031E-2</v>
      </c>
      <c r="F642" s="2" t="s">
        <v>1275</v>
      </c>
      <c r="G642" s="2" t="s">
        <v>1276</v>
      </c>
    </row>
    <row r="643" spans="1:7" ht="165" x14ac:dyDescent="0.25">
      <c r="A643" s="4">
        <v>642</v>
      </c>
      <c r="B643" s="5">
        <v>0.51489361702127656</v>
      </c>
      <c r="C643" s="5">
        <v>0.10602409638554219</v>
      </c>
      <c r="D643" s="5">
        <v>0.26100000000000001</v>
      </c>
      <c r="E643" s="5">
        <v>8.9180834621329211E-2</v>
      </c>
      <c r="F643" s="2" t="s">
        <v>1277</v>
      </c>
      <c r="G643" s="2" t="s">
        <v>1278</v>
      </c>
    </row>
    <row r="644" spans="1:7" ht="120" x14ac:dyDescent="0.25">
      <c r="A644" s="4">
        <v>643</v>
      </c>
      <c r="B644" s="5">
        <v>0.51914893617021274</v>
      </c>
      <c r="C644" s="5">
        <v>0.30843373493975912</v>
      </c>
      <c r="D644" s="5">
        <v>0.25600000000000001</v>
      </c>
      <c r="E644" s="5">
        <v>9.2117465224111281E-2</v>
      </c>
      <c r="F644" s="2" t="s">
        <v>1279</v>
      </c>
      <c r="G644" s="2" t="s">
        <v>1280</v>
      </c>
    </row>
    <row r="645" spans="1:7" ht="165" x14ac:dyDescent="0.25">
      <c r="A645" s="4">
        <v>644</v>
      </c>
      <c r="B645" s="5">
        <v>0.56914893617021278</v>
      </c>
      <c r="C645" s="5">
        <v>0.33493975903614459</v>
      </c>
      <c r="D645" s="5">
        <v>0.38100000000000001</v>
      </c>
      <c r="E645" s="5">
        <v>4.4513137557959812E-2</v>
      </c>
      <c r="F645" s="2" t="s">
        <v>1281</v>
      </c>
      <c r="G645" s="2" t="s">
        <v>1282</v>
      </c>
    </row>
    <row r="646" spans="1:7" ht="105" x14ac:dyDescent="0.25">
      <c r="A646" s="4">
        <v>645</v>
      </c>
      <c r="B646" s="5">
        <v>0.6</v>
      </c>
      <c r="C646" s="5">
        <v>0.30722891566265059</v>
      </c>
      <c r="D646" s="5">
        <v>0.44400000000000001</v>
      </c>
      <c r="E646" s="5">
        <v>3.9412673879443583E-2</v>
      </c>
      <c r="F646" s="2" t="s">
        <v>1283</v>
      </c>
      <c r="G646" s="2" t="s">
        <v>1284</v>
      </c>
    </row>
    <row r="647" spans="1:7" ht="165" x14ac:dyDescent="0.25">
      <c r="A647" s="4">
        <v>646</v>
      </c>
      <c r="B647" s="5">
        <v>0.59680851063829787</v>
      </c>
      <c r="C647" s="5">
        <v>0.30722891566265059</v>
      </c>
      <c r="D647" s="5">
        <v>0.438</v>
      </c>
      <c r="E647" s="5">
        <v>4.0185471406491501E-2</v>
      </c>
      <c r="F647" s="2" t="s">
        <v>1285</v>
      </c>
      <c r="G647" s="2" t="s">
        <v>1286</v>
      </c>
    </row>
    <row r="648" spans="1:7" ht="225" x14ac:dyDescent="0.25">
      <c r="A648" s="4">
        <v>647</v>
      </c>
      <c r="B648" s="5">
        <v>0.5585106382978724</v>
      </c>
      <c r="C648" s="5">
        <v>0.33614457831325301</v>
      </c>
      <c r="D648" s="5">
        <v>0.42699999999999999</v>
      </c>
      <c r="E648" s="5">
        <v>2.6893353941267389E-2</v>
      </c>
      <c r="F648" s="2" t="s">
        <v>1287</v>
      </c>
      <c r="G648" s="2" t="s">
        <v>1288</v>
      </c>
    </row>
    <row r="649" spans="1:7" ht="150" x14ac:dyDescent="0.25">
      <c r="A649" s="4">
        <v>648</v>
      </c>
      <c r="B649" s="5">
        <v>0.40957446808510639</v>
      </c>
      <c r="C649" s="5">
        <v>0.16867469879518071</v>
      </c>
      <c r="D649" s="5">
        <v>0.31</v>
      </c>
      <c r="E649" s="5">
        <v>2.009273570324575E-2</v>
      </c>
      <c r="F649" s="2" t="s">
        <v>1289</v>
      </c>
      <c r="G649" s="2" t="s">
        <v>1290</v>
      </c>
    </row>
    <row r="650" spans="1:7" ht="150" x14ac:dyDescent="0.25">
      <c r="A650" s="4">
        <v>649</v>
      </c>
      <c r="B650" s="5">
        <v>0.38297872340425532</v>
      </c>
      <c r="C650" s="5">
        <v>0.16265060240963861</v>
      </c>
      <c r="D650" s="5">
        <v>0.312</v>
      </c>
      <c r="E650" s="5">
        <v>1.9783616692426589E-2</v>
      </c>
      <c r="F650" s="2" t="s">
        <v>1291</v>
      </c>
      <c r="G650" s="2" t="s">
        <v>1292</v>
      </c>
    </row>
    <row r="651" spans="1:7" ht="300" x14ac:dyDescent="0.25">
      <c r="A651" s="4">
        <v>650</v>
      </c>
      <c r="B651" s="5">
        <v>0.54574468085106387</v>
      </c>
      <c r="C651" s="5">
        <v>0.21084337349397589</v>
      </c>
      <c r="D651" s="5">
        <v>0.32500000000000001</v>
      </c>
      <c r="E651" s="5">
        <v>6.846986089644512E-2</v>
      </c>
      <c r="F651" s="2" t="s">
        <v>1293</v>
      </c>
      <c r="G651" s="2" t="s">
        <v>1294</v>
      </c>
    </row>
    <row r="652" spans="1:7" ht="180" x14ac:dyDescent="0.25">
      <c r="A652" s="4">
        <v>651</v>
      </c>
      <c r="B652" s="5">
        <v>0.60531914893617023</v>
      </c>
      <c r="C652" s="5">
        <v>0.34698795180722902</v>
      </c>
      <c r="D652" s="5">
        <v>0.48399999999999999</v>
      </c>
      <c r="E652" s="5">
        <v>2.4420401854714061E-2</v>
      </c>
      <c r="F652" s="2" t="s">
        <v>1295</v>
      </c>
      <c r="G652" s="2" t="s">
        <v>1296</v>
      </c>
    </row>
    <row r="653" spans="1:7" ht="180" x14ac:dyDescent="0.25">
      <c r="A653" s="4">
        <v>652</v>
      </c>
      <c r="B653" s="5">
        <v>0.59468085106382984</v>
      </c>
      <c r="C653" s="5">
        <v>0.32409638554216869</v>
      </c>
      <c r="D653" s="5">
        <v>0.44200000000000012</v>
      </c>
      <c r="E653" s="5">
        <v>3.6476043276661513E-2</v>
      </c>
      <c r="F653" s="2" t="s">
        <v>1297</v>
      </c>
      <c r="G653" s="2" t="s">
        <v>1298</v>
      </c>
    </row>
    <row r="654" spans="1:7" ht="195" x14ac:dyDescent="0.25">
      <c r="A654" s="4">
        <v>653</v>
      </c>
      <c r="B654" s="5">
        <v>0.59680851063829787</v>
      </c>
      <c r="C654" s="5">
        <v>0.30722891566265059</v>
      </c>
      <c r="D654" s="5">
        <v>0.438</v>
      </c>
      <c r="E654" s="5">
        <v>4.0185471406491501E-2</v>
      </c>
      <c r="F654" s="2" t="s">
        <v>1299</v>
      </c>
      <c r="G654" s="2" t="s">
        <v>1300</v>
      </c>
    </row>
    <row r="655" spans="1:7" ht="150" x14ac:dyDescent="0.25">
      <c r="A655" s="4">
        <v>654</v>
      </c>
      <c r="B655" s="5">
        <v>0.79574468085106387</v>
      </c>
      <c r="C655" s="5">
        <v>0.25060240963855418</v>
      </c>
      <c r="D655" s="5">
        <v>0.20799999999999999</v>
      </c>
      <c r="E655" s="5">
        <v>0.1928902627511592</v>
      </c>
      <c r="F655" s="2" t="s">
        <v>1301</v>
      </c>
      <c r="G655" s="2" t="s">
        <v>1302</v>
      </c>
    </row>
    <row r="656" spans="1:7" ht="135" x14ac:dyDescent="0.25">
      <c r="A656" s="4">
        <v>655</v>
      </c>
      <c r="B656" s="5">
        <v>0.35212765957446812</v>
      </c>
      <c r="C656" s="5">
        <v>0.29397590361445791</v>
      </c>
      <c r="D656" s="5">
        <v>1.9E-2</v>
      </c>
      <c r="E656" s="5">
        <v>8.7480680061823801E-2</v>
      </c>
      <c r="F656" s="2" t="s">
        <v>1303</v>
      </c>
      <c r="G656" s="2" t="s">
        <v>1304</v>
      </c>
    </row>
    <row r="657" spans="1:7" ht="285" x14ac:dyDescent="0.25">
      <c r="A657" s="4">
        <v>656</v>
      </c>
      <c r="B657" s="5">
        <v>0.14680851063829789</v>
      </c>
      <c r="C657" s="5">
        <v>0.12891566265060239</v>
      </c>
      <c r="D657" s="5">
        <v>1.0999999999999999E-2</v>
      </c>
      <c r="E657" s="5">
        <v>3.4930448222565691E-2</v>
      </c>
      <c r="F657" s="2" t="s">
        <v>1305</v>
      </c>
      <c r="G657" s="2" t="s">
        <v>1306</v>
      </c>
    </row>
    <row r="658" spans="1:7" ht="255" x14ac:dyDescent="0.25">
      <c r="A658" s="4">
        <v>657</v>
      </c>
      <c r="B658" s="5">
        <v>0.36382978723404258</v>
      </c>
      <c r="C658" s="5">
        <v>0.27590361445783129</v>
      </c>
      <c r="D658" s="5">
        <v>1.4E-2</v>
      </c>
      <c r="E658" s="5">
        <v>9.5208655332302938E-2</v>
      </c>
      <c r="F658" s="2" t="s">
        <v>1307</v>
      </c>
      <c r="G658" s="2" t="s">
        <v>1308</v>
      </c>
    </row>
    <row r="659" spans="1:7" ht="120" x14ac:dyDescent="0.25">
      <c r="A659" s="4">
        <v>658</v>
      </c>
      <c r="B659" s="5">
        <v>0.14680851063829789</v>
      </c>
      <c r="C659" s="5">
        <v>0.12891566265060239</v>
      </c>
      <c r="D659" s="5">
        <v>1.0999999999999999E-2</v>
      </c>
      <c r="E659" s="5">
        <v>3.4930448222565691E-2</v>
      </c>
      <c r="F659" s="2" t="s">
        <v>1309</v>
      </c>
      <c r="G659" s="2" t="s">
        <v>1310</v>
      </c>
    </row>
    <row r="660" spans="1:7" ht="255" x14ac:dyDescent="0.25">
      <c r="A660" s="4">
        <v>659</v>
      </c>
      <c r="B660" s="5">
        <v>0.47978723404255319</v>
      </c>
      <c r="C660" s="5">
        <v>0.13493975903614461</v>
      </c>
      <c r="D660" s="5">
        <v>0.20200000000000001</v>
      </c>
      <c r="E660" s="5">
        <v>9.2272024729520868E-2</v>
      </c>
      <c r="F660" s="2" t="s">
        <v>1311</v>
      </c>
      <c r="G660" s="2" t="s">
        <v>1312</v>
      </c>
    </row>
    <row r="661" spans="1:7" ht="135" x14ac:dyDescent="0.25">
      <c r="A661" s="4">
        <v>660</v>
      </c>
      <c r="B661" s="5">
        <v>0.37340425531914889</v>
      </c>
      <c r="C661" s="5">
        <v>0.1469879518072289</v>
      </c>
      <c r="D661" s="5">
        <v>1.2E-2</v>
      </c>
      <c r="E661" s="5">
        <v>0.1126738794435858</v>
      </c>
      <c r="F661" s="2" t="s">
        <v>1313</v>
      </c>
      <c r="G661" s="2" t="s">
        <v>1314</v>
      </c>
    </row>
    <row r="662" spans="1:7" ht="225" x14ac:dyDescent="0.25">
      <c r="A662" s="4">
        <v>661</v>
      </c>
      <c r="B662" s="5">
        <v>0.38085106382978717</v>
      </c>
      <c r="C662" s="5">
        <v>0.28192771084337348</v>
      </c>
      <c r="D662" s="5">
        <v>2.4E-2</v>
      </c>
      <c r="E662" s="5">
        <v>9.3663060278207116E-2</v>
      </c>
      <c r="F662" s="2" t="s">
        <v>1315</v>
      </c>
      <c r="G662" s="2" t="s">
        <v>1316</v>
      </c>
    </row>
    <row r="663" spans="1:7" ht="120" x14ac:dyDescent="0.25">
      <c r="A663" s="4">
        <v>662</v>
      </c>
      <c r="B663" s="5">
        <v>0.37659574468085111</v>
      </c>
      <c r="C663" s="5">
        <v>0.1542168674698795</v>
      </c>
      <c r="D663" s="5">
        <v>1.7999999999999999E-2</v>
      </c>
      <c r="E663" s="5">
        <v>0.10710973724884081</v>
      </c>
      <c r="F663" s="2" t="s">
        <v>1317</v>
      </c>
      <c r="G663" s="2" t="s">
        <v>1318</v>
      </c>
    </row>
    <row r="664" spans="1:7" ht="315" x14ac:dyDescent="0.25">
      <c r="A664" s="4">
        <v>663</v>
      </c>
      <c r="B664" s="5">
        <v>0.1170212765957447</v>
      </c>
      <c r="C664" s="5">
        <v>5.4216867469879519E-2</v>
      </c>
      <c r="D664" s="5">
        <v>6.9000000000000006E-2</v>
      </c>
      <c r="E664" s="5">
        <v>1.097372488408037E-2</v>
      </c>
      <c r="F664" s="2" t="s">
        <v>1319</v>
      </c>
      <c r="G664" s="2" t="s">
        <v>1320</v>
      </c>
    </row>
    <row r="665" spans="1:7" ht="300" x14ac:dyDescent="0.25">
      <c r="A665" s="4">
        <v>664</v>
      </c>
      <c r="B665" s="5">
        <v>0.43936170212765963</v>
      </c>
      <c r="C665" s="5">
        <v>0.3457831325301205</v>
      </c>
      <c r="D665" s="5">
        <v>0.19800000000000001</v>
      </c>
      <c r="E665" s="5">
        <v>4.605873261205564E-2</v>
      </c>
      <c r="F665" s="2" t="s">
        <v>1321</v>
      </c>
      <c r="G665" s="2" t="s">
        <v>1322</v>
      </c>
    </row>
    <row r="666" spans="1:7" ht="285" x14ac:dyDescent="0.25">
      <c r="A666" s="4">
        <v>665</v>
      </c>
      <c r="B666" s="5">
        <v>9.7872340425531917E-2</v>
      </c>
      <c r="C666" s="5">
        <v>0.24096385542168669</v>
      </c>
      <c r="D666" s="5">
        <v>6.9999999999999993E-3</v>
      </c>
      <c r="E666" s="5">
        <v>0</v>
      </c>
      <c r="F666" s="2" t="s">
        <v>1323</v>
      </c>
      <c r="G666" s="2" t="s">
        <v>910</v>
      </c>
    </row>
    <row r="667" spans="1:7" ht="165" x14ac:dyDescent="0.25">
      <c r="A667" s="4">
        <v>666</v>
      </c>
      <c r="B667" s="5">
        <v>7.0212765957446813E-2</v>
      </c>
      <c r="C667" s="5">
        <v>3.3734939759036138E-2</v>
      </c>
      <c r="D667" s="5">
        <v>6.8000000000000005E-2</v>
      </c>
      <c r="E667" s="5">
        <v>5.2550231839258114E-3</v>
      </c>
      <c r="F667" s="2" t="s">
        <v>1324</v>
      </c>
      <c r="G667" s="2" t="s">
        <v>1325</v>
      </c>
    </row>
    <row r="668" spans="1:7" ht="150" x14ac:dyDescent="0.25">
      <c r="A668" s="4">
        <v>667</v>
      </c>
      <c r="B668" s="5">
        <v>0.17340425531914891</v>
      </c>
      <c r="C668" s="5">
        <v>0.1987951807228916</v>
      </c>
      <c r="D668" s="5">
        <v>0.09</v>
      </c>
      <c r="E668" s="5">
        <v>6.33693972179289E-3</v>
      </c>
      <c r="F668" s="2" t="s">
        <v>1326</v>
      </c>
      <c r="G668" s="2" t="s">
        <v>1327</v>
      </c>
    </row>
    <row r="669" spans="1:7" ht="240" x14ac:dyDescent="0.25">
      <c r="A669" s="4">
        <v>668</v>
      </c>
      <c r="B669" s="5">
        <v>0.12978723404255321</v>
      </c>
      <c r="C669" s="5">
        <v>0.16626506024096391</v>
      </c>
      <c r="D669" s="5">
        <v>5.7000000000000002E-2</v>
      </c>
      <c r="E669" s="5">
        <v>6.0278207109737249E-3</v>
      </c>
      <c r="F669" s="2" t="s">
        <v>1328</v>
      </c>
      <c r="G669" s="2" t="s">
        <v>1329</v>
      </c>
    </row>
    <row r="670" spans="1:7" ht="165" x14ac:dyDescent="0.25">
      <c r="A670" s="4">
        <v>669</v>
      </c>
      <c r="B670" s="5">
        <v>0.1670212765957447</v>
      </c>
      <c r="C670" s="5">
        <v>9.7590361445783133E-2</v>
      </c>
      <c r="D670" s="5">
        <v>8.8000000000000009E-2</v>
      </c>
      <c r="E670" s="5">
        <v>1.761978361669243E-2</v>
      </c>
      <c r="F670" s="2" t="s">
        <v>1330</v>
      </c>
      <c r="G670" s="2" t="s">
        <v>1331</v>
      </c>
    </row>
    <row r="671" spans="1:7" ht="210" x14ac:dyDescent="0.25">
      <c r="A671" s="4">
        <v>670</v>
      </c>
      <c r="B671" s="5">
        <v>0.2053191489361702</v>
      </c>
      <c r="C671" s="5">
        <v>0.127710843373494</v>
      </c>
      <c r="D671" s="5">
        <v>0.124</v>
      </c>
      <c r="E671" s="5">
        <v>1.499227202472952E-2</v>
      </c>
      <c r="F671" s="2" t="s">
        <v>1332</v>
      </c>
      <c r="G671" s="2" t="s">
        <v>1333</v>
      </c>
    </row>
    <row r="672" spans="1:7" ht="150" x14ac:dyDescent="0.25">
      <c r="A672" s="4">
        <v>671</v>
      </c>
      <c r="B672" s="5">
        <v>0.15851063829787229</v>
      </c>
      <c r="C672" s="5">
        <v>0.2</v>
      </c>
      <c r="D672" s="5">
        <v>9.1999999999999998E-2</v>
      </c>
      <c r="E672" s="5">
        <v>0</v>
      </c>
      <c r="F672" s="2" t="s">
        <v>1334</v>
      </c>
      <c r="G672" s="2" t="s">
        <v>1335</v>
      </c>
    </row>
    <row r="673" spans="1:7" ht="210" x14ac:dyDescent="0.25">
      <c r="A673" s="4">
        <v>672</v>
      </c>
      <c r="B673" s="5">
        <v>0.17446808510638301</v>
      </c>
      <c r="C673" s="5">
        <v>3.6144578313253017E-2</v>
      </c>
      <c r="D673" s="5">
        <v>2.4E-2</v>
      </c>
      <c r="E673" s="5">
        <v>5.0386398763523958E-2</v>
      </c>
      <c r="F673" s="2" t="s">
        <v>1336</v>
      </c>
      <c r="G673" s="2" t="s">
        <v>1337</v>
      </c>
    </row>
    <row r="674" spans="1:7" ht="240" x14ac:dyDescent="0.25">
      <c r="A674" s="4">
        <v>673</v>
      </c>
      <c r="B674" s="5">
        <v>3.085106382978723E-2</v>
      </c>
      <c r="C674" s="5">
        <v>3.6144578313253017E-2</v>
      </c>
      <c r="D674" s="5">
        <v>3.0000000000000001E-3</v>
      </c>
      <c r="E674" s="5">
        <v>8.3462132921174655E-3</v>
      </c>
      <c r="F674" s="2" t="s">
        <v>1338</v>
      </c>
      <c r="G674" s="2" t="s">
        <v>1339</v>
      </c>
    </row>
    <row r="675" spans="1:7" ht="409.5" x14ac:dyDescent="0.25">
      <c r="A675" s="4">
        <v>674</v>
      </c>
      <c r="B675" s="5">
        <v>3.1914893617021267E-2</v>
      </c>
      <c r="C675" s="5">
        <v>3.8554216867469883E-2</v>
      </c>
      <c r="D675" s="5">
        <v>6.9999999999999993E-3</v>
      </c>
      <c r="E675" s="5">
        <v>7.2642967542503869E-3</v>
      </c>
      <c r="F675" s="2" t="s">
        <v>1340</v>
      </c>
      <c r="G675" s="2" t="s">
        <v>1341</v>
      </c>
    </row>
    <row r="676" spans="1:7" ht="409.5" x14ac:dyDescent="0.25">
      <c r="A676" s="4">
        <v>675</v>
      </c>
      <c r="B676" s="5">
        <v>2.3404255319148939E-2</v>
      </c>
      <c r="C676" s="5">
        <v>3.012048192771084E-2</v>
      </c>
      <c r="D676" s="5">
        <v>6.0000000000000001E-3</v>
      </c>
      <c r="E676" s="5">
        <v>4.7913446676970638E-3</v>
      </c>
      <c r="F676" s="2" t="s">
        <v>1342</v>
      </c>
      <c r="G676" s="2" t="s">
        <v>1343</v>
      </c>
    </row>
    <row r="677" spans="1:7" ht="135" x14ac:dyDescent="0.25">
      <c r="A677" s="4">
        <v>676</v>
      </c>
      <c r="B677" s="5">
        <v>4.5744680851063833E-2</v>
      </c>
      <c r="C677" s="5">
        <v>2.168674698795181E-2</v>
      </c>
      <c r="D677" s="5">
        <v>2E-3</v>
      </c>
      <c r="E677" s="5">
        <v>1.298299845440495E-2</v>
      </c>
      <c r="F677" s="2" t="s">
        <v>1344</v>
      </c>
      <c r="G677" s="2" t="s">
        <v>1345</v>
      </c>
    </row>
    <row r="678" spans="1:7" ht="240" x14ac:dyDescent="0.25">
      <c r="A678" s="4">
        <v>677</v>
      </c>
      <c r="B678" s="5">
        <v>5.5319148936170223E-2</v>
      </c>
      <c r="C678" s="5">
        <v>2.168674698795181E-2</v>
      </c>
      <c r="D678" s="5">
        <v>3.5999999999999997E-2</v>
      </c>
      <c r="E678" s="5">
        <v>4.6367851622874804E-3</v>
      </c>
      <c r="F678" s="2" t="s">
        <v>1346</v>
      </c>
      <c r="G678" s="2" t="s">
        <v>1347</v>
      </c>
    </row>
    <row r="679" spans="1:7" ht="150" x14ac:dyDescent="0.25">
      <c r="A679" s="4">
        <v>678</v>
      </c>
      <c r="B679" s="5">
        <v>4.042553191489362E-2</v>
      </c>
      <c r="C679" s="5">
        <v>2.891566265060241E-2</v>
      </c>
      <c r="D679" s="5">
        <v>0.02</v>
      </c>
      <c r="E679" s="5">
        <v>4.0185471406491502E-3</v>
      </c>
      <c r="F679" s="2" t="s">
        <v>1348</v>
      </c>
      <c r="G679" s="2" t="s">
        <v>1349</v>
      </c>
    </row>
    <row r="680" spans="1:7" ht="409.5" x14ac:dyDescent="0.25">
      <c r="A680" s="4">
        <v>679</v>
      </c>
      <c r="B680" s="5">
        <v>4.4680851063829789E-2</v>
      </c>
      <c r="C680" s="5">
        <v>3.9759036144578312E-2</v>
      </c>
      <c r="D680" s="5">
        <v>2E-3</v>
      </c>
      <c r="E680" s="5">
        <v>1.4837712519319941E-2</v>
      </c>
      <c r="F680" s="2" t="s">
        <v>1350</v>
      </c>
      <c r="G680" s="2" t="s">
        <v>1351</v>
      </c>
    </row>
    <row r="681" spans="1:7" ht="135" x14ac:dyDescent="0.25">
      <c r="A681" s="4">
        <v>680</v>
      </c>
      <c r="B681" s="5">
        <v>4.3617021276595752E-2</v>
      </c>
      <c r="C681" s="5">
        <v>2.4096385542168679E-2</v>
      </c>
      <c r="D681" s="5">
        <v>3.0000000000000001E-3</v>
      </c>
      <c r="E681" s="5">
        <v>1.205564142194745E-2</v>
      </c>
      <c r="F681" s="2" t="s">
        <v>1352</v>
      </c>
      <c r="G681" s="2" t="s">
        <v>1353</v>
      </c>
    </row>
    <row r="682" spans="1:7" ht="120" x14ac:dyDescent="0.25">
      <c r="A682" s="4">
        <v>681</v>
      </c>
      <c r="B682" s="5">
        <v>0.16808510638297869</v>
      </c>
      <c r="C682" s="5">
        <v>5.301204819277109E-2</v>
      </c>
      <c r="D682" s="5">
        <v>3.2000000000000001E-2</v>
      </c>
      <c r="E682" s="5">
        <v>4.296754250386399E-2</v>
      </c>
      <c r="F682" s="2" t="s">
        <v>1354</v>
      </c>
      <c r="G682" s="2" t="s">
        <v>1355</v>
      </c>
    </row>
    <row r="683" spans="1:7" ht="285" x14ac:dyDescent="0.25">
      <c r="A683" s="4">
        <v>682</v>
      </c>
      <c r="B683" s="5">
        <v>2.6595744680851061E-2</v>
      </c>
      <c r="C683" s="5">
        <v>2.7710843373493971E-2</v>
      </c>
      <c r="D683" s="5">
        <v>2E-3</v>
      </c>
      <c r="E683" s="5">
        <v>5.4095826893353939E-3</v>
      </c>
      <c r="F683" s="2" t="s">
        <v>1356</v>
      </c>
      <c r="G683" s="2" t="s">
        <v>1357</v>
      </c>
    </row>
    <row r="684" spans="1:7" ht="240" x14ac:dyDescent="0.25">
      <c r="A684" s="4">
        <v>683</v>
      </c>
      <c r="B684" s="5">
        <v>0.15606382978723399</v>
      </c>
      <c r="C684" s="5">
        <v>7.1084337349397592E-2</v>
      </c>
      <c r="D684" s="5">
        <v>5.8999999999999997E-2</v>
      </c>
      <c r="E684" s="5">
        <v>3.0448222565687789E-2</v>
      </c>
      <c r="F684" s="2" t="s">
        <v>1358</v>
      </c>
      <c r="G684" s="2" t="s">
        <v>1359</v>
      </c>
    </row>
    <row r="685" spans="1:7" ht="240" x14ac:dyDescent="0.25">
      <c r="A685" s="4">
        <v>684</v>
      </c>
      <c r="B685" s="5">
        <v>9.7872340425531917E-2</v>
      </c>
      <c r="C685" s="5">
        <v>2.6506024096385541E-2</v>
      </c>
      <c r="D685" s="5">
        <v>3.3000000000000002E-2</v>
      </c>
      <c r="E685" s="5">
        <v>2.179289026275116E-2</v>
      </c>
      <c r="F685" s="2" t="s">
        <v>1360</v>
      </c>
      <c r="G685" s="2" t="s">
        <v>1361</v>
      </c>
    </row>
    <row r="686" spans="1:7" ht="225" x14ac:dyDescent="0.25">
      <c r="A686" s="4">
        <v>685</v>
      </c>
      <c r="B686" s="5">
        <v>0.31063829787234037</v>
      </c>
      <c r="C686" s="5">
        <v>0.13493975903614461</v>
      </c>
      <c r="D686" s="5">
        <v>0.112</v>
      </c>
      <c r="E686" s="5">
        <v>4.3276661514683153E-3</v>
      </c>
      <c r="F686" s="2" t="s">
        <v>1362</v>
      </c>
      <c r="G686" s="2" t="s">
        <v>1363</v>
      </c>
    </row>
    <row r="687" spans="1:7" ht="405" x14ac:dyDescent="0.25">
      <c r="A687" s="4">
        <v>686</v>
      </c>
      <c r="B687" s="5">
        <v>7.7659574468085107E-2</v>
      </c>
      <c r="C687" s="5">
        <v>0.1975903614457831</v>
      </c>
      <c r="D687" s="5">
        <v>3.0000000000000001E-3</v>
      </c>
      <c r="E687" s="5">
        <v>0</v>
      </c>
      <c r="F687" s="2" t="s">
        <v>1364</v>
      </c>
      <c r="G687" s="2" t="s">
        <v>1365</v>
      </c>
    </row>
    <row r="688" spans="1:7" ht="270" x14ac:dyDescent="0.25">
      <c r="A688" s="4">
        <v>687</v>
      </c>
      <c r="B688" s="5">
        <v>0.29255319148936171</v>
      </c>
      <c r="C688" s="5">
        <v>0.15180722891566259</v>
      </c>
      <c r="D688" s="5">
        <v>0.14799999999999999</v>
      </c>
      <c r="E688" s="5">
        <v>8.4389489953632144E-2</v>
      </c>
      <c r="F688" s="2" t="s">
        <v>1366</v>
      </c>
      <c r="G688" s="2" t="s">
        <v>1367</v>
      </c>
    </row>
    <row r="689" spans="1:7" ht="135" x14ac:dyDescent="0.25">
      <c r="A689" s="4">
        <v>688</v>
      </c>
      <c r="B689" s="5">
        <v>0.37872340425531908</v>
      </c>
      <c r="C689" s="5">
        <v>0.108433734939759</v>
      </c>
      <c r="D689" s="5">
        <v>8.5000000000000006E-2</v>
      </c>
      <c r="E689" s="5">
        <v>9.969088098918083E-2</v>
      </c>
      <c r="F689" s="2" t="s">
        <v>1368</v>
      </c>
      <c r="G689" s="2" t="s">
        <v>1369</v>
      </c>
    </row>
    <row r="690" spans="1:7" ht="120" x14ac:dyDescent="0.25">
      <c r="A690" s="4">
        <v>689</v>
      </c>
      <c r="B690" s="5">
        <v>0.1276595744680851</v>
      </c>
      <c r="C690" s="5">
        <v>4.2168674698795178E-2</v>
      </c>
      <c r="D690" s="5">
        <v>2.5000000000000001E-2</v>
      </c>
      <c r="E690" s="5">
        <v>3.2148377125193202E-2</v>
      </c>
      <c r="F690" s="2" t="s">
        <v>1370</v>
      </c>
      <c r="G690" s="2" t="s">
        <v>1371</v>
      </c>
    </row>
    <row r="691" spans="1:7" ht="225" x14ac:dyDescent="0.25">
      <c r="A691" s="4">
        <v>690</v>
      </c>
      <c r="B691" s="5">
        <v>4.8936170212765959E-2</v>
      </c>
      <c r="C691" s="5">
        <v>6.8674698795180733E-2</v>
      </c>
      <c r="D691" s="5">
        <v>1.2999999999999999E-2</v>
      </c>
      <c r="E691" s="5">
        <v>1.391035548686244E-2</v>
      </c>
      <c r="F691" s="2" t="s">
        <v>1372</v>
      </c>
      <c r="G691" s="2" t="s">
        <v>1373</v>
      </c>
    </row>
    <row r="692" spans="1:7" ht="210" x14ac:dyDescent="0.25">
      <c r="A692" s="4">
        <v>691</v>
      </c>
      <c r="B692" s="5">
        <v>0.49361702127659568</v>
      </c>
      <c r="C692" s="5">
        <v>1.445783132530121E-2</v>
      </c>
      <c r="D692" s="5">
        <v>0.186</v>
      </c>
      <c r="E692" s="5">
        <v>0.1128284389489954</v>
      </c>
      <c r="F692" s="2" t="s">
        <v>1374</v>
      </c>
      <c r="G692" s="2" t="s">
        <v>1375</v>
      </c>
    </row>
    <row r="693" spans="1:7" ht="285" x14ac:dyDescent="0.25">
      <c r="A693" s="4">
        <v>692</v>
      </c>
      <c r="B693" s="5">
        <v>0.43085106382978722</v>
      </c>
      <c r="C693" s="5">
        <v>0.39518072289156619</v>
      </c>
      <c r="D693" s="5">
        <v>0.17</v>
      </c>
      <c r="E693" s="5">
        <v>5.6414219474497679E-2</v>
      </c>
      <c r="F693" s="2" t="s">
        <v>1376</v>
      </c>
      <c r="G693" s="2" t="s">
        <v>1377</v>
      </c>
    </row>
    <row r="694" spans="1:7" ht="135" x14ac:dyDescent="0.25">
      <c r="A694" s="4">
        <v>693</v>
      </c>
      <c r="B694" s="5">
        <v>3.7234042553191488E-2</v>
      </c>
      <c r="C694" s="5">
        <v>3.4939759036144581E-2</v>
      </c>
      <c r="D694" s="5">
        <v>2E-3</v>
      </c>
      <c r="E694" s="5">
        <v>1.236476043276662E-3</v>
      </c>
      <c r="F694" s="2" t="s">
        <v>1378</v>
      </c>
      <c r="G694" s="2" t="s">
        <v>1379</v>
      </c>
    </row>
    <row r="695" spans="1:7" ht="225" x14ac:dyDescent="0.25">
      <c r="A695" s="4">
        <v>694</v>
      </c>
      <c r="B695" s="5">
        <v>3.4042553191489362E-2</v>
      </c>
      <c r="C695" s="5">
        <v>3.4939759036144581E-2</v>
      </c>
      <c r="D695" s="5">
        <v>2E-3</v>
      </c>
      <c r="E695" s="5">
        <v>8.9644513137557957E-3</v>
      </c>
      <c r="F695" s="2" t="s">
        <v>1380</v>
      </c>
      <c r="G695" s="2" t="s">
        <v>1381</v>
      </c>
    </row>
    <row r="696" spans="1:7" ht="210" x14ac:dyDescent="0.25">
      <c r="A696" s="4">
        <v>695</v>
      </c>
      <c r="B696" s="5">
        <v>3.617021276595745E-2</v>
      </c>
      <c r="C696" s="5">
        <v>1.084337349397591E-2</v>
      </c>
      <c r="D696" s="5">
        <v>0.01</v>
      </c>
      <c r="E696" s="5">
        <v>1.035548686244204E-2</v>
      </c>
      <c r="F696" s="2" t="s">
        <v>1382</v>
      </c>
      <c r="G696" s="2" t="s">
        <v>1383</v>
      </c>
    </row>
    <row r="697" spans="1:7" ht="225" x14ac:dyDescent="0.25">
      <c r="A697" s="4">
        <v>696</v>
      </c>
      <c r="B697" s="5">
        <v>0.05</v>
      </c>
      <c r="C697" s="5">
        <v>6.024096385542169E-3</v>
      </c>
      <c r="D697" s="5">
        <v>2E-3</v>
      </c>
      <c r="E697" s="5">
        <v>1.6074188562596601E-2</v>
      </c>
      <c r="F697" s="2" t="s">
        <v>1384</v>
      </c>
      <c r="G697" s="2" t="s">
        <v>1385</v>
      </c>
    </row>
    <row r="698" spans="1:7" ht="255" x14ac:dyDescent="0.25">
      <c r="A698" s="4">
        <v>697</v>
      </c>
      <c r="B698" s="5">
        <v>0.34680851063829787</v>
      </c>
      <c r="C698" s="5">
        <v>0.27469879518072288</v>
      </c>
      <c r="D698" s="5">
        <v>0.20300000000000001</v>
      </c>
      <c r="E698" s="5">
        <v>2.0247295208655331E-2</v>
      </c>
      <c r="F698" s="2" t="s">
        <v>1386</v>
      </c>
      <c r="G698" s="2" t="s">
        <v>1387</v>
      </c>
    </row>
    <row r="699" spans="1:7" ht="405" x14ac:dyDescent="0.25">
      <c r="A699" s="4">
        <v>698</v>
      </c>
      <c r="B699" s="5">
        <v>0.62765957446808507</v>
      </c>
      <c r="C699" s="5">
        <v>0.3253012048192771</v>
      </c>
      <c r="D699" s="5">
        <v>0.49</v>
      </c>
      <c r="E699" s="5">
        <v>3.2302936630602783E-2</v>
      </c>
      <c r="F699" s="2" t="s">
        <v>1388</v>
      </c>
      <c r="G699" s="2" t="s">
        <v>1389</v>
      </c>
    </row>
    <row r="700" spans="1:7" ht="120" x14ac:dyDescent="0.25">
      <c r="A700" s="4">
        <v>699</v>
      </c>
      <c r="B700" s="5">
        <v>0.66276595744680855</v>
      </c>
      <c r="C700" s="5">
        <v>2.4096385542168679E-2</v>
      </c>
      <c r="D700" s="5">
        <v>0.52100000000000002</v>
      </c>
      <c r="E700" s="5">
        <v>5.6414219474497679E-2</v>
      </c>
      <c r="F700" s="2" t="s">
        <v>1390</v>
      </c>
      <c r="G700" s="2" t="s">
        <v>1391</v>
      </c>
    </row>
    <row r="701" spans="1:7" ht="270" x14ac:dyDescent="0.25">
      <c r="A701" s="4">
        <v>700</v>
      </c>
      <c r="B701" s="5">
        <v>1.8085106382978729E-2</v>
      </c>
      <c r="C701" s="5">
        <v>2.4096385542168681E-3</v>
      </c>
      <c r="D701" s="5">
        <v>1E-3</v>
      </c>
      <c r="E701" s="5">
        <v>5.8732612055641424E-3</v>
      </c>
      <c r="F701" s="2" t="s">
        <v>1392</v>
      </c>
      <c r="G701" s="2" t="s">
        <v>1393</v>
      </c>
    </row>
    <row r="702" spans="1:7" ht="255" x14ac:dyDescent="0.25">
      <c r="A702" s="4">
        <v>701</v>
      </c>
      <c r="B702" s="5">
        <v>7.2340425531914901E-2</v>
      </c>
      <c r="C702" s="5">
        <v>1.204819277108434E-2</v>
      </c>
      <c r="D702" s="5">
        <v>9.0000000000000011E-3</v>
      </c>
      <c r="E702" s="5">
        <v>2.1638330757341579E-2</v>
      </c>
      <c r="F702" s="2" t="s">
        <v>1394</v>
      </c>
      <c r="G702" s="2" t="s">
        <v>1395</v>
      </c>
    </row>
    <row r="703" spans="1:7" ht="165" x14ac:dyDescent="0.25">
      <c r="A703" s="4">
        <v>702</v>
      </c>
      <c r="B703" s="5">
        <v>0.19148936170212769</v>
      </c>
      <c r="C703" s="5">
        <v>4.8192771084337352E-2</v>
      </c>
      <c r="D703" s="5">
        <v>0.15</v>
      </c>
      <c r="E703" s="5">
        <v>1.5455950540958271E-2</v>
      </c>
      <c r="F703" s="2" t="s">
        <v>1396</v>
      </c>
      <c r="G703" s="2" t="s">
        <v>1397</v>
      </c>
    </row>
    <row r="704" spans="1:7" ht="195" x14ac:dyDescent="0.25">
      <c r="A704" s="4">
        <v>703</v>
      </c>
      <c r="B704" s="5">
        <v>0.3819148936170213</v>
      </c>
      <c r="C704" s="5">
        <v>4.0963855421686748E-2</v>
      </c>
      <c r="D704" s="5">
        <v>0.34699999999999998</v>
      </c>
      <c r="E704" s="5">
        <v>2.1638330757341579E-2</v>
      </c>
      <c r="F704" s="2" t="s">
        <v>1398</v>
      </c>
      <c r="G704" s="2" t="s">
        <v>1399</v>
      </c>
    </row>
    <row r="705" spans="1:7" ht="210" x14ac:dyDescent="0.25">
      <c r="A705" s="4">
        <v>704</v>
      </c>
      <c r="B705" s="5">
        <v>0.2276595744680851</v>
      </c>
      <c r="C705" s="5">
        <v>6.5060240963855431E-2</v>
      </c>
      <c r="D705" s="5">
        <v>5.4000000000000013E-2</v>
      </c>
      <c r="E705" s="5">
        <v>6.2132921174652238E-2</v>
      </c>
      <c r="F705" s="2" t="s">
        <v>1400</v>
      </c>
      <c r="G705" s="2" t="s">
        <v>1401</v>
      </c>
    </row>
    <row r="706" spans="1:7" ht="180" x14ac:dyDescent="0.25">
      <c r="A706" s="4">
        <v>705</v>
      </c>
      <c r="B706" s="5">
        <v>0.1180851063829787</v>
      </c>
      <c r="C706" s="5">
        <v>1.8072289156626509E-2</v>
      </c>
      <c r="D706" s="5">
        <v>3.0000000000000001E-3</v>
      </c>
      <c r="E706" s="5">
        <v>4.2040185471406491E-2</v>
      </c>
      <c r="F706" s="2" t="s">
        <v>1402</v>
      </c>
      <c r="G706" s="2" t="s">
        <v>1403</v>
      </c>
    </row>
    <row r="707" spans="1:7" ht="409.5" x14ac:dyDescent="0.25">
      <c r="A707" s="4">
        <v>706</v>
      </c>
      <c r="B707" s="5">
        <v>0.15106382978723401</v>
      </c>
      <c r="C707" s="5">
        <v>0.20361445783132531</v>
      </c>
      <c r="D707" s="5">
        <v>7.8E-2</v>
      </c>
      <c r="E707" s="5">
        <v>0</v>
      </c>
      <c r="F707" s="2" t="s">
        <v>1404</v>
      </c>
      <c r="G707" s="2" t="s">
        <v>1405</v>
      </c>
    </row>
    <row r="708" spans="1:7" ht="135" x14ac:dyDescent="0.25">
      <c r="A708" s="4">
        <v>707</v>
      </c>
      <c r="B708" s="5">
        <v>5.1063829787234047E-2</v>
      </c>
      <c r="C708" s="5">
        <v>1.204819277108434E-2</v>
      </c>
      <c r="D708" s="5">
        <v>2E-3</v>
      </c>
      <c r="E708" s="5">
        <v>1.8392581143740341E-2</v>
      </c>
      <c r="F708" s="2" t="s">
        <v>1406</v>
      </c>
      <c r="G708" s="2" t="s">
        <v>1407</v>
      </c>
    </row>
    <row r="709" spans="1:7" ht="225" x14ac:dyDescent="0.25">
      <c r="A709" s="4">
        <v>708</v>
      </c>
      <c r="B709" s="5">
        <v>0.4042553191489362</v>
      </c>
      <c r="C709" s="5">
        <v>0.58915662650602407</v>
      </c>
      <c r="D709" s="5">
        <v>0.13800000000000001</v>
      </c>
      <c r="E709" s="5">
        <v>3.601236476043277E-2</v>
      </c>
      <c r="F709" s="2" t="s">
        <v>1408</v>
      </c>
      <c r="G709" s="2" t="s">
        <v>1409</v>
      </c>
    </row>
    <row r="710" spans="1:7" ht="240" x14ac:dyDescent="0.25">
      <c r="A710" s="4">
        <v>709</v>
      </c>
      <c r="B710" s="5">
        <v>4.6808510638297871E-2</v>
      </c>
      <c r="C710" s="5">
        <v>2.168674698795181E-2</v>
      </c>
      <c r="D710" s="5">
        <v>6.0000000000000001E-3</v>
      </c>
      <c r="E710" s="5">
        <v>1.4837712519319941E-2</v>
      </c>
      <c r="F710" s="2" t="s">
        <v>1410</v>
      </c>
      <c r="G710" s="2" t="s">
        <v>1411</v>
      </c>
    </row>
    <row r="711" spans="1:7" ht="285" x14ac:dyDescent="0.25">
      <c r="A711" s="4">
        <v>710</v>
      </c>
      <c r="B711" s="5">
        <v>0.67659574468085104</v>
      </c>
      <c r="C711" s="5">
        <v>0.2289156626506024</v>
      </c>
      <c r="D711" s="5">
        <v>0.63</v>
      </c>
      <c r="E711" s="5">
        <v>1.236476043276661E-2</v>
      </c>
      <c r="F711" s="2" t="s">
        <v>1412</v>
      </c>
      <c r="G711" s="2" t="s">
        <v>1413</v>
      </c>
    </row>
    <row r="712" spans="1:7" ht="210" x14ac:dyDescent="0.25">
      <c r="A712" s="4">
        <v>711</v>
      </c>
      <c r="B712" s="5">
        <v>0.69893617021276599</v>
      </c>
      <c r="C712" s="5">
        <v>0.18072289156626509</v>
      </c>
      <c r="D712" s="5">
        <v>0.66</v>
      </c>
      <c r="E712" s="5">
        <v>2.009273570324575E-2</v>
      </c>
      <c r="F712" s="2" t="s">
        <v>1414</v>
      </c>
      <c r="G712" s="2" t="s">
        <v>1415</v>
      </c>
    </row>
    <row r="713" spans="1:7" ht="120" x14ac:dyDescent="0.25">
      <c r="A713" s="4">
        <v>712</v>
      </c>
      <c r="B713" s="5">
        <v>0.65531914893617027</v>
      </c>
      <c r="C713" s="5">
        <v>0.1674698795180723</v>
      </c>
      <c r="D713" s="5">
        <v>0.56200000000000006</v>
      </c>
      <c r="E713" s="5">
        <v>2.117465224111283E-2</v>
      </c>
      <c r="F713" s="2" t="s">
        <v>1416</v>
      </c>
      <c r="G713" s="2" t="s">
        <v>1417</v>
      </c>
    </row>
    <row r="714" spans="1:7" ht="409.5" x14ac:dyDescent="0.25">
      <c r="A714" s="4">
        <v>713</v>
      </c>
      <c r="B714" s="5">
        <v>8.8297872340425534E-2</v>
      </c>
      <c r="C714" s="5">
        <v>2.4096385542168679E-2</v>
      </c>
      <c r="D714" s="5">
        <v>1E-3</v>
      </c>
      <c r="E714" s="5">
        <v>2.952086553323029E-2</v>
      </c>
      <c r="F714" s="2" t="s">
        <v>1418</v>
      </c>
      <c r="G714" s="2" t="s">
        <v>1419</v>
      </c>
    </row>
    <row r="715" spans="1:7" ht="135" x14ac:dyDescent="0.25">
      <c r="A715" s="4">
        <v>714</v>
      </c>
      <c r="B715" s="5">
        <v>0.15106382978723401</v>
      </c>
      <c r="C715" s="5">
        <v>1.084337349397591E-2</v>
      </c>
      <c r="D715" s="5">
        <v>4.0000000000000001E-3</v>
      </c>
      <c r="E715" s="5">
        <v>5.2086553323029368E-2</v>
      </c>
      <c r="F715" s="2" t="s">
        <v>1420</v>
      </c>
      <c r="G715" s="2" t="s">
        <v>1421</v>
      </c>
    </row>
    <row r="716" spans="1:7" ht="150" x14ac:dyDescent="0.25">
      <c r="A716" s="4">
        <v>715</v>
      </c>
      <c r="B716" s="5">
        <v>6.8085106382978725E-2</v>
      </c>
      <c r="C716" s="5">
        <v>0.1445783132530121</v>
      </c>
      <c r="D716" s="5">
        <v>0.01</v>
      </c>
      <c r="E716" s="5">
        <v>3.0911901081916542E-3</v>
      </c>
      <c r="F716" s="2" t="s">
        <v>1422</v>
      </c>
      <c r="G716" s="2" t="s">
        <v>1423</v>
      </c>
    </row>
    <row r="717" spans="1:7" ht="165" x14ac:dyDescent="0.25">
      <c r="A717" s="4">
        <v>716</v>
      </c>
      <c r="B717" s="5">
        <v>0.21702127659574469</v>
      </c>
      <c r="C717" s="5">
        <v>3.1325301204819279E-2</v>
      </c>
      <c r="D717" s="5">
        <v>0.2</v>
      </c>
      <c r="E717" s="5">
        <v>6.1823802163833066E-3</v>
      </c>
      <c r="F717" s="2" t="s">
        <v>1424</v>
      </c>
      <c r="G717" s="2" t="s">
        <v>1425</v>
      </c>
    </row>
    <row r="718" spans="1:7" ht="210" x14ac:dyDescent="0.25">
      <c r="A718" s="4">
        <v>717</v>
      </c>
      <c r="B718" s="5">
        <v>0.16063829787234041</v>
      </c>
      <c r="C718" s="5">
        <v>0.16626506024096391</v>
      </c>
      <c r="D718" s="5">
        <v>3.7999999999999999E-2</v>
      </c>
      <c r="E718" s="5">
        <v>2.179289026275116E-2</v>
      </c>
      <c r="F718" s="2" t="s">
        <v>1426</v>
      </c>
      <c r="G718" s="2" t="s">
        <v>1427</v>
      </c>
    </row>
    <row r="719" spans="1:7" ht="195" x14ac:dyDescent="0.25">
      <c r="A719" s="4">
        <v>718</v>
      </c>
      <c r="B719" s="5">
        <v>6.2765957446808518E-2</v>
      </c>
      <c r="C719" s="5">
        <v>0.2168674698795181</v>
      </c>
      <c r="D719" s="5">
        <v>1.0999999999999999E-2</v>
      </c>
      <c r="E719" s="5">
        <v>5.5641421947449756E-3</v>
      </c>
      <c r="F719" s="2" t="s">
        <v>1428</v>
      </c>
      <c r="G719" s="2" t="s">
        <v>1429</v>
      </c>
    </row>
    <row r="720" spans="1:7" ht="180" x14ac:dyDescent="0.25">
      <c r="A720" s="4">
        <v>719</v>
      </c>
      <c r="B720" s="5">
        <v>0.41808510638297869</v>
      </c>
      <c r="C720" s="5">
        <v>0.46867469879518081</v>
      </c>
      <c r="D720" s="5">
        <v>0.13300000000000001</v>
      </c>
      <c r="E720" s="5">
        <v>4.544049459041731E-2</v>
      </c>
      <c r="F720" s="2" t="s">
        <v>1430</v>
      </c>
      <c r="G720" s="2" t="s">
        <v>1431</v>
      </c>
    </row>
    <row r="721" spans="1:7" ht="240" x14ac:dyDescent="0.25">
      <c r="A721" s="4">
        <v>720</v>
      </c>
      <c r="B721" s="5">
        <v>0.37978723404255321</v>
      </c>
      <c r="C721" s="5">
        <v>0.49518072289156628</v>
      </c>
      <c r="D721" s="5">
        <v>0.1</v>
      </c>
      <c r="E721" s="5">
        <v>3.956723338485317E-2</v>
      </c>
      <c r="F721" s="2" t="s">
        <v>1432</v>
      </c>
      <c r="G721" s="2" t="s">
        <v>1433</v>
      </c>
    </row>
    <row r="722" spans="1:7" ht="135" x14ac:dyDescent="0.25">
      <c r="A722" s="4">
        <v>721</v>
      </c>
      <c r="B722" s="5">
        <v>8.4042553191489358E-2</v>
      </c>
      <c r="C722" s="5">
        <v>0.2253012048192771</v>
      </c>
      <c r="D722" s="5">
        <v>5.0000000000000001E-3</v>
      </c>
      <c r="E722" s="5">
        <v>0</v>
      </c>
      <c r="F722" s="2" t="s">
        <v>1434</v>
      </c>
      <c r="G722" s="2" t="s">
        <v>1435</v>
      </c>
    </row>
    <row r="723" spans="1:7" ht="345" x14ac:dyDescent="0.25">
      <c r="A723" s="4">
        <v>722</v>
      </c>
      <c r="B723" s="5">
        <v>0.50531914893617025</v>
      </c>
      <c r="C723" s="5">
        <v>1.9277108433734941E-2</v>
      </c>
      <c r="D723" s="5">
        <v>0.255</v>
      </c>
      <c r="E723" s="5">
        <v>9.9536321483771256E-2</v>
      </c>
      <c r="F723" s="2" t="s">
        <v>1436</v>
      </c>
      <c r="G723" s="2" t="s">
        <v>1437</v>
      </c>
    </row>
    <row r="724" spans="1:7" ht="225" x14ac:dyDescent="0.25">
      <c r="A724" s="4">
        <v>723</v>
      </c>
      <c r="B724" s="5">
        <v>0.14574468085106379</v>
      </c>
      <c r="C724" s="5">
        <v>1.566265060240964E-2</v>
      </c>
      <c r="D724" s="5">
        <v>1.0999999999999999E-2</v>
      </c>
      <c r="E724" s="5">
        <v>4.605873261205564E-2</v>
      </c>
      <c r="F724" s="2" t="s">
        <v>1438</v>
      </c>
      <c r="G724" s="2" t="s">
        <v>1439</v>
      </c>
    </row>
    <row r="725" spans="1:7" ht="240" x14ac:dyDescent="0.25">
      <c r="A725" s="4">
        <v>724</v>
      </c>
      <c r="B725" s="5">
        <v>0.62340425531914889</v>
      </c>
      <c r="C725" s="5">
        <v>5.9036144578313257E-2</v>
      </c>
      <c r="D725" s="5">
        <v>0.40600000000000003</v>
      </c>
      <c r="E725" s="5">
        <v>7.7588871715610519E-2</v>
      </c>
      <c r="F725" s="2" t="s">
        <v>1440</v>
      </c>
      <c r="G725" s="2" t="s">
        <v>1441</v>
      </c>
    </row>
    <row r="726" spans="1:7" ht="180" x14ac:dyDescent="0.25">
      <c r="A726" s="4">
        <v>725</v>
      </c>
      <c r="B726" s="5">
        <v>0.474468085106383</v>
      </c>
      <c r="C726" s="5">
        <v>3.3734939759036138E-2</v>
      </c>
      <c r="D726" s="5">
        <v>0.14499999999999999</v>
      </c>
      <c r="E726" s="5">
        <v>0.1174652241112828</v>
      </c>
      <c r="F726" s="2" t="s">
        <v>1442</v>
      </c>
      <c r="G726" s="2" t="s">
        <v>1443</v>
      </c>
    </row>
    <row r="727" spans="1:7" ht="240" x14ac:dyDescent="0.25">
      <c r="A727" s="4">
        <v>726</v>
      </c>
      <c r="B727" s="5">
        <v>0.47659574468085109</v>
      </c>
      <c r="C727" s="5">
        <v>3.2530120481927723E-2</v>
      </c>
      <c r="D727" s="5">
        <v>0.188</v>
      </c>
      <c r="E727" s="5">
        <v>0.10370942812983</v>
      </c>
      <c r="F727" s="2" t="s">
        <v>1444</v>
      </c>
      <c r="G727" s="2" t="s">
        <v>1445</v>
      </c>
    </row>
    <row r="728" spans="1:7" ht="270" x14ac:dyDescent="0.25">
      <c r="A728" s="4">
        <v>727</v>
      </c>
      <c r="B728" s="5">
        <v>0.51595744680851063</v>
      </c>
      <c r="C728" s="5">
        <v>2.0481927710843371E-2</v>
      </c>
      <c r="D728" s="5">
        <v>0.222</v>
      </c>
      <c r="E728" s="5">
        <v>0.1077279752704791</v>
      </c>
      <c r="F728" s="2" t="s">
        <v>1446</v>
      </c>
      <c r="G728" s="2" t="s">
        <v>1447</v>
      </c>
    </row>
    <row r="729" spans="1:7" ht="270" x14ac:dyDescent="0.25">
      <c r="A729" s="4">
        <v>728</v>
      </c>
      <c r="B729" s="5">
        <v>0.63617021276595742</v>
      </c>
      <c r="C729" s="5">
        <v>0.1</v>
      </c>
      <c r="D729" s="5">
        <v>0.438</v>
      </c>
      <c r="E729" s="5">
        <v>6.5842349304482226E-2</v>
      </c>
      <c r="F729" s="2" t="s">
        <v>1448</v>
      </c>
      <c r="G729" s="2" t="s">
        <v>1449</v>
      </c>
    </row>
    <row r="730" spans="1:7" ht="285" x14ac:dyDescent="0.25">
      <c r="A730" s="4">
        <v>729</v>
      </c>
      <c r="B730" s="5">
        <v>0.50851063829787235</v>
      </c>
      <c r="C730" s="5">
        <v>1.084337349397591E-2</v>
      </c>
      <c r="D730" s="5">
        <v>0.20699999999999999</v>
      </c>
      <c r="E730" s="5">
        <v>0.11128284389489949</v>
      </c>
      <c r="F730" s="2" t="s">
        <v>1450</v>
      </c>
      <c r="G730" s="2" t="s">
        <v>1451</v>
      </c>
    </row>
    <row r="731" spans="1:7" ht="180" x14ac:dyDescent="0.25">
      <c r="A731" s="4">
        <v>730</v>
      </c>
      <c r="B731" s="5">
        <v>0.51170212765957446</v>
      </c>
      <c r="C731" s="5">
        <v>2.6506024096385541E-2</v>
      </c>
      <c r="D731" s="5">
        <v>0.19700000000000001</v>
      </c>
      <c r="E731" s="5">
        <v>0.1137557959814528</v>
      </c>
      <c r="F731" s="2" t="s">
        <v>1452</v>
      </c>
      <c r="G731" s="2" t="s">
        <v>1453</v>
      </c>
    </row>
    <row r="732" spans="1:7" ht="165" x14ac:dyDescent="0.25">
      <c r="A732" s="4">
        <v>731</v>
      </c>
      <c r="B732" s="5">
        <v>0.61808510638297876</v>
      </c>
      <c r="C732" s="5">
        <v>0.14578313253012051</v>
      </c>
      <c r="D732" s="5">
        <v>0.40600000000000003</v>
      </c>
      <c r="E732" s="5">
        <v>6.4451313755795991E-2</v>
      </c>
      <c r="F732" s="2" t="s">
        <v>1454</v>
      </c>
      <c r="G732" s="2" t="s">
        <v>1455</v>
      </c>
    </row>
    <row r="733" spans="1:7" ht="135" x14ac:dyDescent="0.25">
      <c r="A733" s="4">
        <v>732</v>
      </c>
      <c r="B733" s="5">
        <v>0.57659574468085106</v>
      </c>
      <c r="C733" s="5">
        <v>0.48554216867469879</v>
      </c>
      <c r="D733" s="5">
        <v>0.42399999999999999</v>
      </c>
      <c r="E733" s="5">
        <v>1.7928902627511591E-2</v>
      </c>
      <c r="F733" s="2" t="s">
        <v>1456</v>
      </c>
      <c r="G733" s="2" t="s">
        <v>1457</v>
      </c>
    </row>
    <row r="734" spans="1:7" ht="105" x14ac:dyDescent="0.25">
      <c r="A734" s="4">
        <v>733</v>
      </c>
      <c r="B734" s="5">
        <v>0.54255319148936176</v>
      </c>
      <c r="C734" s="5">
        <v>0.1481927710843374</v>
      </c>
      <c r="D734" s="5">
        <v>0.27900000000000003</v>
      </c>
      <c r="E734" s="5">
        <v>8.0989180834621324E-2</v>
      </c>
      <c r="F734" s="2" t="s">
        <v>1458</v>
      </c>
      <c r="G734" s="2" t="s">
        <v>1459</v>
      </c>
    </row>
    <row r="735" spans="1:7" ht="135" x14ac:dyDescent="0.25">
      <c r="A735" s="4">
        <v>734</v>
      </c>
      <c r="B735" s="5">
        <v>0.56276595744680857</v>
      </c>
      <c r="C735" s="5">
        <v>0.25060240963855418</v>
      </c>
      <c r="D735" s="5">
        <v>0.317</v>
      </c>
      <c r="E735" s="5">
        <v>6.2132921174652238E-2</v>
      </c>
      <c r="F735" s="2" t="s">
        <v>1460</v>
      </c>
      <c r="G735" s="2" t="s">
        <v>1461</v>
      </c>
    </row>
    <row r="736" spans="1:7" ht="180" x14ac:dyDescent="0.25">
      <c r="A736" s="4">
        <v>735</v>
      </c>
      <c r="B736" s="5">
        <v>0.51702127659574471</v>
      </c>
      <c r="C736" s="5">
        <v>2.4096385542168681E-3</v>
      </c>
      <c r="D736" s="5">
        <v>0.23899999999999999</v>
      </c>
      <c r="E736" s="5">
        <v>0.1044822256568779</v>
      </c>
      <c r="F736" s="2" t="s">
        <v>1462</v>
      </c>
      <c r="G736" s="2" t="s">
        <v>1463</v>
      </c>
    </row>
    <row r="737" spans="1:7" ht="285" x14ac:dyDescent="0.25">
      <c r="A737" s="4">
        <v>736</v>
      </c>
      <c r="B737" s="5">
        <v>2.7659574468085112E-2</v>
      </c>
      <c r="C737" s="5">
        <v>2.0481927710843371E-2</v>
      </c>
      <c r="D737" s="5">
        <v>4.0000000000000001E-3</v>
      </c>
      <c r="E737" s="5">
        <v>5.8732612055641424E-3</v>
      </c>
      <c r="F737" s="2" t="s">
        <v>1464</v>
      </c>
      <c r="G737" s="2" t="s">
        <v>1465</v>
      </c>
    </row>
    <row r="738" spans="1:7" ht="135" x14ac:dyDescent="0.25">
      <c r="A738" s="4">
        <v>737</v>
      </c>
      <c r="B738" s="5">
        <v>0.37234042553191488</v>
      </c>
      <c r="C738" s="5">
        <v>6.024096385542169E-3</v>
      </c>
      <c r="D738" s="5">
        <v>2E-3</v>
      </c>
      <c r="E738" s="5">
        <v>0.1327666151468315</v>
      </c>
      <c r="F738" s="2" t="s">
        <v>1466</v>
      </c>
      <c r="G738" s="2" t="s">
        <v>1467</v>
      </c>
    </row>
    <row r="739" spans="1:7" ht="150" x14ac:dyDescent="0.25">
      <c r="A739" s="4">
        <v>738</v>
      </c>
      <c r="B739" s="5">
        <v>0.47234042553191491</v>
      </c>
      <c r="C739" s="5">
        <v>8.313253012048194E-2</v>
      </c>
      <c r="D739" s="5">
        <v>0.14599999999999999</v>
      </c>
      <c r="E739" s="5">
        <v>0.11020092735703239</v>
      </c>
      <c r="F739" s="2" t="s">
        <v>1468</v>
      </c>
      <c r="G739" s="2" t="s">
        <v>1469</v>
      </c>
    </row>
    <row r="740" spans="1:7" ht="315" x14ac:dyDescent="0.25">
      <c r="A740" s="4">
        <v>739</v>
      </c>
      <c r="B740" s="5">
        <v>0.36382978723404258</v>
      </c>
      <c r="C740" s="5">
        <v>0.19277108433734941</v>
      </c>
      <c r="D740" s="5">
        <v>4.0000000000000001E-3</v>
      </c>
      <c r="E740" s="5">
        <v>0.1013910355486862</v>
      </c>
      <c r="F740" s="2" t="s">
        <v>1470</v>
      </c>
      <c r="G740" s="2" t="s">
        <v>1471</v>
      </c>
    </row>
    <row r="741" spans="1:7" ht="270" x14ac:dyDescent="0.25">
      <c r="A741" s="4">
        <v>740</v>
      </c>
      <c r="B741" s="5">
        <v>0.34574468085106391</v>
      </c>
      <c r="C741" s="5">
        <v>2.168674698795181E-2</v>
      </c>
      <c r="D741" s="5">
        <v>4.0000000000000001E-3</v>
      </c>
      <c r="E741" s="5">
        <v>0.12132921174652241</v>
      </c>
      <c r="F741" s="2" t="s">
        <v>1472</v>
      </c>
      <c r="G741" s="2" t="s">
        <v>1473</v>
      </c>
    </row>
    <row r="742" spans="1:7" ht="240" x14ac:dyDescent="0.25">
      <c r="A742" s="4">
        <v>741</v>
      </c>
      <c r="B742" s="5">
        <v>0.53617021276595744</v>
      </c>
      <c r="C742" s="5">
        <v>6.746987951807229E-2</v>
      </c>
      <c r="D742" s="5">
        <v>0.28100000000000003</v>
      </c>
      <c r="E742" s="5">
        <v>8.8253477588871712E-2</v>
      </c>
      <c r="F742" s="2" t="s">
        <v>1474</v>
      </c>
      <c r="G742" s="2" t="s">
        <v>1475</v>
      </c>
    </row>
    <row r="743" spans="1:7" ht="285" x14ac:dyDescent="0.25">
      <c r="A743" s="4">
        <v>742</v>
      </c>
      <c r="B743" s="5">
        <v>0.37872340425531908</v>
      </c>
      <c r="C743" s="5">
        <v>0.1168674698795181</v>
      </c>
      <c r="D743" s="5">
        <v>1.0999999999999999E-2</v>
      </c>
      <c r="E743" s="5">
        <v>0.1188562596599691</v>
      </c>
      <c r="F743" s="2" t="s">
        <v>1476</v>
      </c>
      <c r="G743" s="2" t="s">
        <v>1477</v>
      </c>
    </row>
    <row r="744" spans="1:7" ht="240" x14ac:dyDescent="0.25">
      <c r="A744" s="4">
        <v>743</v>
      </c>
      <c r="B744" s="5">
        <v>0.44893617021276588</v>
      </c>
      <c r="C744" s="5">
        <v>1</v>
      </c>
      <c r="D744" s="5">
        <v>0.04</v>
      </c>
      <c r="E744" s="5">
        <v>0</v>
      </c>
      <c r="F744" s="2" t="s">
        <v>1478</v>
      </c>
      <c r="G744" s="2" t="s">
        <v>1479</v>
      </c>
    </row>
    <row r="745" spans="1:7" ht="105" x14ac:dyDescent="0.25">
      <c r="A745" s="4">
        <v>744</v>
      </c>
      <c r="B745" s="5">
        <v>0.36702127659574468</v>
      </c>
      <c r="C745" s="5">
        <v>0.1445783132530121</v>
      </c>
      <c r="D745" s="5">
        <v>1.4999999999999999E-2</v>
      </c>
      <c r="E745" s="5">
        <v>0.1105100463678516</v>
      </c>
      <c r="F745" s="2" t="s">
        <v>1480</v>
      </c>
      <c r="G745" s="2" t="s">
        <v>1481</v>
      </c>
    </row>
    <row r="746" spans="1:7" ht="255" x14ac:dyDescent="0.25">
      <c r="A746" s="4">
        <v>745</v>
      </c>
      <c r="B746" s="5">
        <v>0.45851063829787242</v>
      </c>
      <c r="C746" s="5">
        <v>0.13373493975903611</v>
      </c>
      <c r="D746" s="5">
        <v>0.16200000000000001</v>
      </c>
      <c r="E746" s="5">
        <v>9.7372488408037097E-2</v>
      </c>
      <c r="F746" s="2" t="s">
        <v>1482</v>
      </c>
      <c r="G746" s="2" t="s">
        <v>1483</v>
      </c>
    </row>
    <row r="747" spans="1:7" ht="255" x14ac:dyDescent="0.25">
      <c r="A747" s="4">
        <v>746</v>
      </c>
      <c r="B747" s="5">
        <v>0.46702127659574472</v>
      </c>
      <c r="C747" s="5">
        <v>0.1204819277108434</v>
      </c>
      <c r="D747" s="5">
        <v>0.16400000000000001</v>
      </c>
      <c r="E747" s="5">
        <v>0.1015455950540958</v>
      </c>
      <c r="F747" s="2" t="s">
        <v>1484</v>
      </c>
      <c r="G747" s="2" t="s">
        <v>1483</v>
      </c>
    </row>
    <row r="748" spans="1:7" ht="255" x14ac:dyDescent="0.25">
      <c r="A748" s="4">
        <v>747</v>
      </c>
      <c r="B748" s="5">
        <v>0.51595744680851063</v>
      </c>
      <c r="C748" s="5">
        <v>0.13855421686746991</v>
      </c>
      <c r="D748" s="5">
        <v>0.245</v>
      </c>
      <c r="E748" s="5">
        <v>9.134466769706337E-2</v>
      </c>
      <c r="F748" s="2" t="s">
        <v>1485</v>
      </c>
      <c r="G748" s="2" t="s">
        <v>1483</v>
      </c>
    </row>
    <row r="749" spans="1:7" ht="135" x14ac:dyDescent="0.25">
      <c r="A749" s="4">
        <v>748</v>
      </c>
      <c r="B749" s="5">
        <v>0.50638297872340421</v>
      </c>
      <c r="C749" s="5">
        <v>1.2048192771084341E-3</v>
      </c>
      <c r="D749" s="5">
        <v>0.21099999999999999</v>
      </c>
      <c r="E749" s="5">
        <v>0.11020092735703239</v>
      </c>
      <c r="F749" s="2" t="s">
        <v>1486</v>
      </c>
      <c r="G749" s="2" t="s">
        <v>1487</v>
      </c>
    </row>
    <row r="750" spans="1:7" ht="150" x14ac:dyDescent="0.25">
      <c r="A750" s="4">
        <v>749</v>
      </c>
      <c r="B750" s="5">
        <v>4.9680851063829787E-2</v>
      </c>
      <c r="C750" s="5">
        <v>0.20843373493975911</v>
      </c>
      <c r="D750" s="5">
        <v>0.17299999999999999</v>
      </c>
      <c r="E750" s="5">
        <v>0.12565687789799071</v>
      </c>
      <c r="F750" s="2" t="s">
        <v>1488</v>
      </c>
      <c r="G750" s="2" t="s">
        <v>1489</v>
      </c>
    </row>
    <row r="751" spans="1:7" ht="409.5" x14ac:dyDescent="0.25">
      <c r="A751" s="4">
        <v>750</v>
      </c>
      <c r="B751" s="5">
        <v>0.36170212765957449</v>
      </c>
      <c r="C751" s="5">
        <v>0.36144578313253012</v>
      </c>
      <c r="D751" s="5">
        <v>0.3</v>
      </c>
      <c r="E751" s="5">
        <v>8.0370942812983001E-2</v>
      </c>
      <c r="F751" s="2" t="s">
        <v>1490</v>
      </c>
      <c r="G751" s="2" t="s">
        <v>1491</v>
      </c>
    </row>
    <row r="752" spans="1:7" ht="375" x14ac:dyDescent="0.25">
      <c r="A752" s="4">
        <v>751</v>
      </c>
      <c r="B752" s="5">
        <v>0.3819148936170213</v>
      </c>
      <c r="C752" s="5">
        <v>0.20722891566265059</v>
      </c>
      <c r="D752" s="5">
        <v>0.68200000000000005</v>
      </c>
      <c r="E752" s="5">
        <v>0.51313755795981453</v>
      </c>
      <c r="F752" s="2" t="s">
        <v>1492</v>
      </c>
      <c r="G752" s="2" t="s">
        <v>1493</v>
      </c>
    </row>
    <row r="753" spans="1:7" ht="240" x14ac:dyDescent="0.25">
      <c r="A753" s="4">
        <v>752</v>
      </c>
      <c r="B753" s="5">
        <v>0.50744680851063828</v>
      </c>
      <c r="C753" s="5">
        <v>5.6626506024096392E-2</v>
      </c>
      <c r="D753" s="5">
        <v>0.20499999999999999</v>
      </c>
      <c r="E753" s="5">
        <v>0.1058732612055641</v>
      </c>
      <c r="F753" s="2" t="s">
        <v>1494</v>
      </c>
      <c r="G753" s="2" t="s">
        <v>1495</v>
      </c>
    </row>
    <row r="754" spans="1:7" ht="195" x14ac:dyDescent="0.25">
      <c r="A754" s="4">
        <v>753</v>
      </c>
      <c r="B754" s="5">
        <v>0.62553191489361704</v>
      </c>
      <c r="C754" s="5">
        <v>0.64698795180722901</v>
      </c>
      <c r="D754" s="5">
        <v>0.40899999999999997</v>
      </c>
      <c r="E754" s="5">
        <v>1.8547140649149919E-3</v>
      </c>
      <c r="F754" s="2" t="s">
        <v>1496</v>
      </c>
      <c r="G754" s="2" t="s">
        <v>1497</v>
      </c>
    </row>
    <row r="755" spans="1:7" ht="285" x14ac:dyDescent="0.25">
      <c r="A755" s="4">
        <v>754</v>
      </c>
      <c r="B755" s="5">
        <v>8.2978723404255314E-2</v>
      </c>
      <c r="C755" s="5">
        <v>9.6385542168674707E-3</v>
      </c>
      <c r="D755" s="5">
        <v>4.0000000000000001E-3</v>
      </c>
      <c r="E755" s="5">
        <v>3.0911901081916542E-2</v>
      </c>
      <c r="F755" s="2" t="s">
        <v>1498</v>
      </c>
      <c r="G755" s="2" t="s">
        <v>1499</v>
      </c>
    </row>
    <row r="756" spans="1:7" ht="240" x14ac:dyDescent="0.25">
      <c r="A756" s="4">
        <v>755</v>
      </c>
      <c r="B756" s="5">
        <v>0.1925531914893617</v>
      </c>
      <c r="C756" s="5">
        <v>4.8192771084337352E-2</v>
      </c>
      <c r="D756" s="5">
        <v>1.2E-2</v>
      </c>
      <c r="E756" s="5">
        <v>5.7650695517774339E-2</v>
      </c>
      <c r="F756" s="2" t="s">
        <v>1500</v>
      </c>
      <c r="G756" s="2" t="s">
        <v>1501</v>
      </c>
    </row>
    <row r="757" spans="1:7" ht="150" x14ac:dyDescent="0.25">
      <c r="A757" s="4">
        <v>756</v>
      </c>
      <c r="B757" s="5">
        <v>0.17340425531914891</v>
      </c>
      <c r="C757" s="5">
        <v>3.6144578313253017E-2</v>
      </c>
      <c r="D757" s="5">
        <v>4.0000000000000001E-3</v>
      </c>
      <c r="E757" s="5">
        <v>5.5177743431221032E-2</v>
      </c>
      <c r="F757" s="2" t="s">
        <v>1502</v>
      </c>
      <c r="G757" s="2" t="s">
        <v>1503</v>
      </c>
    </row>
    <row r="758" spans="1:7" ht="409.5" x14ac:dyDescent="0.25">
      <c r="A758" s="4">
        <v>757</v>
      </c>
      <c r="B758" s="5">
        <v>0.36170212765957449</v>
      </c>
      <c r="C758" s="5">
        <v>0.13253012048192769</v>
      </c>
      <c r="D758" s="5">
        <v>0.11</v>
      </c>
      <c r="E758" s="5">
        <v>8.3462132921174645E-2</v>
      </c>
      <c r="F758" s="2" t="s">
        <v>1504</v>
      </c>
      <c r="G758" s="2" t="s">
        <v>1505</v>
      </c>
    </row>
    <row r="759" spans="1:7" ht="120" x14ac:dyDescent="0.25">
      <c r="A759" s="4">
        <v>758</v>
      </c>
      <c r="B759" s="5">
        <v>0.1670212765957447</v>
      </c>
      <c r="C759" s="5">
        <v>9.6385542168674707E-3</v>
      </c>
      <c r="D759" s="5">
        <v>3.0000000000000001E-3</v>
      </c>
      <c r="E759" s="5">
        <v>5.8578052550231838E-2</v>
      </c>
      <c r="F759" s="2" t="s">
        <v>1506</v>
      </c>
      <c r="G759" s="2" t="s">
        <v>1507</v>
      </c>
    </row>
    <row r="760" spans="1:7" ht="120" x14ac:dyDescent="0.25">
      <c r="A760" s="4">
        <v>759</v>
      </c>
      <c r="B760" s="5">
        <v>0.1638297872340426</v>
      </c>
      <c r="C760" s="5">
        <v>1.204819277108434E-2</v>
      </c>
      <c r="D760" s="5">
        <v>3.0000000000000001E-3</v>
      </c>
      <c r="E760" s="5">
        <v>5.6877897990726421E-2</v>
      </c>
      <c r="F760" s="2" t="s">
        <v>1508</v>
      </c>
      <c r="G760" s="2" t="s">
        <v>1509</v>
      </c>
    </row>
    <row r="761" spans="1:7" ht="165" x14ac:dyDescent="0.25">
      <c r="A761" s="4">
        <v>760</v>
      </c>
      <c r="B761" s="5">
        <v>0.1627659574468085</v>
      </c>
      <c r="C761" s="5">
        <v>1.445783132530121E-2</v>
      </c>
      <c r="D761" s="5">
        <v>3.0000000000000001E-3</v>
      </c>
      <c r="E761" s="5">
        <v>5.6259659969088098E-2</v>
      </c>
      <c r="F761" s="2" t="s">
        <v>1510</v>
      </c>
      <c r="G761" s="2" t="s">
        <v>1511</v>
      </c>
    </row>
    <row r="762" spans="1:7" ht="90" x14ac:dyDescent="0.25">
      <c r="A762" s="4">
        <v>761</v>
      </c>
      <c r="B762" s="5">
        <v>1.276595744680851E-2</v>
      </c>
      <c r="C762" s="5">
        <v>8.4337349397590362E-3</v>
      </c>
      <c r="D762" s="5">
        <v>1E-3</v>
      </c>
      <c r="E762" s="5">
        <v>4.1731066460587328E-3</v>
      </c>
      <c r="F762" s="2" t="s">
        <v>1512</v>
      </c>
      <c r="G762" s="2" t="s">
        <v>1513</v>
      </c>
    </row>
    <row r="763" spans="1:7" ht="240" x14ac:dyDescent="0.25">
      <c r="A763" s="4">
        <v>762</v>
      </c>
      <c r="B763" s="5">
        <v>9.5744680851063829E-3</v>
      </c>
      <c r="C763" s="5">
        <v>6.024096385542169E-3</v>
      </c>
      <c r="D763" s="5">
        <v>1E-3</v>
      </c>
      <c r="E763" s="5">
        <v>2.9366306027820712E-3</v>
      </c>
      <c r="F763" s="2" t="s">
        <v>1514</v>
      </c>
      <c r="G763" s="2" t="s">
        <v>1515</v>
      </c>
    </row>
    <row r="764" spans="1:7" ht="240" x14ac:dyDescent="0.25">
      <c r="A764" s="4">
        <v>763</v>
      </c>
      <c r="B764" s="5">
        <v>0.1627659574468085</v>
      </c>
      <c r="C764" s="5">
        <v>9.5180722891566275E-2</v>
      </c>
      <c r="D764" s="5">
        <v>7.6999999999999999E-2</v>
      </c>
      <c r="E764" s="5">
        <v>2.009273570324575E-2</v>
      </c>
      <c r="F764" s="2" t="s">
        <v>1516</v>
      </c>
      <c r="G764" s="2" t="s">
        <v>1517</v>
      </c>
    </row>
    <row r="765" spans="1:7" ht="345" x14ac:dyDescent="0.25">
      <c r="A765" s="4">
        <v>764</v>
      </c>
      <c r="B765" s="5">
        <v>0.4297872340425532</v>
      </c>
      <c r="C765" s="5">
        <v>0.16987951807228921</v>
      </c>
      <c r="D765" s="5">
        <v>0.161</v>
      </c>
      <c r="E765" s="5">
        <v>8.377125193199382E-2</v>
      </c>
      <c r="F765" s="2" t="s">
        <v>1518</v>
      </c>
      <c r="G765" s="2" t="s">
        <v>1519</v>
      </c>
    </row>
    <row r="766" spans="1:7" ht="210" x14ac:dyDescent="0.25">
      <c r="A766" s="4">
        <v>765</v>
      </c>
      <c r="B766" s="5">
        <v>0.22553191489361701</v>
      </c>
      <c r="C766" s="5">
        <v>4.8192771084337352E-2</v>
      </c>
      <c r="D766" s="5">
        <v>4.5999999999999999E-2</v>
      </c>
      <c r="E766" s="5">
        <v>5.9659969088098917E-2</v>
      </c>
      <c r="F766" s="2" t="s">
        <v>1520</v>
      </c>
      <c r="G766" s="2" t="s">
        <v>1521</v>
      </c>
    </row>
    <row r="767" spans="1:7" ht="240" x14ac:dyDescent="0.25">
      <c r="A767" s="4">
        <v>766</v>
      </c>
      <c r="B767" s="5">
        <v>0.1165957446808511</v>
      </c>
      <c r="C767" s="5">
        <v>3.1325301204819279E-2</v>
      </c>
      <c r="D767" s="5">
        <v>2.5999999999999999E-2</v>
      </c>
      <c r="E767" s="5">
        <v>2.8748068006182379E-2</v>
      </c>
      <c r="F767" s="2" t="s">
        <v>1522</v>
      </c>
      <c r="G767" s="2" t="s">
        <v>1523</v>
      </c>
    </row>
    <row r="768" spans="1:7" ht="90" x14ac:dyDescent="0.25">
      <c r="A768" s="4">
        <v>767</v>
      </c>
      <c r="B768" s="5">
        <v>0.32978723404255322</v>
      </c>
      <c r="C768" s="5">
        <v>0.1204819277108434</v>
      </c>
      <c r="D768" s="5">
        <v>0.24</v>
      </c>
      <c r="E768" s="5">
        <v>2.0865533230293661E-2</v>
      </c>
      <c r="F768" s="2" t="s">
        <v>1524</v>
      </c>
      <c r="G768" s="2" t="s">
        <v>1525</v>
      </c>
    </row>
    <row r="769" spans="1:7" ht="409.5" x14ac:dyDescent="0.25">
      <c r="A769" s="4">
        <v>768</v>
      </c>
      <c r="B769" s="5">
        <v>7.7659574468085107E-2</v>
      </c>
      <c r="C769" s="5">
        <v>0.1975903614457831</v>
      </c>
      <c r="D769" s="5">
        <v>3.0000000000000001E-3</v>
      </c>
      <c r="E769" s="5">
        <v>0</v>
      </c>
      <c r="F769" s="2" t="s">
        <v>1526</v>
      </c>
      <c r="G769" s="2" t="s">
        <v>1527</v>
      </c>
    </row>
    <row r="770" spans="1:7" ht="255" x14ac:dyDescent="0.25">
      <c r="A770" s="4">
        <v>769</v>
      </c>
      <c r="B770" s="5">
        <v>9.1489361702127667E-2</v>
      </c>
      <c r="C770" s="5">
        <v>1.9277108433734941E-2</v>
      </c>
      <c r="D770" s="5">
        <v>2E-3</v>
      </c>
      <c r="E770" s="5">
        <v>2.009273570324575E-2</v>
      </c>
      <c r="F770" s="2" t="s">
        <v>1528</v>
      </c>
      <c r="G770" s="2" t="s">
        <v>1529</v>
      </c>
    </row>
    <row r="771" spans="1:7" ht="375" x14ac:dyDescent="0.25">
      <c r="A771" s="4">
        <v>770</v>
      </c>
      <c r="B771" s="5">
        <v>0.1053191489361702</v>
      </c>
      <c r="C771" s="5">
        <v>3.9759036144578312E-2</v>
      </c>
      <c r="D771" s="5">
        <v>1E-3</v>
      </c>
      <c r="E771" s="5">
        <v>3.2766615146831532E-2</v>
      </c>
      <c r="F771" s="2" t="s">
        <v>1530</v>
      </c>
      <c r="G771" s="2" t="s">
        <v>1531</v>
      </c>
    </row>
    <row r="772" spans="1:7" ht="225" x14ac:dyDescent="0.25">
      <c r="A772" s="4">
        <v>771</v>
      </c>
      <c r="B772" s="5">
        <v>2.6595744680851061E-2</v>
      </c>
      <c r="C772" s="5">
        <v>2.891566265060241E-2</v>
      </c>
      <c r="D772" s="5">
        <v>2E-3</v>
      </c>
      <c r="E772" s="5">
        <v>7.573415765069552E-3</v>
      </c>
      <c r="F772" s="2" t="s">
        <v>1532</v>
      </c>
      <c r="G772" s="2" t="s">
        <v>1533</v>
      </c>
    </row>
    <row r="773" spans="1:7" ht="285" x14ac:dyDescent="0.25">
      <c r="A773" s="4">
        <v>772</v>
      </c>
      <c r="B773" s="5">
        <v>2.553191489361702E-2</v>
      </c>
      <c r="C773" s="5">
        <v>1.6867469879518069E-2</v>
      </c>
      <c r="D773" s="5">
        <v>2E-3</v>
      </c>
      <c r="E773" s="5">
        <v>8.1916537867078813E-3</v>
      </c>
      <c r="F773" s="2" t="s">
        <v>1534</v>
      </c>
      <c r="G773" s="2" t="s">
        <v>1535</v>
      </c>
    </row>
    <row r="774" spans="1:7" ht="409.5" x14ac:dyDescent="0.25">
      <c r="A774" s="4">
        <v>773</v>
      </c>
      <c r="B774" s="5">
        <v>0.37446808510638302</v>
      </c>
      <c r="C774" s="5">
        <v>0.2096385542168675</v>
      </c>
      <c r="D774" s="5">
        <v>1.2999999999999999E-2</v>
      </c>
      <c r="E774" s="5">
        <v>0.1066460587326121</v>
      </c>
      <c r="F774" s="2" t="s">
        <v>1536</v>
      </c>
      <c r="G774" s="2" t="s">
        <v>1537</v>
      </c>
    </row>
    <row r="775" spans="1:7" ht="150" x14ac:dyDescent="0.25">
      <c r="A775" s="4">
        <v>774</v>
      </c>
      <c r="B775" s="5">
        <v>0.13723404255319149</v>
      </c>
      <c r="C775" s="5">
        <v>0.1481927710843374</v>
      </c>
      <c r="D775" s="5">
        <v>5.0000000000000001E-3</v>
      </c>
      <c r="E775" s="5">
        <v>5.4095826893353939E-2</v>
      </c>
      <c r="F775" s="2" t="s">
        <v>1538</v>
      </c>
      <c r="G775" s="2" t="s">
        <v>1539</v>
      </c>
    </row>
    <row r="776" spans="1:7" ht="90" x14ac:dyDescent="0.25">
      <c r="A776" s="4">
        <v>775</v>
      </c>
      <c r="B776" s="5">
        <v>0.37872340425531908</v>
      </c>
      <c r="C776" s="5">
        <v>0.24698795180722891</v>
      </c>
      <c r="D776" s="5">
        <v>4.0999999999999988E-2</v>
      </c>
      <c r="E776" s="5">
        <v>9.5208655332302938E-2</v>
      </c>
      <c r="F776" s="2" t="s">
        <v>1540</v>
      </c>
      <c r="G776" s="2" t="s">
        <v>1541</v>
      </c>
    </row>
    <row r="777" spans="1:7" ht="135" x14ac:dyDescent="0.25">
      <c r="A777" s="4">
        <v>776</v>
      </c>
      <c r="B777" s="5">
        <v>0.35319148936170208</v>
      </c>
      <c r="C777" s="5">
        <v>0.28915662650602408</v>
      </c>
      <c r="D777" s="5">
        <v>0.03</v>
      </c>
      <c r="E777" s="5">
        <v>8.5007727975270481E-2</v>
      </c>
      <c r="F777" s="2" t="s">
        <v>1542</v>
      </c>
      <c r="G777" s="2" t="s">
        <v>1543</v>
      </c>
    </row>
    <row r="778" spans="1:7" ht="255" x14ac:dyDescent="0.25">
      <c r="A778" s="4">
        <v>777</v>
      </c>
      <c r="B778" s="5">
        <v>0.15</v>
      </c>
      <c r="C778" s="5">
        <v>0.1228915662650602</v>
      </c>
      <c r="D778" s="5">
        <v>1.2999999999999999E-2</v>
      </c>
      <c r="E778" s="5">
        <v>3.5857805255023183E-2</v>
      </c>
      <c r="F778" s="2" t="s">
        <v>1544</v>
      </c>
      <c r="G778" s="2" t="s">
        <v>1545</v>
      </c>
    </row>
    <row r="779" spans="1:7" ht="120" x14ac:dyDescent="0.25">
      <c r="A779" s="4">
        <v>778</v>
      </c>
      <c r="B779" s="5">
        <v>0.13297872340425529</v>
      </c>
      <c r="C779" s="5">
        <v>0.1</v>
      </c>
      <c r="D779" s="5">
        <v>6.9999999999999993E-3</v>
      </c>
      <c r="E779" s="5">
        <v>3.4157650695517773E-2</v>
      </c>
      <c r="F779" s="2" t="s">
        <v>1546</v>
      </c>
      <c r="G779" s="2" t="s">
        <v>1547</v>
      </c>
    </row>
    <row r="780" spans="1:7" ht="150" x14ac:dyDescent="0.25">
      <c r="A780" s="4">
        <v>779</v>
      </c>
      <c r="B780" s="5">
        <v>3.5106382978723413E-2</v>
      </c>
      <c r="C780" s="5">
        <v>3.2530120481927723E-2</v>
      </c>
      <c r="D780" s="5">
        <v>2E-3</v>
      </c>
      <c r="E780" s="5">
        <v>1.2210200927357031E-2</v>
      </c>
      <c r="F780" s="2" t="s">
        <v>1548</v>
      </c>
      <c r="G780" s="2" t="s">
        <v>1549</v>
      </c>
    </row>
    <row r="781" spans="1:7" ht="150" x14ac:dyDescent="0.25">
      <c r="A781" s="4">
        <v>780</v>
      </c>
      <c r="B781" s="5">
        <v>0.36595744680851072</v>
      </c>
      <c r="C781" s="5">
        <v>0.1506024096385542</v>
      </c>
      <c r="D781" s="5">
        <v>2.1000000000000001E-2</v>
      </c>
      <c r="E781" s="5">
        <v>0.10726429675425039</v>
      </c>
      <c r="F781" s="2" t="s">
        <v>1550</v>
      </c>
      <c r="G781" s="2" t="s">
        <v>1551</v>
      </c>
    </row>
    <row r="782" spans="1:7" ht="120" x14ac:dyDescent="0.25">
      <c r="A782" s="4">
        <v>781</v>
      </c>
      <c r="B782" s="5">
        <v>0.3595744680851064</v>
      </c>
      <c r="C782" s="5">
        <v>0.26746987951807227</v>
      </c>
      <c r="D782" s="5">
        <v>1.4999999999999999E-2</v>
      </c>
      <c r="E782" s="5">
        <v>9.428129829984544E-2</v>
      </c>
      <c r="F782" s="2" t="s">
        <v>1552</v>
      </c>
      <c r="G782" s="2" t="s">
        <v>1202</v>
      </c>
    </row>
    <row r="783" spans="1:7" ht="120" x14ac:dyDescent="0.25">
      <c r="A783" s="4">
        <v>782</v>
      </c>
      <c r="B783" s="5">
        <v>4.042553191489362E-2</v>
      </c>
      <c r="C783" s="5">
        <v>3.6144578313253017E-2</v>
      </c>
      <c r="D783" s="5">
        <v>3.0000000000000001E-3</v>
      </c>
      <c r="E783" s="5">
        <v>1.2210200927357031E-2</v>
      </c>
      <c r="F783" s="2" t="s">
        <v>1553</v>
      </c>
      <c r="G783" s="2" t="s">
        <v>1554</v>
      </c>
    </row>
    <row r="784" spans="1:7" ht="135" x14ac:dyDescent="0.25">
      <c r="A784" s="4">
        <v>783</v>
      </c>
      <c r="B784" s="5">
        <v>4.8936170212765959E-2</v>
      </c>
      <c r="C784" s="5">
        <v>3.6144578313253017E-2</v>
      </c>
      <c r="D784" s="5">
        <v>3.0000000000000001E-3</v>
      </c>
      <c r="E784" s="5">
        <v>1.2210200927357031E-2</v>
      </c>
      <c r="F784" s="2" t="s">
        <v>1555</v>
      </c>
      <c r="G784" s="2" t="s">
        <v>1556</v>
      </c>
    </row>
    <row r="785" spans="1:7" ht="165" x14ac:dyDescent="0.25">
      <c r="A785" s="4">
        <v>784</v>
      </c>
      <c r="B785" s="5">
        <v>4.8936170212765959E-2</v>
      </c>
      <c r="C785" s="5">
        <v>2.6506024096385541E-2</v>
      </c>
      <c r="D785" s="5">
        <v>1.4999999999999999E-2</v>
      </c>
      <c r="E785" s="5">
        <v>9.2735703245749607E-3</v>
      </c>
      <c r="F785" s="2" t="s">
        <v>1557</v>
      </c>
      <c r="G785" s="2" t="s">
        <v>351</v>
      </c>
    </row>
    <row r="786" spans="1:7" ht="120" x14ac:dyDescent="0.25">
      <c r="A786" s="4">
        <v>785</v>
      </c>
      <c r="B786" s="5">
        <v>0.38936170212765958</v>
      </c>
      <c r="C786" s="5">
        <v>5.0602409638554217E-2</v>
      </c>
      <c r="D786" s="5">
        <v>4.2999999999999997E-2</v>
      </c>
      <c r="E786" s="5">
        <v>0.1197836166924266</v>
      </c>
      <c r="F786" s="2" t="s">
        <v>1558</v>
      </c>
      <c r="G786" s="2" t="s">
        <v>1559</v>
      </c>
    </row>
    <row r="787" spans="1:7" ht="120" x14ac:dyDescent="0.25">
      <c r="A787" s="4">
        <v>786</v>
      </c>
      <c r="B787" s="5">
        <v>0.39361702127659581</v>
      </c>
      <c r="C787" s="5">
        <v>9.6385542168674704E-2</v>
      </c>
      <c r="D787" s="5">
        <v>0.01</v>
      </c>
      <c r="E787" s="5">
        <v>0.12704791344667701</v>
      </c>
      <c r="F787" s="2" t="s">
        <v>1560</v>
      </c>
      <c r="G787" s="2" t="s">
        <v>1561</v>
      </c>
    </row>
    <row r="788" spans="1:7" ht="180" x14ac:dyDescent="0.25">
      <c r="A788" s="4">
        <v>787</v>
      </c>
      <c r="B788" s="5">
        <v>0.33510638297872342</v>
      </c>
      <c r="C788" s="5">
        <v>2.5301204819277109E-2</v>
      </c>
      <c r="D788" s="5">
        <v>1.4E-2</v>
      </c>
      <c r="E788" s="5">
        <v>0.1136012364760433</v>
      </c>
      <c r="F788" s="2" t="s">
        <v>1562</v>
      </c>
      <c r="G788" s="2" t="s">
        <v>1563</v>
      </c>
    </row>
    <row r="789" spans="1:7" ht="240" x14ac:dyDescent="0.25">
      <c r="A789" s="4">
        <v>788</v>
      </c>
      <c r="B789" s="5">
        <v>0.57659574468085106</v>
      </c>
      <c r="C789" s="5">
        <v>0.48554216867469879</v>
      </c>
      <c r="D789" s="5">
        <v>0.42399999999999999</v>
      </c>
      <c r="E789" s="5">
        <v>1.7774343122102011E-2</v>
      </c>
      <c r="F789" s="2" t="s">
        <v>1564</v>
      </c>
      <c r="G789" s="2" t="s">
        <v>1565</v>
      </c>
    </row>
    <row r="790" spans="1:7" ht="210" x14ac:dyDescent="0.25">
      <c r="A790" s="4">
        <v>789</v>
      </c>
      <c r="B790" s="5">
        <v>2.2340425531914891E-2</v>
      </c>
      <c r="C790" s="5">
        <v>2.0481927710843371E-2</v>
      </c>
      <c r="D790" s="5">
        <v>4.0000000000000001E-3</v>
      </c>
      <c r="E790" s="5">
        <v>5.8732612055641424E-3</v>
      </c>
      <c r="F790" s="2" t="s">
        <v>1566</v>
      </c>
      <c r="G790" s="2" t="s">
        <v>1567</v>
      </c>
    </row>
    <row r="791" spans="1:7" ht="409.5" x14ac:dyDescent="0.25">
      <c r="A791" s="4">
        <v>790</v>
      </c>
      <c r="B791" s="5">
        <v>4.7872340425531908E-2</v>
      </c>
      <c r="C791" s="5">
        <v>2.6506024096385541E-2</v>
      </c>
      <c r="D791" s="5">
        <v>3.0000000000000001E-3</v>
      </c>
      <c r="E791" s="5">
        <v>1.591962905718702E-2</v>
      </c>
      <c r="F791" s="2" t="s">
        <v>1568</v>
      </c>
      <c r="G791" s="2" t="s">
        <v>1569</v>
      </c>
    </row>
    <row r="792" spans="1:7" ht="270" x14ac:dyDescent="0.25">
      <c r="A792" s="4">
        <v>791</v>
      </c>
      <c r="B792" s="5">
        <v>4.4680851063829789E-2</v>
      </c>
      <c r="C792" s="5">
        <v>4.5783132530120479E-2</v>
      </c>
      <c r="D792" s="5">
        <v>6.0000000000000001E-3</v>
      </c>
      <c r="E792" s="5">
        <v>1.205564142194745E-2</v>
      </c>
      <c r="F792" s="2" t="s">
        <v>1570</v>
      </c>
      <c r="G792" s="2" t="s">
        <v>1571</v>
      </c>
    </row>
    <row r="793" spans="1:7" ht="195" x14ac:dyDescent="0.25">
      <c r="A793" s="4">
        <v>792</v>
      </c>
      <c r="B793" s="5">
        <v>0.1202127659574468</v>
      </c>
      <c r="C793" s="5">
        <v>0.21807228915662649</v>
      </c>
      <c r="D793" s="5">
        <v>4.0999999999999988E-2</v>
      </c>
      <c r="E793" s="5">
        <v>1.3910355486862439E-3</v>
      </c>
      <c r="F793" s="2" t="s">
        <v>1572</v>
      </c>
      <c r="G793" s="2" t="s">
        <v>466</v>
      </c>
    </row>
    <row r="794" spans="1:7" ht="195" x14ac:dyDescent="0.25">
      <c r="A794" s="4">
        <v>793</v>
      </c>
      <c r="B794" s="5">
        <v>0.46808510638297868</v>
      </c>
      <c r="C794" s="5">
        <v>4.5783132530120479E-2</v>
      </c>
      <c r="D794" s="5">
        <v>0.185</v>
      </c>
      <c r="E794" s="5">
        <v>9.969088098918083E-2</v>
      </c>
      <c r="F794" s="2" t="s">
        <v>1573</v>
      </c>
      <c r="G794" s="2" t="s">
        <v>1574</v>
      </c>
    </row>
    <row r="795" spans="1:7" ht="409.5" x14ac:dyDescent="0.25">
      <c r="A795" s="4">
        <v>794</v>
      </c>
      <c r="B795" s="5">
        <v>0.1986170212765957</v>
      </c>
      <c r="C795" s="5">
        <v>1.9277108433734941E-2</v>
      </c>
      <c r="D795" s="5">
        <v>1.6E-2</v>
      </c>
      <c r="E795" s="5">
        <v>6.1205564142194753E-2</v>
      </c>
      <c r="F795" s="2" t="s">
        <v>1575</v>
      </c>
      <c r="G795" s="2" t="s">
        <v>1576</v>
      </c>
    </row>
    <row r="796" spans="1:7" ht="225" x14ac:dyDescent="0.25">
      <c r="A796" s="4">
        <v>795</v>
      </c>
      <c r="B796" s="5">
        <v>0.3595744680851064</v>
      </c>
      <c r="C796" s="5">
        <v>1.8072289156626509E-2</v>
      </c>
      <c r="D796" s="5">
        <v>1.2E-2</v>
      </c>
      <c r="E796" s="5">
        <v>0.1241112828438949</v>
      </c>
      <c r="F796" s="2" t="s">
        <v>1577</v>
      </c>
      <c r="G796" s="2" t="s">
        <v>1578</v>
      </c>
    </row>
    <row r="797" spans="1:7" ht="240" x14ac:dyDescent="0.25">
      <c r="A797" s="4">
        <v>796</v>
      </c>
      <c r="B797" s="5">
        <v>0.25531914893617019</v>
      </c>
      <c r="C797" s="5">
        <v>1.204819277108434E-2</v>
      </c>
      <c r="D797" s="5">
        <v>0.04</v>
      </c>
      <c r="E797" s="5">
        <v>8.3462132921174645E-2</v>
      </c>
      <c r="F797" s="2" t="s">
        <v>1579</v>
      </c>
      <c r="G797" s="2" t="s">
        <v>1580</v>
      </c>
    </row>
    <row r="798" spans="1:7" ht="165" x14ac:dyDescent="0.25">
      <c r="A798" s="4">
        <v>797</v>
      </c>
      <c r="B798" s="5">
        <v>0.4521276595744681</v>
      </c>
      <c r="C798" s="5">
        <v>1.9277108433734941E-2</v>
      </c>
      <c r="D798" s="5">
        <v>8.8000000000000009E-2</v>
      </c>
      <c r="E798" s="5">
        <v>0.13075734157650701</v>
      </c>
      <c r="F798" s="2" t="s">
        <v>1581</v>
      </c>
      <c r="G798" s="2" t="s">
        <v>1582</v>
      </c>
    </row>
    <row r="799" spans="1:7" ht="180" x14ac:dyDescent="0.25">
      <c r="A799" s="4">
        <v>798</v>
      </c>
      <c r="B799" s="5">
        <v>0.62872340425531914</v>
      </c>
      <c r="C799" s="5">
        <v>6.746987951807229E-2</v>
      </c>
      <c r="D799" s="5">
        <v>0.42099999999999999</v>
      </c>
      <c r="E799" s="5">
        <v>7.3415765069551775E-2</v>
      </c>
      <c r="F799" s="2" t="s">
        <v>1583</v>
      </c>
      <c r="G799" s="2" t="s">
        <v>1584</v>
      </c>
    </row>
    <row r="800" spans="1:7" ht="240" x14ac:dyDescent="0.25">
      <c r="A800" s="4">
        <v>799</v>
      </c>
      <c r="B800" s="5">
        <v>0.38936170212765958</v>
      </c>
      <c r="C800" s="5">
        <v>5.0602409638554217E-2</v>
      </c>
      <c r="D800" s="5">
        <v>4.2999999999999997E-2</v>
      </c>
      <c r="E800" s="5">
        <v>1.2210200927357031E-2</v>
      </c>
      <c r="F800" s="2" t="s">
        <v>1585</v>
      </c>
      <c r="G800" s="2" t="s">
        <v>1586</v>
      </c>
    </row>
    <row r="801" spans="1:7" ht="330" x14ac:dyDescent="0.25">
      <c r="A801" s="4">
        <v>800</v>
      </c>
      <c r="B801" s="5">
        <v>0.30957446808510641</v>
      </c>
      <c r="C801" s="5">
        <v>4.3373493975903621E-2</v>
      </c>
      <c r="D801" s="5">
        <v>0.111</v>
      </c>
      <c r="E801" s="5">
        <v>6.8160741885625972E-2</v>
      </c>
      <c r="F801" s="2" t="s">
        <v>1587</v>
      </c>
      <c r="G801" s="2" t="s">
        <v>1588</v>
      </c>
    </row>
    <row r="802" spans="1:7" ht="240" x14ac:dyDescent="0.25">
      <c r="A802" s="4">
        <v>801</v>
      </c>
      <c r="B802" s="5">
        <v>0.19361702127659569</v>
      </c>
      <c r="C802" s="5">
        <v>1.204819277108434E-2</v>
      </c>
      <c r="D802" s="5">
        <v>0.01</v>
      </c>
      <c r="E802" s="5">
        <v>6.2442040185471413E-2</v>
      </c>
      <c r="F802" s="2" t="s">
        <v>1589</v>
      </c>
      <c r="G802" s="2" t="s">
        <v>1590</v>
      </c>
    </row>
    <row r="803" spans="1:7" ht="225" x14ac:dyDescent="0.25">
      <c r="A803" s="4">
        <v>802</v>
      </c>
      <c r="B803" s="5">
        <v>0.13478723404255319</v>
      </c>
      <c r="C803" s="5">
        <v>8.4337349397590362E-3</v>
      </c>
      <c r="D803" s="5">
        <v>6.9999999999999993E-3</v>
      </c>
      <c r="E803" s="5">
        <v>8.8562596599690874E-2</v>
      </c>
      <c r="F803" s="2" t="s">
        <v>1591</v>
      </c>
      <c r="G803" s="2" t="s">
        <v>1592</v>
      </c>
    </row>
    <row r="804" spans="1:7" ht="180" x14ac:dyDescent="0.25">
      <c r="A804" s="4">
        <v>803</v>
      </c>
      <c r="B804" s="5">
        <v>0.31489361702127661</v>
      </c>
      <c r="C804" s="5">
        <v>1.6867469879518069E-2</v>
      </c>
      <c r="D804" s="5">
        <v>1.4E-2</v>
      </c>
      <c r="E804" s="5">
        <v>0.1026275115919629</v>
      </c>
      <c r="F804" s="2" t="s">
        <v>1593</v>
      </c>
      <c r="G804" s="2" t="s">
        <v>1594</v>
      </c>
    </row>
    <row r="805" spans="1:7" ht="105" x14ac:dyDescent="0.25">
      <c r="A805" s="4">
        <v>804</v>
      </c>
      <c r="B805" s="5">
        <v>0.32340425531914901</v>
      </c>
      <c r="C805" s="5">
        <v>6.3855421686746988E-2</v>
      </c>
      <c r="D805" s="5">
        <v>7.0000000000000007E-2</v>
      </c>
      <c r="E805" s="5">
        <v>8.4853168469860893E-2</v>
      </c>
      <c r="F805" s="2" t="s">
        <v>1595</v>
      </c>
      <c r="G805" s="2" t="s">
        <v>1596</v>
      </c>
    </row>
    <row r="806" spans="1:7" ht="225" x14ac:dyDescent="0.25">
      <c r="A806" s="4">
        <v>805</v>
      </c>
      <c r="B806" s="5">
        <v>0.23085106382978721</v>
      </c>
      <c r="C806" s="5">
        <v>1.445783132530121E-2</v>
      </c>
      <c r="D806" s="5">
        <v>5.0000000000000001E-3</v>
      </c>
      <c r="E806" s="5">
        <v>8.2225656877897998E-2</v>
      </c>
      <c r="F806" s="2" t="s">
        <v>1597</v>
      </c>
      <c r="G806" s="2" t="s">
        <v>1598</v>
      </c>
    </row>
    <row r="807" spans="1:7" ht="180" x14ac:dyDescent="0.25">
      <c r="A807" s="4">
        <v>806</v>
      </c>
      <c r="B807" s="5">
        <v>0.41840425531914888</v>
      </c>
      <c r="C807" s="5">
        <v>3.2530120481927723E-2</v>
      </c>
      <c r="D807" s="5">
        <v>2.7E-2</v>
      </c>
      <c r="E807" s="5">
        <v>0.12256568778979909</v>
      </c>
      <c r="F807" s="2" t="s">
        <v>1599</v>
      </c>
      <c r="G807" s="2" t="s">
        <v>1600</v>
      </c>
    </row>
    <row r="808" spans="1:7" ht="225" x14ac:dyDescent="0.25">
      <c r="A808" s="4">
        <v>807</v>
      </c>
      <c r="B808" s="5">
        <v>0.4042553191489362</v>
      </c>
      <c r="C808" s="5">
        <v>1.204819277108434E-2</v>
      </c>
      <c r="D808" s="5">
        <v>0.01</v>
      </c>
      <c r="E808" s="5">
        <v>0.14219474497681611</v>
      </c>
      <c r="F808" s="2" t="s">
        <v>1601</v>
      </c>
      <c r="G808" s="2" t="s">
        <v>1602</v>
      </c>
    </row>
    <row r="809" spans="1:7" ht="105" x14ac:dyDescent="0.25">
      <c r="A809" s="4">
        <v>808</v>
      </c>
      <c r="B809" s="5">
        <v>0.23510638297872341</v>
      </c>
      <c r="C809" s="5">
        <v>9.036144578313253E-2</v>
      </c>
      <c r="D809" s="5">
        <v>0.10199999999999999</v>
      </c>
      <c r="E809" s="5">
        <v>3.833075734157651E-2</v>
      </c>
      <c r="F809" s="2" t="s">
        <v>1603</v>
      </c>
      <c r="G809" s="2" t="s">
        <v>1604</v>
      </c>
    </row>
    <row r="810" spans="1:7" ht="360" x14ac:dyDescent="0.25">
      <c r="A810" s="4">
        <v>809</v>
      </c>
      <c r="B810" s="5">
        <v>0.19148936170212769</v>
      </c>
      <c r="C810" s="5">
        <v>6.0240963855421693E-2</v>
      </c>
      <c r="D810" s="5">
        <v>0.05</v>
      </c>
      <c r="E810" s="5">
        <v>4.945904173106646E-2</v>
      </c>
      <c r="F810" s="2" t="s">
        <v>1605</v>
      </c>
      <c r="G810" s="2" t="s">
        <v>1606</v>
      </c>
    </row>
    <row r="811" spans="1:7" ht="240" x14ac:dyDescent="0.25">
      <c r="A811" s="4">
        <v>810</v>
      </c>
      <c r="B811" s="5">
        <v>0.5446808510638298</v>
      </c>
      <c r="C811" s="5">
        <v>0.31325301204819278</v>
      </c>
      <c r="D811" s="5">
        <v>0.26</v>
      </c>
      <c r="E811" s="5">
        <v>9.3353941267387941E-2</v>
      </c>
      <c r="F811" s="2" t="s">
        <v>1607</v>
      </c>
      <c r="G811" s="2" t="s">
        <v>1608</v>
      </c>
    </row>
    <row r="812" spans="1:7" ht="240" x14ac:dyDescent="0.25">
      <c r="A812" s="4">
        <v>811</v>
      </c>
      <c r="B812" s="5">
        <v>0.26276595744680847</v>
      </c>
      <c r="C812" s="5">
        <v>3.4939759036144581E-2</v>
      </c>
      <c r="D812" s="5">
        <v>4.2000000000000003E-2</v>
      </c>
      <c r="E812" s="5">
        <v>7.6506955177743433E-2</v>
      </c>
      <c r="F812" s="2" t="s">
        <v>1609</v>
      </c>
      <c r="G812" s="2" t="s">
        <v>1610</v>
      </c>
    </row>
    <row r="813" spans="1:7" ht="150" x14ac:dyDescent="0.25">
      <c r="A813" s="4">
        <v>812</v>
      </c>
      <c r="B813" s="5">
        <v>0.1180851063829787</v>
      </c>
      <c r="C813" s="5">
        <v>5.4216867469879519E-2</v>
      </c>
      <c r="D813" s="5">
        <v>1.0999999999999999E-2</v>
      </c>
      <c r="E813" s="5">
        <v>3.1993817619783607E-2</v>
      </c>
      <c r="F813" s="2" t="s">
        <v>1611</v>
      </c>
      <c r="G813" s="2" t="s">
        <v>1612</v>
      </c>
    </row>
    <row r="814" spans="1:7" ht="210" x14ac:dyDescent="0.25">
      <c r="A814" s="4">
        <v>813</v>
      </c>
      <c r="B814" s="5">
        <v>2.3404255319148939E-2</v>
      </c>
      <c r="C814" s="5">
        <v>4.8192771084337354E-3</v>
      </c>
      <c r="D814" s="5">
        <v>2E-3</v>
      </c>
      <c r="E814" s="5">
        <v>7.2642967542503869E-3</v>
      </c>
      <c r="F814" s="2" t="s">
        <v>1613</v>
      </c>
      <c r="G814" s="2" t="s">
        <v>1614</v>
      </c>
    </row>
    <row r="815" spans="1:7" ht="240" x14ac:dyDescent="0.25">
      <c r="A815" s="4">
        <v>814</v>
      </c>
      <c r="B815" s="5">
        <v>6.702127659574468E-2</v>
      </c>
      <c r="C815" s="5">
        <v>2.4096385542168679E-2</v>
      </c>
      <c r="D815" s="5">
        <v>2.7E-2</v>
      </c>
      <c r="E815" s="5">
        <v>1.4064914992272019E-2</v>
      </c>
      <c r="F815" s="2" t="s">
        <v>1615</v>
      </c>
      <c r="G815" s="2" t="s">
        <v>1616</v>
      </c>
    </row>
    <row r="816" spans="1:7" ht="375" x14ac:dyDescent="0.25">
      <c r="A816" s="4">
        <v>815</v>
      </c>
      <c r="B816" s="5">
        <v>8.8297872340425534E-2</v>
      </c>
      <c r="C816" s="5">
        <v>0.2301204819277109</v>
      </c>
      <c r="D816" s="5">
        <v>2E-3</v>
      </c>
      <c r="E816" s="5">
        <v>0</v>
      </c>
      <c r="F816" s="2" t="s">
        <v>1617</v>
      </c>
      <c r="G816" s="2" t="s">
        <v>1618</v>
      </c>
    </row>
    <row r="817" spans="1:7" ht="180" x14ac:dyDescent="0.25">
      <c r="A817" s="4">
        <v>816</v>
      </c>
      <c r="B817" s="5">
        <v>0.5478723404255319</v>
      </c>
      <c r="C817" s="5">
        <v>0.36867469879518078</v>
      </c>
      <c r="D817" s="5">
        <v>0.42099999999999999</v>
      </c>
      <c r="E817" s="5">
        <v>2.1329211746522411E-2</v>
      </c>
      <c r="F817" s="2" t="s">
        <v>1619</v>
      </c>
      <c r="G817" s="2" t="s">
        <v>1620</v>
      </c>
    </row>
    <row r="818" spans="1:7" ht="210" x14ac:dyDescent="0.25">
      <c r="A818" s="4">
        <v>817</v>
      </c>
      <c r="B818" s="5">
        <v>0.25744680851063828</v>
      </c>
      <c r="C818" s="5">
        <v>0.2289156626506024</v>
      </c>
      <c r="D818" s="5">
        <v>0.17</v>
      </c>
      <c r="E818" s="5">
        <v>4.6367851622874804E-3</v>
      </c>
      <c r="F818" s="2" t="s">
        <v>1621</v>
      </c>
      <c r="G818" s="2" t="s">
        <v>1622</v>
      </c>
    </row>
    <row r="819" spans="1:7" ht="270" x14ac:dyDescent="0.25">
      <c r="A819" s="4">
        <v>818</v>
      </c>
      <c r="B819" s="5">
        <v>1.8085106382978729E-2</v>
      </c>
      <c r="C819" s="5">
        <v>7.2289156626506026E-3</v>
      </c>
      <c r="D819" s="5">
        <v>2E-3</v>
      </c>
      <c r="E819" s="5">
        <v>5.8732612055641424E-3</v>
      </c>
      <c r="F819" s="2" t="s">
        <v>1623</v>
      </c>
      <c r="G819" s="2" t="s">
        <v>1624</v>
      </c>
    </row>
    <row r="820" spans="1:7" ht="240" x14ac:dyDescent="0.25">
      <c r="A820" s="4">
        <v>819</v>
      </c>
      <c r="B820" s="5">
        <v>5.4255319148936172E-2</v>
      </c>
      <c r="C820" s="5">
        <v>2.0481927710843371E-2</v>
      </c>
      <c r="D820" s="5">
        <v>5.0000000000000001E-3</v>
      </c>
      <c r="E820" s="5">
        <v>1.5455950540958271E-2</v>
      </c>
      <c r="F820" s="2" t="s">
        <v>1625</v>
      </c>
      <c r="G820" s="2" t="s">
        <v>1626</v>
      </c>
    </row>
    <row r="821" spans="1:7" ht="165" x14ac:dyDescent="0.25">
      <c r="A821" s="4">
        <v>820</v>
      </c>
      <c r="B821" s="5">
        <v>2.7659574468085112E-2</v>
      </c>
      <c r="C821" s="5">
        <v>7.2289156626506026E-3</v>
      </c>
      <c r="D821" s="5">
        <v>1E-3</v>
      </c>
      <c r="E821" s="5">
        <v>1.035548686244204E-2</v>
      </c>
      <c r="F821" s="2" t="s">
        <v>1627</v>
      </c>
      <c r="G821" s="2" t="s">
        <v>1628</v>
      </c>
    </row>
    <row r="822" spans="1:7" ht="409.5" x14ac:dyDescent="0.25">
      <c r="A822" s="4">
        <v>821</v>
      </c>
      <c r="B822" s="5">
        <v>3.4042553191489362E-2</v>
      </c>
      <c r="C822" s="5">
        <v>1.3253012048192771E-2</v>
      </c>
      <c r="D822" s="5">
        <v>1E-3</v>
      </c>
      <c r="E822" s="5">
        <v>1.0200927357032459E-2</v>
      </c>
      <c r="F822" s="2" t="s">
        <v>1629</v>
      </c>
      <c r="G822" s="2" t="s">
        <v>1630</v>
      </c>
    </row>
    <row r="823" spans="1:7" ht="240" x14ac:dyDescent="0.25">
      <c r="A823" s="4">
        <v>822</v>
      </c>
      <c r="B823" s="5">
        <v>0.17691489361702131</v>
      </c>
      <c r="C823" s="5">
        <v>3.2530120481927723E-2</v>
      </c>
      <c r="D823" s="5">
        <v>3.9E-2</v>
      </c>
      <c r="E823" s="5">
        <v>4.5595054095826891E-2</v>
      </c>
      <c r="F823" s="2" t="s">
        <v>1631</v>
      </c>
      <c r="G823" s="2" t="s">
        <v>1632</v>
      </c>
    </row>
    <row r="824" spans="1:7" ht="285" x14ac:dyDescent="0.25">
      <c r="A824" s="4">
        <v>823</v>
      </c>
      <c r="B824" s="5">
        <v>9.0425531914893623E-2</v>
      </c>
      <c r="C824" s="5">
        <v>6.8674698795180733E-2</v>
      </c>
      <c r="D824" s="5">
        <v>3.0000000000000001E-3</v>
      </c>
      <c r="E824" s="5">
        <v>2.3802163833075731E-2</v>
      </c>
      <c r="F824" s="2" t="s">
        <v>1633</v>
      </c>
      <c r="G824" s="2" t="s">
        <v>1634</v>
      </c>
    </row>
    <row r="825" spans="1:7" ht="210" x14ac:dyDescent="0.25">
      <c r="A825" s="4">
        <v>824</v>
      </c>
      <c r="B825" s="5">
        <v>0.1574468085106383</v>
      </c>
      <c r="C825" s="5">
        <v>0.127710843373494</v>
      </c>
      <c r="D825" s="5">
        <v>5.0000000000000001E-3</v>
      </c>
      <c r="E825" s="5">
        <v>4.0494590417310662E-2</v>
      </c>
      <c r="F825" s="2" t="s">
        <v>1635</v>
      </c>
      <c r="G825" s="2" t="s">
        <v>1636</v>
      </c>
    </row>
    <row r="826" spans="1:7" ht="255" x14ac:dyDescent="0.25">
      <c r="A826" s="4">
        <v>825</v>
      </c>
      <c r="B826" s="5">
        <v>0.15106382978723401</v>
      </c>
      <c r="C826" s="5">
        <v>0.13253012048192769</v>
      </c>
      <c r="D826" s="5">
        <v>2.5000000000000001E-2</v>
      </c>
      <c r="E826" s="5">
        <v>3.1530139103554858E-2</v>
      </c>
      <c r="F826" s="2" t="s">
        <v>1637</v>
      </c>
      <c r="G826" s="2" t="s">
        <v>1638</v>
      </c>
    </row>
    <row r="827" spans="1:7" ht="120" x14ac:dyDescent="0.25">
      <c r="A827" s="4">
        <v>826</v>
      </c>
      <c r="B827" s="5">
        <v>0.3904255319148936</v>
      </c>
      <c r="C827" s="5">
        <v>0.5590361445783133</v>
      </c>
      <c r="D827" s="5">
        <v>5.4000000000000013E-2</v>
      </c>
      <c r="E827" s="5">
        <v>5.0231839258114371E-2</v>
      </c>
      <c r="F827" s="2" t="s">
        <v>1639</v>
      </c>
      <c r="G827" s="2" t="s">
        <v>1640</v>
      </c>
    </row>
    <row r="828" spans="1:7" ht="120" x14ac:dyDescent="0.25">
      <c r="A828" s="4">
        <v>827</v>
      </c>
      <c r="B828" s="5">
        <v>0.35744680851063831</v>
      </c>
      <c r="C828" s="5">
        <v>0.28674698795180731</v>
      </c>
      <c r="D828" s="5">
        <v>1.2E-2</v>
      </c>
      <c r="E828" s="5">
        <v>9.2272024729520868E-2</v>
      </c>
      <c r="F828" s="2" t="s">
        <v>1641</v>
      </c>
      <c r="G828" s="2" t="s">
        <v>1642</v>
      </c>
    </row>
    <row r="829" spans="1:7" ht="240" x14ac:dyDescent="0.25">
      <c r="A829" s="4">
        <v>828</v>
      </c>
      <c r="B829" s="5">
        <v>5.9574468085106393E-2</v>
      </c>
      <c r="C829" s="5">
        <v>1.084337349397591E-2</v>
      </c>
      <c r="D829" s="5">
        <v>2E-3</v>
      </c>
      <c r="E829" s="5">
        <v>2.2102009273570321E-2</v>
      </c>
      <c r="F829" s="2" t="s">
        <v>1643</v>
      </c>
      <c r="G829" s="2" t="s">
        <v>1644</v>
      </c>
    </row>
    <row r="830" spans="1:7" ht="180" x14ac:dyDescent="0.25">
      <c r="A830" s="4">
        <v>829</v>
      </c>
      <c r="B830" s="5">
        <v>3.617021276595745E-2</v>
      </c>
      <c r="C830" s="5">
        <v>2.6506024096385541E-2</v>
      </c>
      <c r="D830" s="5">
        <v>3.0000000000000001E-3</v>
      </c>
      <c r="E830" s="5">
        <v>8.5007727975270481E-3</v>
      </c>
      <c r="F830" s="2" t="s">
        <v>1645</v>
      </c>
      <c r="G830" s="2" t="s">
        <v>1646</v>
      </c>
    </row>
    <row r="831" spans="1:7" ht="120" x14ac:dyDescent="0.25">
      <c r="A831" s="4">
        <v>830</v>
      </c>
      <c r="B831" s="5">
        <v>0.44893617021276588</v>
      </c>
      <c r="C831" s="5">
        <v>1.084337349397591E-2</v>
      </c>
      <c r="D831" s="5">
        <v>0.108</v>
      </c>
      <c r="E831" s="5">
        <v>0.1242658423493045</v>
      </c>
      <c r="F831" s="2" t="s">
        <v>1647</v>
      </c>
      <c r="G831" s="2" t="s">
        <v>1648</v>
      </c>
    </row>
    <row r="832" spans="1:7" ht="180" x14ac:dyDescent="0.25">
      <c r="A832" s="4">
        <v>831</v>
      </c>
      <c r="B832" s="5">
        <v>0.41382978723404262</v>
      </c>
      <c r="C832" s="5">
        <v>7.9518072289156624E-2</v>
      </c>
      <c r="D832" s="5">
        <v>0.157</v>
      </c>
      <c r="E832" s="5">
        <v>8.5780525502318392E-2</v>
      </c>
      <c r="F832" s="2" t="s">
        <v>1649</v>
      </c>
      <c r="G832" s="2" t="s">
        <v>1650</v>
      </c>
    </row>
    <row r="833" spans="1:7" ht="285" x14ac:dyDescent="0.25">
      <c r="A833" s="4">
        <v>832</v>
      </c>
      <c r="B833" s="5">
        <v>0.18510638297872339</v>
      </c>
      <c r="C833" s="5">
        <v>0.20481927710843381</v>
      </c>
      <c r="D833" s="5">
        <v>0.1</v>
      </c>
      <c r="E833" s="5">
        <v>4.6367851622874804E-3</v>
      </c>
      <c r="F833" s="2" t="s">
        <v>1651</v>
      </c>
      <c r="G833" s="2" t="s">
        <v>1652</v>
      </c>
    </row>
    <row r="834" spans="1:7" ht="210" x14ac:dyDescent="0.25">
      <c r="A834" s="4">
        <v>833</v>
      </c>
      <c r="B834" s="5">
        <v>0.15</v>
      </c>
      <c r="C834" s="5">
        <v>0.27710843373493982</v>
      </c>
      <c r="D834" s="5">
        <v>1.4999999999999999E-2</v>
      </c>
      <c r="E834" s="5">
        <v>1.174652241112828E-2</v>
      </c>
      <c r="F834" s="2" t="s">
        <v>1653</v>
      </c>
      <c r="G834" s="2" t="s">
        <v>1654</v>
      </c>
    </row>
    <row r="835" spans="1:7" ht="225" x14ac:dyDescent="0.25">
      <c r="A835" s="4">
        <v>834</v>
      </c>
      <c r="B835" s="5">
        <v>0.16914893617021279</v>
      </c>
      <c r="C835" s="5">
        <v>6.0240963855421693E-2</v>
      </c>
      <c r="D835" s="5">
        <v>0.109</v>
      </c>
      <c r="E835" s="5">
        <v>1.561051004636785E-2</v>
      </c>
      <c r="F835" s="2" t="s">
        <v>1655</v>
      </c>
      <c r="G835" s="2" t="s">
        <v>1656</v>
      </c>
    </row>
    <row r="836" spans="1:7" ht="120" x14ac:dyDescent="0.25">
      <c r="A836" s="4">
        <v>835</v>
      </c>
      <c r="B836" s="5">
        <v>0.22021276595744679</v>
      </c>
      <c r="C836" s="5">
        <v>8.91566265060241E-2</v>
      </c>
      <c r="D836" s="5">
        <v>0.154</v>
      </c>
      <c r="E836" s="5">
        <v>1.4837712519319941E-2</v>
      </c>
      <c r="F836" s="2" t="s">
        <v>1657</v>
      </c>
      <c r="G836" s="2" t="s">
        <v>1658</v>
      </c>
    </row>
    <row r="837" spans="1:7" ht="345" x14ac:dyDescent="0.25">
      <c r="A837" s="4">
        <v>836</v>
      </c>
      <c r="B837" s="5">
        <v>0.43085106382978722</v>
      </c>
      <c r="C837" s="5">
        <v>5.7831325301204821E-2</v>
      </c>
      <c r="D837" s="5">
        <v>5.0999999999999997E-2</v>
      </c>
      <c r="E837" s="5">
        <v>0.1312210200927357</v>
      </c>
      <c r="F837" s="2" t="s">
        <v>1659</v>
      </c>
      <c r="G837" s="2" t="s">
        <v>1660</v>
      </c>
    </row>
    <row r="838" spans="1:7" ht="150" x14ac:dyDescent="0.25">
      <c r="A838" s="4">
        <v>837</v>
      </c>
      <c r="B838" s="5">
        <v>1.5957446808510641E-2</v>
      </c>
      <c r="C838" s="5">
        <v>1.204819277108434E-2</v>
      </c>
      <c r="D838" s="5">
        <v>4.0000000000000001E-3</v>
      </c>
      <c r="E838" s="5">
        <v>2.9366306027820712E-3</v>
      </c>
      <c r="F838" s="2" t="s">
        <v>1661</v>
      </c>
      <c r="G838" s="2" t="s">
        <v>1662</v>
      </c>
    </row>
    <row r="839" spans="1:7" ht="225" x14ac:dyDescent="0.25">
      <c r="A839" s="4">
        <v>838</v>
      </c>
      <c r="B839" s="5">
        <v>0.95957446808510638</v>
      </c>
      <c r="C839" s="5">
        <v>0</v>
      </c>
      <c r="D839" s="5">
        <v>1</v>
      </c>
      <c r="E839" s="5">
        <v>0</v>
      </c>
      <c r="F839" s="2" t="s">
        <v>1663</v>
      </c>
      <c r="G839" s="2" t="s">
        <v>1664</v>
      </c>
    </row>
    <row r="840" spans="1:7" ht="120" x14ac:dyDescent="0.25">
      <c r="A840" s="4">
        <v>839</v>
      </c>
      <c r="B840" s="5">
        <v>0.67021276595744683</v>
      </c>
      <c r="C840" s="5">
        <v>0.1096385542168675</v>
      </c>
      <c r="D840" s="5">
        <v>0.65</v>
      </c>
      <c r="E840" s="5">
        <v>1.70015455950541E-3</v>
      </c>
      <c r="F840" s="2" t="s">
        <v>1665</v>
      </c>
      <c r="G840" s="2" t="s">
        <v>1666</v>
      </c>
    </row>
    <row r="841" spans="1:7" ht="120" x14ac:dyDescent="0.25">
      <c r="A841" s="4">
        <v>840</v>
      </c>
      <c r="B841" s="5">
        <v>0.39574468085106379</v>
      </c>
      <c r="C841" s="5">
        <v>0.1445783132530121</v>
      </c>
      <c r="D841" s="5">
        <v>0.29399999999999998</v>
      </c>
      <c r="E841" s="5">
        <v>2.2256568778979909E-2</v>
      </c>
      <c r="F841" s="2" t="s">
        <v>1667</v>
      </c>
      <c r="G841" s="2" t="s">
        <v>1668</v>
      </c>
    </row>
    <row r="842" spans="1:7" ht="225" x14ac:dyDescent="0.25">
      <c r="A842" s="4">
        <v>841</v>
      </c>
      <c r="B842" s="5">
        <v>0.87021276595744679</v>
      </c>
      <c r="C842" s="5">
        <v>1.8072289156626509E-2</v>
      </c>
      <c r="D842" s="5">
        <v>0.9</v>
      </c>
      <c r="E842" s="5">
        <v>0</v>
      </c>
      <c r="F842" s="2" t="s">
        <v>1669</v>
      </c>
      <c r="G842" s="2" t="s">
        <v>1670</v>
      </c>
    </row>
    <row r="843" spans="1:7" ht="255" x14ac:dyDescent="0.25">
      <c r="A843" s="4">
        <v>842</v>
      </c>
      <c r="B843" s="5">
        <v>3.617021276595745E-2</v>
      </c>
      <c r="C843" s="5">
        <v>6.024096385542169E-3</v>
      </c>
      <c r="D843" s="5">
        <v>8.0000000000000002E-3</v>
      </c>
      <c r="E843" s="5">
        <v>9.5826893353941275E-3</v>
      </c>
      <c r="F843" s="2" t="s">
        <v>1671</v>
      </c>
      <c r="G843" s="2" t="s">
        <v>1672</v>
      </c>
    </row>
    <row r="844" spans="1:7" ht="225" x14ac:dyDescent="0.25">
      <c r="A844" s="4">
        <v>843</v>
      </c>
      <c r="B844" s="5">
        <v>3.8297872340425532E-2</v>
      </c>
      <c r="C844" s="5">
        <v>0</v>
      </c>
      <c r="D844" s="5">
        <v>0</v>
      </c>
      <c r="E844" s="5">
        <v>1.5455950540958271E-2</v>
      </c>
      <c r="F844" s="2" t="s">
        <v>1673</v>
      </c>
      <c r="G844" s="2" t="s">
        <v>1674</v>
      </c>
    </row>
    <row r="845" spans="1:7" ht="180" x14ac:dyDescent="0.25">
      <c r="A845" s="4">
        <v>844</v>
      </c>
      <c r="B845" s="5">
        <v>3.1914893617021267E-2</v>
      </c>
      <c r="C845" s="5">
        <v>0</v>
      </c>
      <c r="D845" s="5">
        <v>0</v>
      </c>
      <c r="E845" s="5">
        <v>1.236476043276661E-2</v>
      </c>
      <c r="F845" s="2" t="s">
        <v>1675</v>
      </c>
      <c r="G845" s="2" t="s">
        <v>1676</v>
      </c>
    </row>
    <row r="846" spans="1:7" ht="195" x14ac:dyDescent="0.25">
      <c r="A846" s="4">
        <v>845</v>
      </c>
      <c r="B846" s="5">
        <v>0.2354255319148936</v>
      </c>
      <c r="C846" s="5">
        <v>4.5783132530120479E-2</v>
      </c>
      <c r="D846" s="5">
        <v>3.5999999999999997E-2</v>
      </c>
      <c r="E846" s="5">
        <v>6.7078825347758886E-2</v>
      </c>
      <c r="F846" s="2" t="s">
        <v>1677</v>
      </c>
      <c r="G846" s="2" t="s">
        <v>1678</v>
      </c>
    </row>
    <row r="847" spans="1:7" ht="150" x14ac:dyDescent="0.25">
      <c r="A847" s="4">
        <v>846</v>
      </c>
      <c r="B847" s="5">
        <v>0.34042553191489361</v>
      </c>
      <c r="C847" s="5">
        <v>4.2168674698795178E-2</v>
      </c>
      <c r="D847" s="5">
        <v>5.7000000000000002E-2</v>
      </c>
      <c r="E847" s="5">
        <v>9.845440494590417E-2</v>
      </c>
      <c r="F847" s="2" t="s">
        <v>1679</v>
      </c>
      <c r="G847" s="2" t="s">
        <v>1680</v>
      </c>
    </row>
    <row r="848" spans="1:7" ht="285" x14ac:dyDescent="0.25">
      <c r="A848" s="4">
        <v>847</v>
      </c>
      <c r="B848" s="5">
        <v>0.1925531914893617</v>
      </c>
      <c r="C848" s="5">
        <v>3.3734939759036138E-2</v>
      </c>
      <c r="D848" s="5">
        <v>1.2E-2</v>
      </c>
      <c r="E848" s="5">
        <v>6.1514683153013908E-2</v>
      </c>
      <c r="F848" s="2" t="s">
        <v>1681</v>
      </c>
      <c r="G848" s="2" t="s">
        <v>1682</v>
      </c>
    </row>
    <row r="849" spans="1:7" ht="240" x14ac:dyDescent="0.25">
      <c r="A849" s="4">
        <v>848</v>
      </c>
      <c r="B849" s="5">
        <v>3.5106382978723413E-2</v>
      </c>
      <c r="C849" s="5">
        <v>2.289156626506024E-2</v>
      </c>
      <c r="D849" s="5">
        <v>1E-3</v>
      </c>
      <c r="E849" s="5">
        <v>1.143740340030912E-2</v>
      </c>
      <c r="F849" s="2" t="s">
        <v>1683</v>
      </c>
      <c r="G849" s="2" t="s">
        <v>1684</v>
      </c>
    </row>
    <row r="850" spans="1:7" ht="195" x14ac:dyDescent="0.25">
      <c r="A850" s="4">
        <v>849</v>
      </c>
      <c r="B850" s="5">
        <v>0.25531914893617019</v>
      </c>
      <c r="C850" s="5">
        <v>9.3975903614457831E-2</v>
      </c>
      <c r="D850" s="5">
        <v>5.0000000000000001E-3</v>
      </c>
      <c r="E850" s="5">
        <v>7.9289026275115915E-2</v>
      </c>
      <c r="F850" s="2" t="s">
        <v>1685</v>
      </c>
      <c r="G850" s="2" t="s">
        <v>1686</v>
      </c>
    </row>
    <row r="851" spans="1:7" ht="210" x14ac:dyDescent="0.25">
      <c r="A851" s="4">
        <v>850</v>
      </c>
      <c r="B851" s="5">
        <v>0.41170212765957448</v>
      </c>
      <c r="C851" s="5">
        <v>0.19277108433734941</v>
      </c>
      <c r="D851" s="5">
        <v>0.22</v>
      </c>
      <c r="E851" s="5">
        <v>4.6367851622874804E-3</v>
      </c>
      <c r="F851" s="2" t="s">
        <v>1687</v>
      </c>
      <c r="G851" s="2" t="s">
        <v>1688</v>
      </c>
    </row>
    <row r="852" spans="1:7" ht="270" x14ac:dyDescent="0.25">
      <c r="A852" s="4">
        <v>851</v>
      </c>
      <c r="B852" s="5">
        <v>8.4042553191489358E-2</v>
      </c>
      <c r="C852" s="5">
        <v>2.7710843373493971E-2</v>
      </c>
      <c r="D852" s="5">
        <v>5.1999999999999998E-2</v>
      </c>
      <c r="E852" s="5">
        <v>8.9644513137557957E-3</v>
      </c>
      <c r="F852" s="2" t="s">
        <v>1689</v>
      </c>
      <c r="G852" s="2" t="s">
        <v>1690</v>
      </c>
    </row>
    <row r="853" spans="1:7" ht="300" x14ac:dyDescent="0.25">
      <c r="A853" s="4">
        <v>852</v>
      </c>
      <c r="B853" s="5">
        <v>2.021276595744681E-2</v>
      </c>
      <c r="C853" s="5">
        <v>1.084337349397591E-2</v>
      </c>
      <c r="D853" s="5">
        <v>1E-3</v>
      </c>
      <c r="E853" s="5">
        <v>6.4914992272024734E-3</v>
      </c>
      <c r="F853" s="2" t="s">
        <v>1691</v>
      </c>
      <c r="G853" s="2" t="s">
        <v>1692</v>
      </c>
    </row>
    <row r="854" spans="1:7" ht="180" x14ac:dyDescent="0.25">
      <c r="A854" s="4">
        <v>853</v>
      </c>
      <c r="B854" s="5">
        <v>0.23085106382978721</v>
      </c>
      <c r="C854" s="5">
        <v>0.13253012048192769</v>
      </c>
      <c r="D854" s="5">
        <v>1.7000000000000001E-2</v>
      </c>
      <c r="E854" s="5">
        <v>7.8825347758887162E-3</v>
      </c>
      <c r="F854" s="2" t="s">
        <v>1693</v>
      </c>
      <c r="G854" s="2" t="s">
        <v>1694</v>
      </c>
    </row>
    <row r="855" spans="1:7" ht="165" x14ac:dyDescent="0.25">
      <c r="A855" s="4">
        <v>854</v>
      </c>
      <c r="B855" s="5">
        <v>2.8723404255319149E-2</v>
      </c>
      <c r="C855" s="5">
        <v>4.8192771084337354E-3</v>
      </c>
      <c r="D855" s="5">
        <v>2E-3</v>
      </c>
      <c r="E855" s="5">
        <v>9.2735703245749607E-3</v>
      </c>
      <c r="F855" s="2" t="s">
        <v>1695</v>
      </c>
      <c r="G855" s="2" t="s">
        <v>1696</v>
      </c>
    </row>
    <row r="856" spans="1:7" ht="285" x14ac:dyDescent="0.25">
      <c r="A856" s="4">
        <v>855</v>
      </c>
      <c r="B856" s="5">
        <v>0.17372340425531921</v>
      </c>
      <c r="C856" s="5">
        <v>3.3734939759036138E-2</v>
      </c>
      <c r="D856" s="5">
        <v>2.1999999999999999E-2</v>
      </c>
      <c r="E856" s="5">
        <v>5.1004636785162288E-2</v>
      </c>
      <c r="F856" s="2" t="s">
        <v>1697</v>
      </c>
      <c r="G856" s="2" t="s">
        <v>1698</v>
      </c>
    </row>
    <row r="857" spans="1:7" ht="120" x14ac:dyDescent="0.25">
      <c r="A857" s="4">
        <v>856</v>
      </c>
      <c r="B857" s="5">
        <v>4.042553191489362E-2</v>
      </c>
      <c r="C857" s="5">
        <v>1.3253012048192771E-2</v>
      </c>
      <c r="D857" s="5">
        <v>3.0000000000000001E-3</v>
      </c>
      <c r="E857" s="5">
        <v>1.174652241112828E-2</v>
      </c>
      <c r="F857" s="2" t="s">
        <v>1699</v>
      </c>
      <c r="G857" s="2" t="s">
        <v>1700</v>
      </c>
    </row>
    <row r="858" spans="1:7" ht="240" x14ac:dyDescent="0.25">
      <c r="A858" s="4">
        <v>857</v>
      </c>
      <c r="B858" s="5">
        <v>0.17446808510638301</v>
      </c>
      <c r="C858" s="5">
        <v>2.168674698795181E-2</v>
      </c>
      <c r="D858" s="5">
        <v>2.1000000000000001E-2</v>
      </c>
      <c r="E858" s="5">
        <v>5.3323029366306028E-2</v>
      </c>
      <c r="F858" s="2" t="s">
        <v>1701</v>
      </c>
      <c r="G858" s="2" t="s">
        <v>1702</v>
      </c>
    </row>
    <row r="859" spans="1:7" ht="240" x14ac:dyDescent="0.25">
      <c r="A859" s="4">
        <v>858</v>
      </c>
      <c r="B859" s="5">
        <v>0.31276595744680852</v>
      </c>
      <c r="C859" s="5">
        <v>3.6144578313253009E-3</v>
      </c>
      <c r="D859" s="5">
        <v>0</v>
      </c>
      <c r="E859" s="5">
        <v>0.1228748068006182</v>
      </c>
      <c r="F859" s="2" t="s">
        <v>1703</v>
      </c>
      <c r="G859" s="2" t="s">
        <v>1704</v>
      </c>
    </row>
    <row r="860" spans="1:7" ht="120" x14ac:dyDescent="0.25">
      <c r="A860" s="4">
        <v>859</v>
      </c>
      <c r="B860" s="5">
        <v>0.36276595744680851</v>
      </c>
      <c r="C860" s="5">
        <v>3.6144578313253009E-3</v>
      </c>
      <c r="D860" s="5">
        <v>0</v>
      </c>
      <c r="E860" s="5">
        <v>0.1313755795981453</v>
      </c>
      <c r="F860" s="2" t="s">
        <v>1705</v>
      </c>
      <c r="G860" s="2" t="s">
        <v>1706</v>
      </c>
    </row>
    <row r="861" spans="1:7" ht="409.5" x14ac:dyDescent="0.25">
      <c r="A861" s="4">
        <v>860</v>
      </c>
      <c r="B861" s="5">
        <v>0.38617021276595748</v>
      </c>
      <c r="C861" s="5">
        <v>0.10481927710843369</v>
      </c>
      <c r="D861" s="5">
        <v>4.0000000000000001E-3</v>
      </c>
      <c r="E861" s="5">
        <v>0.1216383307573416</v>
      </c>
      <c r="F861" s="2" t="s">
        <v>1707</v>
      </c>
      <c r="G861" s="2" t="s">
        <v>1708</v>
      </c>
    </row>
    <row r="862" spans="1:7" ht="165" x14ac:dyDescent="0.25">
      <c r="A862" s="4">
        <v>861</v>
      </c>
      <c r="B862" s="5">
        <v>6.702127659574468E-2</v>
      </c>
      <c r="C862" s="5">
        <v>2.891566265060241E-2</v>
      </c>
      <c r="D862" s="5">
        <v>4.0000000000000001E-3</v>
      </c>
      <c r="E862" s="5">
        <v>1.9165378670788259E-2</v>
      </c>
      <c r="F862" s="2" t="s">
        <v>1709</v>
      </c>
      <c r="G862" s="2" t="s">
        <v>1710</v>
      </c>
    </row>
    <row r="863" spans="1:7" ht="135" x14ac:dyDescent="0.25">
      <c r="A863" s="4">
        <v>862</v>
      </c>
      <c r="B863" s="5">
        <v>4.6808510638297871E-2</v>
      </c>
      <c r="C863" s="5">
        <v>8.4337349397590362E-3</v>
      </c>
      <c r="D863" s="5">
        <v>2E-3</v>
      </c>
      <c r="E863" s="5">
        <v>1.7310664605873261E-2</v>
      </c>
      <c r="F863" s="2" t="s">
        <v>1711</v>
      </c>
      <c r="G863" s="2" t="s">
        <v>1712</v>
      </c>
    </row>
    <row r="864" spans="1:7" ht="225" x14ac:dyDescent="0.25">
      <c r="A864" s="4">
        <v>863</v>
      </c>
      <c r="B864" s="5">
        <v>6.702127659574468E-2</v>
      </c>
      <c r="C864" s="5">
        <v>6.024096385542169E-3</v>
      </c>
      <c r="D864" s="5">
        <v>2E-3</v>
      </c>
      <c r="E864" s="5">
        <v>2.5811437403400309E-2</v>
      </c>
      <c r="F864" s="2" t="s">
        <v>1713</v>
      </c>
      <c r="G864" s="2" t="s">
        <v>1714</v>
      </c>
    </row>
    <row r="865" spans="1:7" ht="150" x14ac:dyDescent="0.25">
      <c r="A865" s="4">
        <v>864</v>
      </c>
      <c r="B865" s="5">
        <v>4.8936170212765959E-2</v>
      </c>
      <c r="C865" s="5">
        <v>4.8192771084337354E-3</v>
      </c>
      <c r="D865" s="5">
        <v>2E-3</v>
      </c>
      <c r="E865" s="5">
        <v>1.8392581143740341E-2</v>
      </c>
      <c r="F865" s="2" t="s">
        <v>1715</v>
      </c>
      <c r="G865" s="2" t="s">
        <v>1716</v>
      </c>
    </row>
    <row r="866" spans="1:7" ht="240" x14ac:dyDescent="0.25">
      <c r="A866" s="4">
        <v>865</v>
      </c>
      <c r="B866" s="5">
        <v>7.6595744680851063E-2</v>
      </c>
      <c r="C866" s="5">
        <v>9.6385542168674707E-3</v>
      </c>
      <c r="D866" s="5">
        <v>2E-3</v>
      </c>
      <c r="E866" s="5">
        <v>2.890262751159196E-2</v>
      </c>
      <c r="F866" s="2" t="s">
        <v>1717</v>
      </c>
      <c r="G866" s="2" t="s">
        <v>1718</v>
      </c>
    </row>
    <row r="867" spans="1:7" ht="225" x14ac:dyDescent="0.25">
      <c r="A867" s="4">
        <v>866</v>
      </c>
      <c r="B867" s="5">
        <v>5.9574468085106393E-2</v>
      </c>
      <c r="C867" s="5">
        <v>4.8192771084337354E-3</v>
      </c>
      <c r="D867" s="5">
        <v>2E-3</v>
      </c>
      <c r="E867" s="5">
        <v>2.2565687789799071E-2</v>
      </c>
      <c r="F867" s="2" t="s">
        <v>1719</v>
      </c>
      <c r="G867" s="2" t="s">
        <v>1720</v>
      </c>
    </row>
    <row r="868" spans="1:7" ht="225" x14ac:dyDescent="0.25">
      <c r="A868" s="4">
        <v>867</v>
      </c>
      <c r="B868" s="5">
        <v>9.1489361702127667E-2</v>
      </c>
      <c r="C868" s="5">
        <v>8.4337349397590362E-3</v>
      </c>
      <c r="D868" s="5">
        <v>5.0000000000000001E-3</v>
      </c>
      <c r="E868" s="5">
        <v>3.060278207109737E-2</v>
      </c>
      <c r="F868" s="2" t="s">
        <v>1721</v>
      </c>
      <c r="G868" s="2" t="s">
        <v>1722</v>
      </c>
    </row>
    <row r="869" spans="1:7" ht="225" x14ac:dyDescent="0.25">
      <c r="A869" s="4">
        <v>868</v>
      </c>
      <c r="B869" s="5">
        <v>0.1414893617021277</v>
      </c>
      <c r="C869" s="5">
        <v>1.204819277108434E-2</v>
      </c>
      <c r="D869" s="5">
        <v>1E-3</v>
      </c>
      <c r="E869" s="5">
        <v>4.9613601236476047E-2</v>
      </c>
      <c r="F869" s="2" t="s">
        <v>1723</v>
      </c>
      <c r="G869" s="2" t="s">
        <v>1724</v>
      </c>
    </row>
    <row r="870" spans="1:7" ht="390" x14ac:dyDescent="0.25">
      <c r="A870" s="4">
        <v>869</v>
      </c>
      <c r="B870" s="5">
        <v>6.2765957446808518E-2</v>
      </c>
      <c r="C870" s="5">
        <v>6.024096385542169E-3</v>
      </c>
      <c r="D870" s="5">
        <v>4.0000000000000001E-3</v>
      </c>
      <c r="E870" s="5">
        <v>2.3338485316846989E-2</v>
      </c>
      <c r="F870" s="2" t="s">
        <v>1725</v>
      </c>
      <c r="G870" s="2" t="s">
        <v>1726</v>
      </c>
    </row>
    <row r="871" spans="1:7" ht="225" x14ac:dyDescent="0.25">
      <c r="A871" s="4">
        <v>870</v>
      </c>
      <c r="B871" s="5">
        <v>5.5319148936170223E-2</v>
      </c>
      <c r="C871" s="5">
        <v>8.4337349397590362E-3</v>
      </c>
      <c r="D871" s="5">
        <v>0</v>
      </c>
      <c r="E871" s="5">
        <v>1.9010819165378671E-2</v>
      </c>
      <c r="F871" s="2" t="s">
        <v>1727</v>
      </c>
      <c r="G871" s="2" t="s">
        <v>1728</v>
      </c>
    </row>
    <row r="872" spans="1:7" ht="285" x14ac:dyDescent="0.25">
      <c r="A872" s="4">
        <v>871</v>
      </c>
      <c r="B872" s="5">
        <v>6.702127659574468E-2</v>
      </c>
      <c r="C872" s="5">
        <v>7.2289156626506026E-3</v>
      </c>
      <c r="D872" s="5">
        <v>6.0000000000000001E-3</v>
      </c>
      <c r="E872" s="5">
        <v>2.41112828438949E-2</v>
      </c>
      <c r="F872" s="2" t="s">
        <v>1729</v>
      </c>
      <c r="G872" s="2" t="s">
        <v>1730</v>
      </c>
    </row>
    <row r="873" spans="1:7" ht="180" x14ac:dyDescent="0.25">
      <c r="A873" s="4">
        <v>872</v>
      </c>
      <c r="B873" s="5">
        <v>0.76595744680851063</v>
      </c>
      <c r="C873" s="5">
        <v>7.2289156626506026E-3</v>
      </c>
      <c r="D873" s="5">
        <v>0.81</v>
      </c>
      <c r="E873" s="5">
        <v>6.1823802163833079E-4</v>
      </c>
      <c r="F873" s="2" t="s">
        <v>1731</v>
      </c>
      <c r="G873" s="2" t="s">
        <v>1732</v>
      </c>
    </row>
    <row r="874" spans="1:7" ht="120" x14ac:dyDescent="0.25">
      <c r="A874" s="4">
        <v>873</v>
      </c>
      <c r="B874" s="5">
        <v>0.1531914893617021</v>
      </c>
      <c r="C874" s="5">
        <v>4.2168674698795178E-2</v>
      </c>
      <c r="D874" s="5">
        <v>1.2E-2</v>
      </c>
      <c r="E874" s="5">
        <v>4.605873261205564E-2</v>
      </c>
      <c r="F874" s="2" t="s">
        <v>1733</v>
      </c>
      <c r="G874" s="2" t="s">
        <v>1734</v>
      </c>
    </row>
    <row r="875" spans="1:7" ht="225" x14ac:dyDescent="0.25">
      <c r="A875" s="4">
        <v>874</v>
      </c>
      <c r="B875" s="5">
        <v>0.23085106382978721</v>
      </c>
      <c r="C875" s="5">
        <v>3.012048192771084E-2</v>
      </c>
      <c r="D875" s="5">
        <v>0.01</v>
      </c>
      <c r="E875" s="5">
        <v>7.666151468315302E-2</v>
      </c>
      <c r="F875" s="2" t="s">
        <v>1735</v>
      </c>
      <c r="G875" s="2" t="s">
        <v>1736</v>
      </c>
    </row>
    <row r="876" spans="1:7" ht="225" x14ac:dyDescent="0.25">
      <c r="A876" s="4">
        <v>875</v>
      </c>
      <c r="B876" s="5">
        <v>0.1106382978723404</v>
      </c>
      <c r="C876" s="5">
        <v>1.445783132530121E-2</v>
      </c>
      <c r="D876" s="5">
        <v>5.0000000000000001E-3</v>
      </c>
      <c r="E876" s="5">
        <v>3.6630602782071087E-2</v>
      </c>
      <c r="F876" s="2" t="s">
        <v>1737</v>
      </c>
      <c r="G876" s="2" t="s">
        <v>1736</v>
      </c>
    </row>
    <row r="877" spans="1:7" ht="180" x14ac:dyDescent="0.25">
      <c r="A877" s="4">
        <v>876</v>
      </c>
      <c r="B877" s="5">
        <v>0.28223404255319151</v>
      </c>
      <c r="C877" s="5">
        <v>5.6626506024096392E-2</v>
      </c>
      <c r="D877" s="5">
        <v>5.5E-2</v>
      </c>
      <c r="E877" s="5">
        <v>7.6197836166924257E-2</v>
      </c>
      <c r="F877" s="2" t="s">
        <v>1738</v>
      </c>
      <c r="G877" s="2" t="s">
        <v>1739</v>
      </c>
    </row>
    <row r="878" spans="1:7" ht="225" x14ac:dyDescent="0.25">
      <c r="A878" s="4">
        <v>877</v>
      </c>
      <c r="B878" s="5">
        <v>0.1627659574468085</v>
      </c>
      <c r="C878" s="5">
        <v>5.4216867469879519E-2</v>
      </c>
      <c r="D878" s="5">
        <v>4.2000000000000003E-2</v>
      </c>
      <c r="E878" s="5">
        <v>3.7557959814528592E-2</v>
      </c>
      <c r="F878" s="2" t="s">
        <v>1740</v>
      </c>
      <c r="G878" s="2" t="s">
        <v>1741</v>
      </c>
    </row>
    <row r="879" spans="1:7" ht="210" x14ac:dyDescent="0.25">
      <c r="A879" s="4">
        <v>878</v>
      </c>
      <c r="B879" s="5">
        <v>0.29574468085106381</v>
      </c>
      <c r="C879" s="5">
        <v>6.1445783132530123E-2</v>
      </c>
      <c r="D879" s="5">
        <v>8.5999999999999993E-2</v>
      </c>
      <c r="E879" s="5">
        <v>6.9551777434312206E-2</v>
      </c>
      <c r="F879" s="2" t="s">
        <v>1742</v>
      </c>
      <c r="G879" s="2" t="s">
        <v>1743</v>
      </c>
    </row>
    <row r="880" spans="1:7" ht="180" x14ac:dyDescent="0.25">
      <c r="A880" s="4">
        <v>879</v>
      </c>
      <c r="B880" s="5">
        <v>0.21276595744680851</v>
      </c>
      <c r="C880" s="5">
        <v>0.1072289156626506</v>
      </c>
      <c r="D880" s="5">
        <v>5.0999999999999997E-2</v>
      </c>
      <c r="E880" s="5">
        <v>4.5595054095826891E-2</v>
      </c>
      <c r="F880" s="2" t="s">
        <v>1744</v>
      </c>
      <c r="G880" s="2" t="s">
        <v>1745</v>
      </c>
    </row>
    <row r="881" spans="1:7" ht="150" x14ac:dyDescent="0.25">
      <c r="A881" s="4">
        <v>880</v>
      </c>
      <c r="B881" s="5">
        <v>0.39255319148936169</v>
      </c>
      <c r="C881" s="5">
        <v>2.5301204819277109E-2</v>
      </c>
      <c r="D881" s="5">
        <v>7.0000000000000007E-2</v>
      </c>
      <c r="E881" s="5">
        <v>0.1145285935085008</v>
      </c>
      <c r="F881" s="2" t="s">
        <v>1746</v>
      </c>
      <c r="G881" s="2" t="s">
        <v>1747</v>
      </c>
    </row>
    <row r="882" spans="1:7" ht="240" x14ac:dyDescent="0.25">
      <c r="A882" s="4">
        <v>881</v>
      </c>
      <c r="B882" s="5">
        <v>9.5744680851063829E-2</v>
      </c>
      <c r="C882" s="5">
        <v>1.445783132530121E-2</v>
      </c>
      <c r="D882" s="5">
        <v>1E-3</v>
      </c>
      <c r="E882" s="5">
        <v>3.2612055641421951E-2</v>
      </c>
      <c r="F882" s="2" t="s">
        <v>1748</v>
      </c>
      <c r="G882" s="2" t="s">
        <v>1749</v>
      </c>
    </row>
    <row r="883" spans="1:7" ht="105" x14ac:dyDescent="0.25">
      <c r="A883" s="4">
        <v>882</v>
      </c>
      <c r="B883" s="5">
        <v>0.29361702127659572</v>
      </c>
      <c r="C883" s="5">
        <v>0</v>
      </c>
      <c r="D883" s="5">
        <v>1E-3</v>
      </c>
      <c r="E883" s="5">
        <v>0.1097372488408037</v>
      </c>
      <c r="F883" s="2" t="s">
        <v>1750</v>
      </c>
      <c r="G883" s="2" t="s">
        <v>1751</v>
      </c>
    </row>
    <row r="884" spans="1:7" ht="225" x14ac:dyDescent="0.25">
      <c r="A884" s="4">
        <v>883</v>
      </c>
      <c r="B884" s="5">
        <v>7.0212765957446813E-2</v>
      </c>
      <c r="C884" s="5">
        <v>6.0240963855421693E-2</v>
      </c>
      <c r="D884" s="5">
        <v>6.9999999999999993E-3</v>
      </c>
      <c r="E884" s="5">
        <v>2.05564142194745E-2</v>
      </c>
      <c r="F884" s="2" t="s">
        <v>1752</v>
      </c>
      <c r="G884" s="2" t="s">
        <v>1753</v>
      </c>
    </row>
    <row r="885" spans="1:7" ht="240" x14ac:dyDescent="0.25">
      <c r="A885" s="4">
        <v>884</v>
      </c>
      <c r="B885" s="5">
        <v>3.9361702127659583E-2</v>
      </c>
      <c r="C885" s="5">
        <v>7.2289156626506026E-3</v>
      </c>
      <c r="D885" s="5">
        <v>4.0000000000000001E-3</v>
      </c>
      <c r="E885" s="5">
        <v>1.205564142194745E-2</v>
      </c>
      <c r="F885" s="2" t="s">
        <v>1754</v>
      </c>
      <c r="G885" s="2" t="s">
        <v>1755</v>
      </c>
    </row>
    <row r="886" spans="1:7" ht="210" x14ac:dyDescent="0.25">
      <c r="A886" s="4">
        <v>885</v>
      </c>
      <c r="B886" s="5">
        <v>0.3425531914893617</v>
      </c>
      <c r="C886" s="5">
        <v>0.67228915662650601</v>
      </c>
      <c r="D886" s="5">
        <v>0.02</v>
      </c>
      <c r="E886" s="5">
        <v>3.5085007727975272E-2</v>
      </c>
      <c r="F886" s="2" t="s">
        <v>1756</v>
      </c>
      <c r="G886" s="2" t="s">
        <v>1757</v>
      </c>
    </row>
    <row r="887" spans="1:7" ht="285" x14ac:dyDescent="0.25">
      <c r="A887" s="4">
        <v>886</v>
      </c>
      <c r="B887" s="5">
        <v>0.77127659574468088</v>
      </c>
      <c r="C887" s="5">
        <v>6.024096385542169E-3</v>
      </c>
      <c r="D887" s="5">
        <v>0.81599999999999995</v>
      </c>
      <c r="E887" s="5">
        <v>2.1638330757341581E-3</v>
      </c>
      <c r="F887" s="2" t="s">
        <v>1758</v>
      </c>
      <c r="G887" s="2" t="s">
        <v>1759</v>
      </c>
    </row>
    <row r="888" spans="1:7" ht="240" x14ac:dyDescent="0.25">
      <c r="A888" s="4">
        <v>887</v>
      </c>
      <c r="B888" s="5">
        <v>6.9148936170212769E-2</v>
      </c>
      <c r="C888" s="5">
        <v>2.0481927710843371E-2</v>
      </c>
      <c r="D888" s="5">
        <v>2E-3</v>
      </c>
      <c r="E888" s="5">
        <v>2.4884080370942811E-2</v>
      </c>
      <c r="F888" s="2" t="s">
        <v>1760</v>
      </c>
      <c r="G888" s="2" t="s">
        <v>1761</v>
      </c>
    </row>
    <row r="889" spans="1:7" ht="240" x14ac:dyDescent="0.25">
      <c r="A889" s="4">
        <v>888</v>
      </c>
      <c r="B889" s="5">
        <v>0.3819148936170213</v>
      </c>
      <c r="C889" s="5">
        <v>0.13855421686746991</v>
      </c>
      <c r="D889" s="5">
        <v>6.8000000000000005E-2</v>
      </c>
      <c r="E889" s="5">
        <v>9.9536321483771256E-2</v>
      </c>
      <c r="F889" s="2" t="s">
        <v>1762</v>
      </c>
      <c r="G889" s="2" t="s">
        <v>1763</v>
      </c>
    </row>
    <row r="890" spans="1:7" ht="195" x14ac:dyDescent="0.25">
      <c r="A890" s="4">
        <v>889</v>
      </c>
      <c r="B890" s="5">
        <v>9.3617021276595741E-2</v>
      </c>
      <c r="C890" s="5">
        <v>7.2289156626506026E-3</v>
      </c>
      <c r="D890" s="5">
        <v>3.3000000000000002E-2</v>
      </c>
      <c r="E890" s="5">
        <v>2.1638330757341579E-2</v>
      </c>
      <c r="F890" s="2" t="s">
        <v>1764</v>
      </c>
      <c r="G890" s="2" t="s">
        <v>1765</v>
      </c>
    </row>
    <row r="891" spans="1:7" ht="300" x14ac:dyDescent="0.25">
      <c r="A891" s="4">
        <v>890</v>
      </c>
      <c r="B891" s="5">
        <v>7.5531914893617019E-2</v>
      </c>
      <c r="C891" s="5">
        <v>2.4096385542168681E-3</v>
      </c>
      <c r="D891" s="5">
        <v>8.0000000000000002E-3</v>
      </c>
      <c r="E891" s="5">
        <v>2.4574961360123649E-2</v>
      </c>
      <c r="F891" s="2" t="s">
        <v>1766</v>
      </c>
      <c r="G891" s="2" t="s">
        <v>1767</v>
      </c>
    </row>
    <row r="892" spans="1:7" ht="210" x14ac:dyDescent="0.25">
      <c r="A892" s="4">
        <v>891</v>
      </c>
      <c r="B892" s="5">
        <v>0.36063829787234042</v>
      </c>
      <c r="C892" s="5">
        <v>0.1204819277108434</v>
      </c>
      <c r="D892" s="5">
        <v>1.7000000000000001E-2</v>
      </c>
      <c r="E892" s="5">
        <v>9.7372488408037083E-3</v>
      </c>
      <c r="F892" s="2" t="s">
        <v>1768</v>
      </c>
      <c r="G892" s="2" t="s">
        <v>1769</v>
      </c>
    </row>
    <row r="893" spans="1:7" ht="135" x14ac:dyDescent="0.25">
      <c r="A893" s="4">
        <v>892</v>
      </c>
      <c r="B893" s="5">
        <v>0.1202127659574468</v>
      </c>
      <c r="C893" s="5">
        <v>3.6144578313253017E-2</v>
      </c>
      <c r="D893" s="5">
        <v>3.2000000000000001E-2</v>
      </c>
      <c r="E893" s="5">
        <v>2.7975270479134472E-2</v>
      </c>
      <c r="F893" s="2" t="s">
        <v>1770</v>
      </c>
      <c r="G893" s="2" t="s">
        <v>1771</v>
      </c>
    </row>
    <row r="894" spans="1:7" ht="210" x14ac:dyDescent="0.25">
      <c r="A894" s="4">
        <v>893</v>
      </c>
      <c r="B894" s="5">
        <v>0.1085106382978723</v>
      </c>
      <c r="C894" s="5">
        <v>7.4698795180722893E-2</v>
      </c>
      <c r="D894" s="5">
        <v>3.9E-2</v>
      </c>
      <c r="E894" s="5">
        <v>1.6228748068006182E-2</v>
      </c>
      <c r="F894" s="2" t="s">
        <v>1772</v>
      </c>
      <c r="G894" s="2" t="s">
        <v>1773</v>
      </c>
    </row>
    <row r="895" spans="1:7" ht="255" x14ac:dyDescent="0.25">
      <c r="A895" s="4">
        <v>894</v>
      </c>
      <c r="B895" s="5">
        <v>0.1212765957446809</v>
      </c>
      <c r="C895" s="5">
        <v>6.3855421686746988E-2</v>
      </c>
      <c r="D895" s="5">
        <v>0.03</v>
      </c>
      <c r="E895" s="5">
        <v>2.534775888717156E-2</v>
      </c>
      <c r="F895" s="2" t="s">
        <v>1774</v>
      </c>
      <c r="G895" s="2" t="s">
        <v>1775</v>
      </c>
    </row>
    <row r="896" spans="1:7" ht="165" x14ac:dyDescent="0.25">
      <c r="A896" s="4">
        <v>895</v>
      </c>
      <c r="B896" s="5">
        <v>9.1489361702127667E-2</v>
      </c>
      <c r="C896" s="5">
        <v>7.2289156626506026E-3</v>
      </c>
      <c r="D896" s="5">
        <v>3.3000000000000002E-2</v>
      </c>
      <c r="E896" s="5">
        <v>2.1638330757341579E-2</v>
      </c>
      <c r="F896" s="2" t="s">
        <v>1776</v>
      </c>
      <c r="G896" s="2" t="s">
        <v>1777</v>
      </c>
    </row>
    <row r="897" spans="1:7" ht="255" x14ac:dyDescent="0.25">
      <c r="A897" s="4">
        <v>896</v>
      </c>
      <c r="B897" s="5">
        <v>0.37553191489361698</v>
      </c>
      <c r="C897" s="5">
        <v>3.6144578313253009E-3</v>
      </c>
      <c r="D897" s="5">
        <v>0</v>
      </c>
      <c r="E897" s="5">
        <v>0.1360123647604328</v>
      </c>
      <c r="F897" s="2" t="s">
        <v>1778</v>
      </c>
      <c r="G897" s="2" t="s">
        <v>1779</v>
      </c>
    </row>
    <row r="898" spans="1:7" ht="120" x14ac:dyDescent="0.25">
      <c r="A898" s="4">
        <v>897</v>
      </c>
      <c r="B898" s="5">
        <v>0.1085106382978723</v>
      </c>
      <c r="C898" s="5">
        <v>3.6144578313253017E-2</v>
      </c>
      <c r="D898" s="5">
        <v>2.1000000000000001E-2</v>
      </c>
      <c r="E898" s="5">
        <v>2.7511591962905719E-2</v>
      </c>
      <c r="F898" s="2" t="s">
        <v>1780</v>
      </c>
      <c r="G898" s="2" t="s">
        <v>1781</v>
      </c>
    </row>
    <row r="899" spans="1:7" ht="150" x14ac:dyDescent="0.25">
      <c r="A899" s="4">
        <v>898</v>
      </c>
      <c r="B899" s="5">
        <v>0.49787234042553191</v>
      </c>
      <c r="C899" s="5">
        <v>9.1566265060240959E-2</v>
      </c>
      <c r="D899" s="5">
        <v>0.20399999999999999</v>
      </c>
      <c r="E899" s="5">
        <v>9.6445131375579599E-2</v>
      </c>
      <c r="F899" s="2" t="s">
        <v>1782</v>
      </c>
      <c r="G899" s="2" t="s">
        <v>1783</v>
      </c>
    </row>
    <row r="900" spans="1:7" ht="165" x14ac:dyDescent="0.25">
      <c r="A900" s="4">
        <v>899</v>
      </c>
      <c r="B900" s="5">
        <v>0.35851063829787227</v>
      </c>
      <c r="C900" s="5">
        <v>9.5180722891566275E-2</v>
      </c>
      <c r="D900" s="5">
        <v>0.11799999999999999</v>
      </c>
      <c r="E900" s="5">
        <v>7.7279752704791344E-2</v>
      </c>
      <c r="F900" s="2" t="s">
        <v>1784</v>
      </c>
      <c r="G900" s="2" t="s">
        <v>1785</v>
      </c>
    </row>
    <row r="901" spans="1:7" ht="210" x14ac:dyDescent="0.25">
      <c r="A901" s="4">
        <v>900</v>
      </c>
      <c r="B901" s="5">
        <v>0.1117021276595745</v>
      </c>
      <c r="C901" s="5">
        <v>7.1084337349397592E-2</v>
      </c>
      <c r="D901" s="5">
        <v>4.9000000000000002E-2</v>
      </c>
      <c r="E901" s="5">
        <v>1.452859350850077E-2</v>
      </c>
      <c r="F901" s="2" t="s">
        <v>1786</v>
      </c>
      <c r="G901" s="2" t="s">
        <v>1787</v>
      </c>
    </row>
    <row r="902" spans="1:7" ht="195" x14ac:dyDescent="0.25">
      <c r="A902" s="4">
        <v>901</v>
      </c>
      <c r="B902" s="5">
        <v>0.2021276595744681</v>
      </c>
      <c r="C902" s="5">
        <v>2.4096385542168681E-3</v>
      </c>
      <c r="D902" s="5">
        <v>4.0000000000000001E-3</v>
      </c>
      <c r="E902" s="5">
        <v>7.1870170015455953E-2</v>
      </c>
      <c r="F902" s="2" t="s">
        <v>1788</v>
      </c>
      <c r="G902" s="2" t="s">
        <v>1789</v>
      </c>
    </row>
    <row r="903" spans="1:7" ht="165" x14ac:dyDescent="0.25">
      <c r="A903" s="4">
        <v>902</v>
      </c>
      <c r="B903" s="5">
        <v>0.95957446808510638</v>
      </c>
      <c r="C903" s="5">
        <v>0</v>
      </c>
      <c r="D903" s="5">
        <v>1</v>
      </c>
      <c r="E903" s="5">
        <v>0</v>
      </c>
      <c r="F903" s="2" t="s">
        <v>1790</v>
      </c>
      <c r="G903" s="2" t="s">
        <v>1791</v>
      </c>
    </row>
    <row r="904" spans="1:7" ht="409.5" x14ac:dyDescent="0.25">
      <c r="A904" s="4">
        <v>903</v>
      </c>
      <c r="B904" s="5">
        <v>0.95957446808510638</v>
      </c>
      <c r="C904" s="5">
        <v>0</v>
      </c>
      <c r="D904" s="5">
        <v>1</v>
      </c>
      <c r="E904" s="5">
        <v>0</v>
      </c>
      <c r="F904" s="2" t="s">
        <v>1792</v>
      </c>
      <c r="G904" s="2" t="s">
        <v>1793</v>
      </c>
    </row>
    <row r="905" spans="1:7" ht="120" x14ac:dyDescent="0.25">
      <c r="A905" s="4">
        <v>904</v>
      </c>
      <c r="B905" s="5">
        <v>0.95957446808510638</v>
      </c>
      <c r="C905" s="5">
        <v>0</v>
      </c>
      <c r="D905" s="5">
        <v>1</v>
      </c>
      <c r="E905" s="5">
        <v>0</v>
      </c>
      <c r="F905" s="2" t="s">
        <v>1794</v>
      </c>
      <c r="G905" s="2" t="s">
        <v>1795</v>
      </c>
    </row>
    <row r="906" spans="1:7" ht="285" x14ac:dyDescent="0.25">
      <c r="A906" s="4">
        <v>905</v>
      </c>
      <c r="B906" s="5">
        <v>0.93936170212765957</v>
      </c>
      <c r="C906" s="5">
        <v>0</v>
      </c>
      <c r="D906" s="5">
        <v>0.99900000000000011</v>
      </c>
      <c r="E906" s="5">
        <v>0</v>
      </c>
      <c r="F906" s="2" t="s">
        <v>1796</v>
      </c>
      <c r="G906" s="2" t="s">
        <v>1797</v>
      </c>
    </row>
    <row r="907" spans="1:7" ht="270" x14ac:dyDescent="0.25">
      <c r="A907" s="4">
        <v>906</v>
      </c>
      <c r="B907" s="5">
        <v>0.92553191489361708</v>
      </c>
      <c r="C907" s="5">
        <v>1.204819277108434E-2</v>
      </c>
      <c r="D907" s="5">
        <v>0.98</v>
      </c>
      <c r="E907" s="5">
        <v>0</v>
      </c>
      <c r="F907" s="2" t="s">
        <v>1798</v>
      </c>
      <c r="G907" s="2" t="s">
        <v>1799</v>
      </c>
    </row>
    <row r="908" spans="1:7" ht="255" x14ac:dyDescent="0.25">
      <c r="A908" s="4">
        <v>907</v>
      </c>
      <c r="B908" s="5">
        <v>0.95957446808510638</v>
      </c>
      <c r="C908" s="5">
        <v>0</v>
      </c>
      <c r="D908" s="5">
        <v>1</v>
      </c>
      <c r="E908" s="5">
        <v>0</v>
      </c>
      <c r="F908" s="2" t="s">
        <v>1800</v>
      </c>
      <c r="G908" s="2" t="s">
        <v>1801</v>
      </c>
    </row>
    <row r="909" spans="1:7" ht="180" x14ac:dyDescent="0.25">
      <c r="A909" s="4">
        <v>908</v>
      </c>
      <c r="B909" s="5">
        <v>0.95957446808510638</v>
      </c>
      <c r="C909" s="5">
        <v>0</v>
      </c>
      <c r="D909" s="5">
        <v>1</v>
      </c>
      <c r="E909" s="5">
        <v>0</v>
      </c>
      <c r="F909" s="2" t="s">
        <v>1802</v>
      </c>
      <c r="G909" s="2" t="s">
        <v>1803</v>
      </c>
    </row>
    <row r="910" spans="1:7" ht="135" x14ac:dyDescent="0.25">
      <c r="A910" s="4">
        <v>909</v>
      </c>
      <c r="B910" s="5">
        <v>0.94042553191489364</v>
      </c>
      <c r="C910" s="5">
        <v>0</v>
      </c>
      <c r="D910" s="5">
        <v>1</v>
      </c>
      <c r="E910" s="5">
        <v>0</v>
      </c>
      <c r="F910" s="2" t="s">
        <v>1804</v>
      </c>
      <c r="G910" s="2" t="s">
        <v>1805</v>
      </c>
    </row>
    <row r="911" spans="1:7" ht="210" x14ac:dyDescent="0.25">
      <c r="A911" s="4">
        <v>910</v>
      </c>
      <c r="B911" s="5">
        <v>0.36702127659574468</v>
      </c>
      <c r="C911" s="5">
        <v>0.10240963855421691</v>
      </c>
      <c r="D911" s="5">
        <v>2.1999999999999999E-2</v>
      </c>
      <c r="E911" s="5">
        <v>0.12055641421947449</v>
      </c>
      <c r="F911" s="2" t="s">
        <v>1806</v>
      </c>
      <c r="G911" s="2" t="s">
        <v>1807</v>
      </c>
    </row>
    <row r="912" spans="1:7" ht="135" x14ac:dyDescent="0.25">
      <c r="A912" s="4">
        <v>911</v>
      </c>
      <c r="B912" s="5">
        <v>0.23191489361702131</v>
      </c>
      <c r="C912" s="5">
        <v>9.6385542168674707E-3</v>
      </c>
      <c r="D912" s="5">
        <v>0.16</v>
      </c>
      <c r="E912" s="5">
        <v>7.7588871715610519E-2</v>
      </c>
      <c r="F912" s="2" t="s">
        <v>1808</v>
      </c>
      <c r="G912" s="2" t="s">
        <v>1809</v>
      </c>
    </row>
    <row r="913" spans="1:7" ht="240" x14ac:dyDescent="0.25">
      <c r="A913" s="4">
        <v>912</v>
      </c>
      <c r="B913" s="5">
        <v>0.13617021276595739</v>
      </c>
      <c r="C913" s="5">
        <v>9.6385542168674704E-2</v>
      </c>
      <c r="D913" s="5">
        <v>0.1</v>
      </c>
      <c r="E913" s="5">
        <v>2.0092735703245751E-3</v>
      </c>
      <c r="F913" s="2" t="s">
        <v>1810</v>
      </c>
      <c r="G913" s="2" t="s">
        <v>1811</v>
      </c>
    </row>
    <row r="914" spans="1:7" ht="285" x14ac:dyDescent="0.25">
      <c r="A914" s="4">
        <v>913</v>
      </c>
      <c r="B914" s="5">
        <v>3.5106382978723413E-2</v>
      </c>
      <c r="C914" s="5">
        <v>2.7710843373493971E-2</v>
      </c>
      <c r="D914" s="5">
        <v>5.0000000000000001E-3</v>
      </c>
      <c r="E914" s="5">
        <v>7.2642967542503869E-3</v>
      </c>
      <c r="F914" s="2" t="s">
        <v>1812</v>
      </c>
      <c r="G914" s="2" t="s">
        <v>1813</v>
      </c>
    </row>
    <row r="915" spans="1:7" ht="255" x14ac:dyDescent="0.25">
      <c r="A915" s="4">
        <v>914</v>
      </c>
      <c r="B915" s="5">
        <v>0.35106382978723399</v>
      </c>
      <c r="C915" s="5">
        <v>0.21445783132530119</v>
      </c>
      <c r="D915" s="5">
        <v>0.23400000000000001</v>
      </c>
      <c r="E915" s="5">
        <v>1.8701700154559509E-2</v>
      </c>
      <c r="F915" s="2" t="s">
        <v>1814</v>
      </c>
      <c r="G915" s="2" t="s">
        <v>1815</v>
      </c>
    </row>
    <row r="916" spans="1:7" ht="165" x14ac:dyDescent="0.25">
      <c r="A916" s="4">
        <v>915</v>
      </c>
      <c r="B916" s="5">
        <v>0.50851063829787235</v>
      </c>
      <c r="C916" s="5">
        <v>0.4614457831325301</v>
      </c>
      <c r="D916" s="5">
        <v>0.33900000000000002</v>
      </c>
      <c r="E916" s="5">
        <v>7.8825347758887162E-3</v>
      </c>
      <c r="F916" s="2" t="s">
        <v>1816</v>
      </c>
      <c r="G916" s="2" t="s">
        <v>351</v>
      </c>
    </row>
    <row r="917" spans="1:7" ht="315" x14ac:dyDescent="0.25">
      <c r="A917" s="4">
        <v>916</v>
      </c>
      <c r="B917" s="5">
        <v>5.5319148936170223E-2</v>
      </c>
      <c r="C917" s="5">
        <v>4.8192771084337354E-3</v>
      </c>
      <c r="D917" s="5">
        <v>2E-3</v>
      </c>
      <c r="E917" s="5">
        <v>2.117465224111283E-2</v>
      </c>
      <c r="F917" s="2" t="s">
        <v>1817</v>
      </c>
      <c r="G917" s="2" t="s">
        <v>1818</v>
      </c>
    </row>
    <row r="918" spans="1:7" ht="225" x14ac:dyDescent="0.25">
      <c r="A918" s="4">
        <v>917</v>
      </c>
      <c r="B918" s="5">
        <v>6.1702127659574467E-2</v>
      </c>
      <c r="C918" s="5">
        <v>8.4337349397590362E-3</v>
      </c>
      <c r="D918" s="5">
        <v>2E-3</v>
      </c>
      <c r="E918" s="5">
        <v>2.05564142194745E-2</v>
      </c>
      <c r="F918" s="2" t="s">
        <v>1819</v>
      </c>
      <c r="G918" s="2" t="s">
        <v>1820</v>
      </c>
    </row>
    <row r="919" spans="1:7" ht="285" x14ac:dyDescent="0.25">
      <c r="A919" s="4">
        <v>918</v>
      </c>
      <c r="B919" s="5">
        <v>0.175531914893617</v>
      </c>
      <c r="C919" s="5">
        <v>5.0602409638554217E-2</v>
      </c>
      <c r="D919" s="5">
        <v>1E-3</v>
      </c>
      <c r="E919" s="5">
        <v>5.6723338485316847E-2</v>
      </c>
      <c r="F919" s="2" t="s">
        <v>1821</v>
      </c>
      <c r="G919" s="2" t="s">
        <v>1822</v>
      </c>
    </row>
    <row r="920" spans="1:7" ht="240" x14ac:dyDescent="0.25">
      <c r="A920" s="4">
        <v>919</v>
      </c>
      <c r="B920" s="5">
        <v>0.11276595744680851</v>
      </c>
      <c r="C920" s="5">
        <v>1.445783132530121E-2</v>
      </c>
      <c r="D920" s="5">
        <v>3.0000000000000001E-3</v>
      </c>
      <c r="E920" s="5">
        <v>4.2658423493044821E-2</v>
      </c>
      <c r="F920" s="2" t="s">
        <v>1823</v>
      </c>
      <c r="G920" s="2" t="s">
        <v>1824</v>
      </c>
    </row>
    <row r="921" spans="1:7" ht="180" x14ac:dyDescent="0.25">
      <c r="A921" s="4">
        <v>920</v>
      </c>
      <c r="B921" s="5">
        <v>5.4255319148936172E-2</v>
      </c>
      <c r="C921" s="5">
        <v>2.4096385542168679E-2</v>
      </c>
      <c r="D921" s="5">
        <v>4.0000000000000001E-3</v>
      </c>
      <c r="E921" s="5">
        <v>1.7465224111282849E-2</v>
      </c>
      <c r="F921" s="2" t="s">
        <v>1825</v>
      </c>
      <c r="G921" s="2" t="s">
        <v>1826</v>
      </c>
    </row>
    <row r="922" spans="1:7" ht="240" x14ac:dyDescent="0.25">
      <c r="A922" s="4">
        <v>921</v>
      </c>
      <c r="B922" s="5">
        <v>0.19148936170212769</v>
      </c>
      <c r="C922" s="5">
        <v>3.6144578313253017E-2</v>
      </c>
      <c r="D922" s="5">
        <v>3.0000000000000001E-3</v>
      </c>
      <c r="E922" s="5">
        <v>6.1514683153013908E-2</v>
      </c>
      <c r="F922" s="2" t="s">
        <v>1827</v>
      </c>
      <c r="G922" s="2" t="s">
        <v>1828</v>
      </c>
    </row>
    <row r="923" spans="1:7" ht="180" x14ac:dyDescent="0.25">
      <c r="A923" s="4">
        <v>922</v>
      </c>
      <c r="B923" s="5">
        <v>0.15851063829787229</v>
      </c>
      <c r="C923" s="5">
        <v>3.3734939759036138E-2</v>
      </c>
      <c r="D923" s="5">
        <v>4.0000000000000001E-3</v>
      </c>
      <c r="E923" s="5">
        <v>5.0231839258114371E-2</v>
      </c>
      <c r="F923" s="2" t="s">
        <v>1829</v>
      </c>
      <c r="G923" s="2" t="s">
        <v>1830</v>
      </c>
    </row>
    <row r="924" spans="1:7" ht="180" x14ac:dyDescent="0.25">
      <c r="A924" s="4">
        <v>923</v>
      </c>
      <c r="B924" s="5">
        <v>0.20425531914893619</v>
      </c>
      <c r="C924" s="5">
        <v>4.5783132530120479E-2</v>
      </c>
      <c r="D924" s="5">
        <v>8.8000000000000009E-2</v>
      </c>
      <c r="E924" s="5">
        <v>3.7712519319938173E-2</v>
      </c>
      <c r="F924" s="2" t="s">
        <v>1831</v>
      </c>
      <c r="G924" s="2" t="s">
        <v>1832</v>
      </c>
    </row>
    <row r="925" spans="1:7" ht="225" x14ac:dyDescent="0.25">
      <c r="A925" s="4">
        <v>924</v>
      </c>
      <c r="B925" s="5">
        <v>0.29361702127659572</v>
      </c>
      <c r="C925" s="5">
        <v>3.8554216867469883E-2</v>
      </c>
      <c r="D925" s="5">
        <v>3.2000000000000001E-2</v>
      </c>
      <c r="E925" s="5">
        <v>4.667697063369397E-2</v>
      </c>
      <c r="F925" s="2" t="s">
        <v>1833</v>
      </c>
      <c r="G925" s="2" t="s">
        <v>1834</v>
      </c>
    </row>
    <row r="926" spans="1:7" ht="165" x14ac:dyDescent="0.25">
      <c r="A926" s="4">
        <v>925</v>
      </c>
      <c r="B926" s="5">
        <v>0.2021276595744681</v>
      </c>
      <c r="C926" s="5">
        <v>5.6626506024096392E-2</v>
      </c>
      <c r="D926" s="5">
        <v>7.4999999999999997E-2</v>
      </c>
      <c r="E926" s="5">
        <v>4.0185471406491501E-2</v>
      </c>
      <c r="F926" s="2" t="s">
        <v>1835</v>
      </c>
      <c r="G926" s="2" t="s">
        <v>1836</v>
      </c>
    </row>
    <row r="927" spans="1:7" ht="210" x14ac:dyDescent="0.25">
      <c r="A927" s="4">
        <v>926</v>
      </c>
      <c r="B927" s="5">
        <v>0.37978723404255321</v>
      </c>
      <c r="C927" s="5">
        <v>0.10602409638554219</v>
      </c>
      <c r="D927" s="5">
        <v>5.0000000000000001E-3</v>
      </c>
      <c r="E927" s="5">
        <v>0.1228748068006182</v>
      </c>
      <c r="F927" s="2" t="s">
        <v>1837</v>
      </c>
      <c r="G927" s="2" t="s">
        <v>1838</v>
      </c>
    </row>
    <row r="928" spans="1:7" ht="165" x14ac:dyDescent="0.25">
      <c r="A928" s="4">
        <v>927</v>
      </c>
      <c r="B928" s="5">
        <v>0.22021276595744679</v>
      </c>
      <c r="C928" s="5">
        <v>4.2168674698795178E-2</v>
      </c>
      <c r="D928" s="5">
        <v>0.05</v>
      </c>
      <c r="E928" s="5">
        <v>5.7341576506955177E-2</v>
      </c>
      <c r="F928" s="2" t="s">
        <v>1839</v>
      </c>
      <c r="G928" s="2" t="s">
        <v>1840</v>
      </c>
    </row>
    <row r="929" spans="1:7" ht="195" x14ac:dyDescent="0.25">
      <c r="A929" s="4">
        <v>928</v>
      </c>
      <c r="B929" s="5">
        <v>0.16489361702127661</v>
      </c>
      <c r="C929" s="5">
        <v>0.1240963855421687</v>
      </c>
      <c r="D929" s="5">
        <v>4.2000000000000003E-2</v>
      </c>
      <c r="E929" s="5">
        <v>2.952086553323029E-2</v>
      </c>
      <c r="F929" s="2" t="s">
        <v>1841</v>
      </c>
      <c r="G929" s="2" t="s">
        <v>1842</v>
      </c>
    </row>
    <row r="930" spans="1:7" ht="240" x14ac:dyDescent="0.25">
      <c r="A930" s="4">
        <v>929</v>
      </c>
      <c r="B930" s="5">
        <v>0.1276595744680851</v>
      </c>
      <c r="C930" s="5">
        <v>2.891566265060241E-2</v>
      </c>
      <c r="D930" s="5">
        <v>4.0000000000000001E-3</v>
      </c>
      <c r="E930" s="5">
        <v>4.0185471406491501E-2</v>
      </c>
      <c r="F930" s="2" t="s">
        <v>1843</v>
      </c>
      <c r="G930" s="2" t="s">
        <v>1844</v>
      </c>
    </row>
    <row r="931" spans="1:7" ht="330" x14ac:dyDescent="0.25">
      <c r="A931" s="4">
        <v>930</v>
      </c>
      <c r="B931" s="5">
        <v>0.26946808510638298</v>
      </c>
      <c r="C931" s="5">
        <v>5.1807228915662647E-2</v>
      </c>
      <c r="D931" s="5">
        <v>0.21</v>
      </c>
      <c r="E931" s="5">
        <v>1.8083462132921169E-2</v>
      </c>
      <c r="F931" s="2" t="s">
        <v>1845</v>
      </c>
      <c r="G931" s="2" t="s">
        <v>1846</v>
      </c>
    </row>
    <row r="932" spans="1:7" ht="135" x14ac:dyDescent="0.25">
      <c r="A932" s="4">
        <v>931</v>
      </c>
      <c r="B932" s="5">
        <v>0.20851063829787231</v>
      </c>
      <c r="C932" s="5">
        <v>0.1746987951807229</v>
      </c>
      <c r="D932" s="5">
        <v>8.3000000000000004E-2</v>
      </c>
      <c r="E932" s="5">
        <v>2.4574961360123649E-2</v>
      </c>
      <c r="F932" s="2" t="s">
        <v>1847</v>
      </c>
      <c r="G932" s="2" t="s">
        <v>1848</v>
      </c>
    </row>
    <row r="933" spans="1:7" ht="120" x14ac:dyDescent="0.25">
      <c r="A933" s="4">
        <v>932</v>
      </c>
      <c r="B933" s="5">
        <v>0.63829787234042556</v>
      </c>
      <c r="C933" s="5">
        <v>0.16867469879518071</v>
      </c>
      <c r="D933" s="5">
        <v>0.41699999999999998</v>
      </c>
      <c r="E933" s="5">
        <v>6.4914992272024727E-2</v>
      </c>
      <c r="F933" s="2" t="s">
        <v>1849</v>
      </c>
      <c r="G933" s="2" t="s">
        <v>1850</v>
      </c>
    </row>
    <row r="934" spans="1:7" ht="210" x14ac:dyDescent="0.25">
      <c r="A934" s="4">
        <v>933</v>
      </c>
      <c r="B934" s="5">
        <v>0.41170212765957448</v>
      </c>
      <c r="C934" s="5">
        <v>6.3855421686746988E-2</v>
      </c>
      <c r="D934" s="5">
        <v>7.5999999999999998E-2</v>
      </c>
      <c r="E934" s="5">
        <v>0.1148377125193199</v>
      </c>
      <c r="F934" s="2" t="s">
        <v>1851</v>
      </c>
      <c r="G934" s="2" t="s">
        <v>1852</v>
      </c>
    </row>
    <row r="935" spans="1:7" ht="210" x14ac:dyDescent="0.25">
      <c r="A935" s="4">
        <v>934</v>
      </c>
      <c r="B935" s="5">
        <v>9.5744680851063829E-3</v>
      </c>
      <c r="C935" s="5">
        <v>2.5301204819277109E-2</v>
      </c>
      <c r="D935" s="5">
        <v>0.06</v>
      </c>
      <c r="E935" s="5">
        <v>1.097372488408037E-2</v>
      </c>
      <c r="F935" s="2" t="s">
        <v>1853</v>
      </c>
      <c r="G935" s="2" t="s">
        <v>1854</v>
      </c>
    </row>
    <row r="936" spans="1:7" ht="240" x14ac:dyDescent="0.25">
      <c r="A936" s="4">
        <v>935</v>
      </c>
      <c r="B936" s="5">
        <v>0.19893617021276599</v>
      </c>
      <c r="C936" s="5">
        <v>0.15662650602409639</v>
      </c>
      <c r="D936" s="5">
        <v>0.06</v>
      </c>
      <c r="E936" s="5">
        <v>3.4930448222565691E-2</v>
      </c>
      <c r="F936" s="2" t="s">
        <v>1855</v>
      </c>
      <c r="G936" s="2" t="s">
        <v>1856</v>
      </c>
    </row>
    <row r="937" spans="1:7" ht="180" x14ac:dyDescent="0.25">
      <c r="A937" s="4">
        <v>936</v>
      </c>
      <c r="B937" s="5">
        <v>0.4</v>
      </c>
      <c r="C937" s="5">
        <v>0.17951807228915659</v>
      </c>
      <c r="D937" s="5">
        <v>0.06</v>
      </c>
      <c r="E937" s="5">
        <v>0.1015455950540958</v>
      </c>
      <c r="F937" s="2" t="s">
        <v>1857</v>
      </c>
      <c r="G937" s="2" t="s">
        <v>1858</v>
      </c>
    </row>
    <row r="938" spans="1:7" ht="165" x14ac:dyDescent="0.25">
      <c r="A938" s="4">
        <v>937</v>
      </c>
      <c r="B938" s="5">
        <v>0.38648936170212772</v>
      </c>
      <c r="C938" s="5">
        <v>0.2325301204819277</v>
      </c>
      <c r="D938" s="5">
        <v>0.193</v>
      </c>
      <c r="E938" s="5">
        <v>6.2287480680061819E-2</v>
      </c>
      <c r="F938" s="2" t="s">
        <v>1859</v>
      </c>
      <c r="G938" s="2" t="s">
        <v>1860</v>
      </c>
    </row>
    <row r="939" spans="1:7" ht="270" x14ac:dyDescent="0.25">
      <c r="A939" s="4">
        <v>938</v>
      </c>
      <c r="B939" s="5">
        <v>0.30212765957446808</v>
      </c>
      <c r="C939" s="5">
        <v>0.1445783132530121</v>
      </c>
      <c r="D939" s="5">
        <v>0.14399999999999999</v>
      </c>
      <c r="E939" s="5">
        <v>2.1020092735703249E-2</v>
      </c>
      <c r="F939" s="2" t="s">
        <v>1861</v>
      </c>
      <c r="G939" s="2" t="s">
        <v>1862</v>
      </c>
    </row>
    <row r="940" spans="1:7" ht="165" x14ac:dyDescent="0.25">
      <c r="A940" s="4">
        <v>939</v>
      </c>
      <c r="B940" s="5">
        <v>0.32627659574468082</v>
      </c>
      <c r="C940" s="5">
        <v>0.108433734939759</v>
      </c>
      <c r="D940" s="5">
        <v>0.18</v>
      </c>
      <c r="E940" s="5">
        <v>4.1731066460587322E-2</v>
      </c>
      <c r="F940" s="2" t="s">
        <v>1863</v>
      </c>
      <c r="G940" s="2" t="s">
        <v>1864</v>
      </c>
    </row>
    <row r="941" spans="1:7" ht="135" x14ac:dyDescent="0.25">
      <c r="A941" s="4">
        <v>940</v>
      </c>
      <c r="B941" s="5">
        <v>0.37340425531914889</v>
      </c>
      <c r="C941" s="5">
        <v>0.13253012048192769</v>
      </c>
      <c r="D941" s="5">
        <v>5.2999999999999999E-2</v>
      </c>
      <c r="E941" s="5">
        <v>0.101854714064915</v>
      </c>
      <c r="F941" s="2" t="s">
        <v>1865</v>
      </c>
      <c r="G941" s="2" t="s">
        <v>1866</v>
      </c>
    </row>
    <row r="942" spans="1:7" ht="150" x14ac:dyDescent="0.25">
      <c r="A942" s="4">
        <v>941</v>
      </c>
      <c r="B942" s="5">
        <v>0.1404255319148936</v>
      </c>
      <c r="C942" s="5">
        <v>0.15301204819277109</v>
      </c>
      <c r="D942" s="5">
        <v>3.7999999999999999E-2</v>
      </c>
      <c r="E942" s="5">
        <v>2.117465224111283E-2</v>
      </c>
      <c r="F942" s="2" t="s">
        <v>1867</v>
      </c>
      <c r="G942" s="2" t="s">
        <v>1868</v>
      </c>
    </row>
    <row r="943" spans="1:7" ht="225" x14ac:dyDescent="0.25">
      <c r="A943" s="4">
        <v>942</v>
      </c>
      <c r="B943" s="5">
        <v>0.19893617021276599</v>
      </c>
      <c r="C943" s="5">
        <v>0.15662650602409639</v>
      </c>
      <c r="D943" s="5">
        <v>0.06</v>
      </c>
      <c r="E943" s="5">
        <v>3.4930448222565691E-2</v>
      </c>
      <c r="F943" s="2" t="s">
        <v>1869</v>
      </c>
      <c r="G943" s="2" t="s">
        <v>1870</v>
      </c>
    </row>
    <row r="944" spans="1:7" ht="225" x14ac:dyDescent="0.25">
      <c r="A944" s="4">
        <v>943</v>
      </c>
      <c r="B944" s="5">
        <v>0.39148936170212773</v>
      </c>
      <c r="C944" s="5">
        <v>8.1927710843373497E-2</v>
      </c>
      <c r="D944" s="5">
        <v>0.32</v>
      </c>
      <c r="E944" s="5">
        <v>2.0401854714064908E-2</v>
      </c>
      <c r="F944" s="2" t="s">
        <v>1871</v>
      </c>
      <c r="G944" s="2" t="s">
        <v>1870</v>
      </c>
    </row>
    <row r="945" spans="1:7" ht="135" x14ac:dyDescent="0.25">
      <c r="A945" s="4">
        <v>944</v>
      </c>
      <c r="B945" s="5">
        <v>0.34042553191489361</v>
      </c>
      <c r="C945" s="5">
        <v>8.7951807228915671E-2</v>
      </c>
      <c r="D945" s="5">
        <v>0.187</v>
      </c>
      <c r="E945" s="5">
        <v>4.7913446676970631E-2</v>
      </c>
      <c r="F945" s="2" t="s">
        <v>1872</v>
      </c>
      <c r="G945" s="2" t="s">
        <v>1873</v>
      </c>
    </row>
    <row r="946" spans="1:7" ht="315" x14ac:dyDescent="0.25">
      <c r="A946" s="4">
        <v>945</v>
      </c>
      <c r="B946" s="5">
        <v>4.2553191489361701E-2</v>
      </c>
      <c r="C946" s="5">
        <v>2.4096385542168679E-2</v>
      </c>
      <c r="D946" s="5">
        <v>0.02</v>
      </c>
      <c r="E946" s="5">
        <v>4.6367851622874804E-3</v>
      </c>
      <c r="F946" s="2" t="s">
        <v>1874</v>
      </c>
      <c r="G946" s="2" t="s">
        <v>1875</v>
      </c>
    </row>
    <row r="947" spans="1:7" ht="180" x14ac:dyDescent="0.25">
      <c r="A947" s="4">
        <v>946</v>
      </c>
      <c r="B947" s="5">
        <v>8.085106382978724E-2</v>
      </c>
      <c r="C947" s="5">
        <v>6.2650602409638559E-2</v>
      </c>
      <c r="D947" s="5">
        <v>1.7999999999999999E-2</v>
      </c>
      <c r="E947" s="5">
        <v>1.6383307573415759E-2</v>
      </c>
      <c r="F947" s="2" t="s">
        <v>1876</v>
      </c>
      <c r="G947" s="2" t="s">
        <v>1877</v>
      </c>
    </row>
    <row r="948" spans="1:7" ht="165" x14ac:dyDescent="0.25">
      <c r="A948" s="4">
        <v>947</v>
      </c>
      <c r="B948" s="5">
        <v>0.30702127659574469</v>
      </c>
      <c r="C948" s="5">
        <v>0.1</v>
      </c>
      <c r="D948" s="5">
        <v>8.900000000000001E-2</v>
      </c>
      <c r="E948" s="5">
        <v>6.846986089644512E-2</v>
      </c>
      <c r="F948" s="2" t="s">
        <v>1878</v>
      </c>
      <c r="G948" s="2" t="s">
        <v>1879</v>
      </c>
    </row>
    <row r="949" spans="1:7" ht="165" x14ac:dyDescent="0.25">
      <c r="A949" s="4">
        <v>948</v>
      </c>
      <c r="B949" s="5">
        <v>0.1223404255319149</v>
      </c>
      <c r="C949" s="5">
        <v>1.8072289156626509E-2</v>
      </c>
      <c r="D949" s="5">
        <v>0.06</v>
      </c>
      <c r="E949" s="5">
        <v>2.1638330757341579E-2</v>
      </c>
      <c r="F949" s="2" t="s">
        <v>1880</v>
      </c>
      <c r="G949" s="2" t="s">
        <v>1881</v>
      </c>
    </row>
    <row r="950" spans="1:7" ht="240" x14ac:dyDescent="0.25">
      <c r="A950" s="4">
        <v>949</v>
      </c>
      <c r="B950" s="5">
        <v>0.1180851063829787</v>
      </c>
      <c r="C950" s="5">
        <v>3.6144578313253009E-3</v>
      </c>
      <c r="D950" s="5">
        <v>2.7E-2</v>
      </c>
      <c r="E950" s="5">
        <v>3.2766615146831532E-2</v>
      </c>
      <c r="F950" s="2" t="s">
        <v>1882</v>
      </c>
      <c r="G950" s="2" t="s">
        <v>1883</v>
      </c>
    </row>
    <row r="951" spans="1:7" ht="120" x14ac:dyDescent="0.25">
      <c r="A951" s="4">
        <v>950</v>
      </c>
      <c r="B951" s="5">
        <v>1</v>
      </c>
      <c r="C951" s="5">
        <v>0.43373493975903621</v>
      </c>
      <c r="D951" s="5">
        <v>0.42</v>
      </c>
      <c r="E951" s="5">
        <v>0.160741885625966</v>
      </c>
      <c r="F951" s="2" t="s">
        <v>1884</v>
      </c>
      <c r="G951" s="2" t="s">
        <v>1885</v>
      </c>
    </row>
    <row r="952" spans="1:7" ht="165" x14ac:dyDescent="0.25">
      <c r="A952" s="4">
        <v>951</v>
      </c>
      <c r="B952" s="5">
        <v>0.12446808510638301</v>
      </c>
      <c r="C952" s="5">
        <v>0.16506024096385541</v>
      </c>
      <c r="D952" s="5">
        <v>0.05</v>
      </c>
      <c r="E952" s="5">
        <v>6.646058732612055E-3</v>
      </c>
      <c r="F952" s="2" t="s">
        <v>1886</v>
      </c>
      <c r="G952" s="2" t="s">
        <v>351</v>
      </c>
    </row>
    <row r="953" spans="1:7" ht="240" x14ac:dyDescent="0.25">
      <c r="A953" s="4">
        <v>952</v>
      </c>
      <c r="B953" s="5">
        <v>0.13297872340425529</v>
      </c>
      <c r="C953" s="5">
        <v>0.12530120481927709</v>
      </c>
      <c r="D953" s="5">
        <v>8.5999999999999993E-2</v>
      </c>
      <c r="E953" s="5">
        <v>1.236476043276662E-3</v>
      </c>
      <c r="F953" s="2" t="s">
        <v>1887</v>
      </c>
      <c r="G953" s="2" t="s">
        <v>1888</v>
      </c>
    </row>
    <row r="954" spans="1:7" ht="165" x14ac:dyDescent="0.25">
      <c r="A954" s="4">
        <v>953</v>
      </c>
      <c r="B954" s="5">
        <v>0.37340425531914889</v>
      </c>
      <c r="C954" s="5">
        <v>1.084337349397591E-2</v>
      </c>
      <c r="D954" s="5">
        <v>9.0000000000000011E-3</v>
      </c>
      <c r="E954" s="5">
        <v>0.1312210200927357</v>
      </c>
      <c r="F954" s="2" t="s">
        <v>1889</v>
      </c>
      <c r="G954" s="2" t="s">
        <v>1890</v>
      </c>
    </row>
    <row r="955" spans="1:7" ht="165" x14ac:dyDescent="0.25">
      <c r="A955" s="4">
        <v>954</v>
      </c>
      <c r="B955" s="5">
        <v>0.36382978723404258</v>
      </c>
      <c r="C955" s="5">
        <v>2.7710843373493971E-2</v>
      </c>
      <c r="D955" s="5">
        <v>1E-3</v>
      </c>
      <c r="E955" s="5">
        <v>0.12843894899536321</v>
      </c>
      <c r="F955" s="2" t="s">
        <v>1891</v>
      </c>
      <c r="G955" s="2" t="s">
        <v>1890</v>
      </c>
    </row>
    <row r="956" spans="1:7" ht="165" x14ac:dyDescent="0.25">
      <c r="A956" s="4">
        <v>955</v>
      </c>
      <c r="B956" s="5">
        <v>8.1914893617021284E-2</v>
      </c>
      <c r="C956" s="5">
        <v>4.2168674698795178E-2</v>
      </c>
      <c r="D956" s="5">
        <v>4.5999999999999999E-2</v>
      </c>
      <c r="E956" s="5">
        <v>8.3462132921174655E-3</v>
      </c>
      <c r="F956" s="2" t="s">
        <v>1892</v>
      </c>
      <c r="G956" s="2" t="s">
        <v>351</v>
      </c>
    </row>
    <row r="957" spans="1:7" ht="300" x14ac:dyDescent="0.25">
      <c r="A957" s="4">
        <v>956</v>
      </c>
      <c r="B957" s="5">
        <v>0.52553191489361706</v>
      </c>
      <c r="C957" s="5">
        <v>9.036144578313253E-2</v>
      </c>
      <c r="D957" s="5">
        <v>0.36399999999999999</v>
      </c>
      <c r="E957" s="5">
        <v>6.1978361669242657E-2</v>
      </c>
      <c r="F957" s="2" t="s">
        <v>1893</v>
      </c>
      <c r="G957" s="2" t="s">
        <v>1894</v>
      </c>
    </row>
    <row r="958" spans="1:7" ht="240" x14ac:dyDescent="0.25">
      <c r="A958" s="4">
        <v>957</v>
      </c>
      <c r="B958" s="5">
        <v>4.4680851063829789E-2</v>
      </c>
      <c r="C958" s="5">
        <v>3.6144578313253009E-3</v>
      </c>
      <c r="D958" s="5">
        <v>2E-3</v>
      </c>
      <c r="E958" s="5">
        <v>1.6846986089644508E-2</v>
      </c>
      <c r="F958" s="2" t="s">
        <v>1895</v>
      </c>
      <c r="G958" s="2" t="s">
        <v>1896</v>
      </c>
    </row>
    <row r="959" spans="1:7" ht="270" x14ac:dyDescent="0.25">
      <c r="A959" s="4">
        <v>958</v>
      </c>
      <c r="B959" s="5">
        <v>0.48936170212765961</v>
      </c>
      <c r="C959" s="5">
        <v>0.34337349397590361</v>
      </c>
      <c r="D959" s="5">
        <v>0.35199999999999998</v>
      </c>
      <c r="E959" s="5">
        <v>1.1128284389489949E-2</v>
      </c>
      <c r="F959" s="2" t="s">
        <v>1897</v>
      </c>
      <c r="G959" s="2" t="s">
        <v>1898</v>
      </c>
    </row>
    <row r="960" spans="1:7" ht="210" x14ac:dyDescent="0.25">
      <c r="A960" s="4">
        <v>959</v>
      </c>
      <c r="B960" s="5">
        <v>0.14234042553191489</v>
      </c>
      <c r="C960" s="5">
        <v>3.6144578313253017E-2</v>
      </c>
      <c r="D960" s="5">
        <v>1.6E-2</v>
      </c>
      <c r="E960" s="5">
        <v>4.1731066460587322E-2</v>
      </c>
      <c r="F960" s="2" t="s">
        <v>1899</v>
      </c>
      <c r="G960" s="2" t="s">
        <v>1900</v>
      </c>
    </row>
    <row r="961" spans="1:7" ht="330" x14ac:dyDescent="0.25">
      <c r="A961" s="4">
        <v>960</v>
      </c>
      <c r="B961" s="5">
        <v>6.4893617021276592E-2</v>
      </c>
      <c r="C961" s="5">
        <v>2.4096385542168681E-3</v>
      </c>
      <c r="D961" s="5">
        <v>1E-3</v>
      </c>
      <c r="E961" s="5">
        <v>2.302936630602782E-2</v>
      </c>
      <c r="F961" s="2" t="s">
        <v>1901</v>
      </c>
      <c r="G961" s="2" t="s">
        <v>1902</v>
      </c>
    </row>
    <row r="962" spans="1:7" ht="360" x14ac:dyDescent="0.25">
      <c r="A962" s="4">
        <v>961</v>
      </c>
      <c r="B962" s="5">
        <v>9.2553191489361697E-2</v>
      </c>
      <c r="C962" s="5">
        <v>0.12650602409638559</v>
      </c>
      <c r="D962" s="5">
        <v>2.5000000000000001E-2</v>
      </c>
      <c r="E962" s="5">
        <v>8.5007727975270481E-3</v>
      </c>
      <c r="F962" s="2" t="s">
        <v>1903</v>
      </c>
      <c r="G962" s="2" t="s">
        <v>1904</v>
      </c>
    </row>
    <row r="963" spans="1:7" ht="409.5" x14ac:dyDescent="0.25">
      <c r="A963" s="4">
        <v>962</v>
      </c>
      <c r="B963" s="5">
        <v>3.085106382978723E-2</v>
      </c>
      <c r="C963" s="5">
        <v>1.3253012048192771E-2</v>
      </c>
      <c r="D963" s="5">
        <v>3.0000000000000001E-3</v>
      </c>
      <c r="E963" s="5">
        <v>1.0200927357032459E-2</v>
      </c>
      <c r="F963" s="2" t="s">
        <v>1905</v>
      </c>
      <c r="G963" s="2" t="s">
        <v>1906</v>
      </c>
    </row>
    <row r="964" spans="1:7" ht="285" x14ac:dyDescent="0.25">
      <c r="A964" s="4">
        <v>963</v>
      </c>
      <c r="B964" s="5">
        <v>1.7021276595744681E-2</v>
      </c>
      <c r="C964" s="5">
        <v>9.6385542168674707E-3</v>
      </c>
      <c r="D964" s="5">
        <v>2E-3</v>
      </c>
      <c r="E964" s="5">
        <v>5.2550231839258114E-3</v>
      </c>
      <c r="F964" s="2" t="s">
        <v>1907</v>
      </c>
      <c r="G964" s="2" t="s">
        <v>1908</v>
      </c>
    </row>
    <row r="965" spans="1:7" ht="285" x14ac:dyDescent="0.25">
      <c r="A965" s="4">
        <v>964</v>
      </c>
      <c r="B965" s="5">
        <v>2.021276595744681E-2</v>
      </c>
      <c r="C965" s="5">
        <v>1.204819277108434E-2</v>
      </c>
      <c r="D965" s="5">
        <v>4.0000000000000001E-3</v>
      </c>
      <c r="E965" s="5">
        <v>5.5641421947449756E-3</v>
      </c>
      <c r="F965" s="2" t="s">
        <v>1909</v>
      </c>
      <c r="G965" s="2" t="s">
        <v>1910</v>
      </c>
    </row>
    <row r="966" spans="1:7" ht="150" x14ac:dyDescent="0.25">
      <c r="A966" s="4">
        <v>965</v>
      </c>
      <c r="B966" s="5">
        <v>0.32659574468085112</v>
      </c>
      <c r="C966" s="5">
        <v>5.4216867469879519E-2</v>
      </c>
      <c r="D966" s="5">
        <v>0.13300000000000001</v>
      </c>
      <c r="E966" s="5">
        <v>6.553323029366305E-2</v>
      </c>
      <c r="F966" s="2" t="s">
        <v>1911</v>
      </c>
      <c r="G966" s="2" t="s">
        <v>1912</v>
      </c>
    </row>
    <row r="967" spans="1:7" ht="345" x14ac:dyDescent="0.25">
      <c r="A967" s="4">
        <v>966</v>
      </c>
      <c r="B967" s="5">
        <v>0.3851063829787234</v>
      </c>
      <c r="C967" s="5">
        <v>6.024096385542169E-3</v>
      </c>
      <c r="D967" s="5">
        <v>3.0000000000000001E-3</v>
      </c>
      <c r="E967" s="5">
        <v>0.1343122102009274</v>
      </c>
      <c r="F967" s="2" t="s">
        <v>1913</v>
      </c>
      <c r="G967" s="2" t="s">
        <v>1914</v>
      </c>
    </row>
    <row r="968" spans="1:7" ht="255" x14ac:dyDescent="0.25">
      <c r="A968" s="4">
        <v>967</v>
      </c>
      <c r="B968" s="5">
        <v>2.4468085106382979E-2</v>
      </c>
      <c r="C968" s="5">
        <v>2.168674698795181E-2</v>
      </c>
      <c r="D968" s="5">
        <v>3.0000000000000001E-3</v>
      </c>
      <c r="E968" s="5">
        <v>6.955177743431221E-3</v>
      </c>
      <c r="F968" s="2" t="s">
        <v>1915</v>
      </c>
      <c r="G968" s="2" t="s">
        <v>1916</v>
      </c>
    </row>
    <row r="969" spans="1:7" ht="135" x14ac:dyDescent="0.25">
      <c r="A969" s="4">
        <v>968</v>
      </c>
      <c r="B969" s="5">
        <v>0.1659574468085106</v>
      </c>
      <c r="C969" s="5">
        <v>0.33734939759036148</v>
      </c>
      <c r="D969" s="5">
        <v>0.04</v>
      </c>
      <c r="E969" s="5">
        <v>0</v>
      </c>
      <c r="F969" s="2" t="s">
        <v>1917</v>
      </c>
      <c r="G969" s="2" t="s">
        <v>1918</v>
      </c>
    </row>
    <row r="970" spans="1:7" ht="225" x14ac:dyDescent="0.25">
      <c r="A970" s="4">
        <v>969</v>
      </c>
      <c r="B970" s="5">
        <v>7.9787234042553196E-2</v>
      </c>
      <c r="C970" s="5">
        <v>3.012048192771084E-2</v>
      </c>
      <c r="D970" s="5">
        <v>2.8000000000000001E-2</v>
      </c>
      <c r="E970" s="5">
        <v>1.5455950540958271E-2</v>
      </c>
      <c r="F970" s="2" t="s">
        <v>1919</v>
      </c>
      <c r="G970" s="2" t="s">
        <v>1920</v>
      </c>
    </row>
    <row r="971" spans="1:7" ht="180" x14ac:dyDescent="0.25">
      <c r="A971" s="4">
        <v>970</v>
      </c>
      <c r="B971" s="5">
        <v>0.23297872340425529</v>
      </c>
      <c r="C971" s="5">
        <v>0.23734939759036139</v>
      </c>
      <c r="D971" s="5">
        <v>0.13600000000000001</v>
      </c>
      <c r="E971" s="5">
        <v>6.8006182380216376E-3</v>
      </c>
      <c r="F971" s="2" t="s">
        <v>1921</v>
      </c>
      <c r="G971" s="2" t="s">
        <v>1922</v>
      </c>
    </row>
    <row r="972" spans="1:7" ht="240" x14ac:dyDescent="0.25">
      <c r="A972" s="4">
        <v>971</v>
      </c>
      <c r="B972" s="5">
        <v>0.17234042553191489</v>
      </c>
      <c r="C972" s="5">
        <v>5.9036144578313257E-2</v>
      </c>
      <c r="D972" s="5">
        <v>0.03</v>
      </c>
      <c r="E972" s="5">
        <v>4.296754250386399E-2</v>
      </c>
      <c r="F972" s="2" t="s">
        <v>1923</v>
      </c>
      <c r="G972" s="2" t="s">
        <v>1924</v>
      </c>
    </row>
    <row r="973" spans="1:7" ht="210" x14ac:dyDescent="0.25">
      <c r="A973" s="4">
        <v>972</v>
      </c>
      <c r="B973" s="5">
        <v>0.1659574468085106</v>
      </c>
      <c r="C973" s="5">
        <v>5.0602409638554217E-2</v>
      </c>
      <c r="D973" s="5">
        <v>1.4E-2</v>
      </c>
      <c r="E973" s="5">
        <v>4.8840803709428129E-2</v>
      </c>
      <c r="F973" s="2" t="s">
        <v>1925</v>
      </c>
      <c r="G973" s="2" t="s">
        <v>1926</v>
      </c>
    </row>
    <row r="974" spans="1:7" ht="135" x14ac:dyDescent="0.25">
      <c r="A974" s="4">
        <v>973</v>
      </c>
      <c r="B974" s="5">
        <v>0.16170212765957451</v>
      </c>
      <c r="C974" s="5">
        <v>5.4216867469879519E-2</v>
      </c>
      <c r="D974" s="5">
        <v>2.3E-2</v>
      </c>
      <c r="E974" s="5">
        <v>4.358578052550232E-2</v>
      </c>
      <c r="F974" s="2" t="s">
        <v>1927</v>
      </c>
      <c r="G974" s="2" t="s">
        <v>1928</v>
      </c>
    </row>
    <row r="975" spans="1:7" ht="180" x14ac:dyDescent="0.25">
      <c r="A975" s="4">
        <v>974</v>
      </c>
      <c r="B975" s="5">
        <v>0.224468085106383</v>
      </c>
      <c r="C975" s="5">
        <v>0.1481927710843374</v>
      </c>
      <c r="D975" s="5">
        <v>6.0999999999999999E-2</v>
      </c>
      <c r="E975" s="5">
        <v>4.1112828438948999E-2</v>
      </c>
      <c r="F975" s="2" t="s">
        <v>1929</v>
      </c>
      <c r="G975" s="2" t="s">
        <v>1930</v>
      </c>
    </row>
    <row r="976" spans="1:7" ht="330" x14ac:dyDescent="0.25">
      <c r="A976" s="4">
        <v>975</v>
      </c>
      <c r="B976" s="5">
        <v>0.25851063829787241</v>
      </c>
      <c r="C976" s="5">
        <v>6.2650602409638559E-2</v>
      </c>
      <c r="D976" s="5">
        <v>7.2999999999999995E-2</v>
      </c>
      <c r="E976" s="5">
        <v>6.0432766615146842E-2</v>
      </c>
      <c r="F976" s="2" t="s">
        <v>1931</v>
      </c>
      <c r="G976" s="2" t="s">
        <v>1932</v>
      </c>
    </row>
    <row r="977" spans="1:7" ht="210" x14ac:dyDescent="0.25">
      <c r="A977" s="4">
        <v>976</v>
      </c>
      <c r="B977" s="5">
        <v>0.18404255319148941</v>
      </c>
      <c r="C977" s="5">
        <v>8.6746987951807242E-2</v>
      </c>
      <c r="D977" s="5">
        <v>1.2E-2</v>
      </c>
      <c r="E977" s="5">
        <v>5.1622874806800612E-2</v>
      </c>
      <c r="F977" s="2" t="s">
        <v>1933</v>
      </c>
      <c r="G977" s="2" t="s">
        <v>1934</v>
      </c>
    </row>
    <row r="978" spans="1:7" ht="210" x14ac:dyDescent="0.25">
      <c r="A978" s="4">
        <v>977</v>
      </c>
      <c r="B978" s="5">
        <v>0.39574468085106379</v>
      </c>
      <c r="C978" s="5">
        <v>9.3975903614457831E-2</v>
      </c>
      <c r="D978" s="5">
        <v>0.36299999999999999</v>
      </c>
      <c r="E978" s="5">
        <v>5.4095826893353939E-3</v>
      </c>
      <c r="F978" s="2" t="s">
        <v>1935</v>
      </c>
      <c r="G978" s="2" t="s">
        <v>1936</v>
      </c>
    </row>
    <row r="979" spans="1:7" ht="195" x14ac:dyDescent="0.25">
      <c r="A979" s="4">
        <v>978</v>
      </c>
      <c r="B979" s="5">
        <v>0.18510638297872339</v>
      </c>
      <c r="C979" s="5">
        <v>0.15783132530120481</v>
      </c>
      <c r="D979" s="5">
        <v>0.122</v>
      </c>
      <c r="E979" s="5">
        <v>3.4003091190108188E-3</v>
      </c>
      <c r="F979" s="2" t="s">
        <v>1937</v>
      </c>
      <c r="G979" s="2" t="s">
        <v>1938</v>
      </c>
    </row>
    <row r="980" spans="1:7" ht="120" x14ac:dyDescent="0.25">
      <c r="A980" s="4">
        <v>979</v>
      </c>
      <c r="B980" s="5">
        <v>2.021276595744681E-2</v>
      </c>
      <c r="C980" s="5">
        <v>7.2289156626506026E-3</v>
      </c>
      <c r="D980" s="5">
        <v>1E-3</v>
      </c>
      <c r="E980" s="5">
        <v>6.0278207109737249E-3</v>
      </c>
      <c r="F980" s="2" t="s">
        <v>1939</v>
      </c>
      <c r="G980" s="2" t="s">
        <v>1940</v>
      </c>
    </row>
    <row r="981" spans="1:7" ht="240" x14ac:dyDescent="0.25">
      <c r="A981" s="4">
        <v>980</v>
      </c>
      <c r="B981" s="5">
        <v>0.29255319148936171</v>
      </c>
      <c r="C981" s="5">
        <v>0.1397590361445783</v>
      </c>
      <c r="D981" s="5">
        <v>0.11600000000000001</v>
      </c>
      <c r="E981" s="5">
        <v>4.667697063369397E-2</v>
      </c>
      <c r="F981" s="2" t="s">
        <v>1941</v>
      </c>
      <c r="G981" s="2" t="s">
        <v>1942</v>
      </c>
    </row>
    <row r="982" spans="1:7" ht="135" x14ac:dyDescent="0.25">
      <c r="A982" s="4">
        <v>981</v>
      </c>
      <c r="B982" s="5">
        <v>2.7659574468085112E-2</v>
      </c>
      <c r="C982" s="5">
        <v>2.5301204819277109E-2</v>
      </c>
      <c r="D982" s="5">
        <v>1E-3</v>
      </c>
      <c r="E982" s="5">
        <v>7.573415765069552E-3</v>
      </c>
      <c r="F982" s="2" t="s">
        <v>1943</v>
      </c>
      <c r="G982" s="2" t="s">
        <v>1944</v>
      </c>
    </row>
    <row r="983" spans="1:7" ht="240" x14ac:dyDescent="0.25">
      <c r="A983" s="4">
        <v>982</v>
      </c>
      <c r="B983" s="5">
        <v>4.8936170212765959E-2</v>
      </c>
      <c r="C983" s="5">
        <v>6.024096385542169E-3</v>
      </c>
      <c r="D983" s="5">
        <v>0.12</v>
      </c>
      <c r="E983" s="5">
        <v>1.885625965996909E-2</v>
      </c>
      <c r="F983" s="2" t="s">
        <v>1945</v>
      </c>
      <c r="G983" s="2" t="s">
        <v>1946</v>
      </c>
    </row>
    <row r="984" spans="1:7" ht="135" x14ac:dyDescent="0.25">
      <c r="A984" s="4">
        <v>983</v>
      </c>
      <c r="B984" s="5">
        <v>8.085106382978724E-2</v>
      </c>
      <c r="C984" s="5">
        <v>6.2650602409638559E-2</v>
      </c>
      <c r="D984" s="5">
        <v>1.7999999999999999E-2</v>
      </c>
      <c r="E984" s="5">
        <v>1.6383307573415759E-2</v>
      </c>
      <c r="F984" s="2" t="s">
        <v>1947</v>
      </c>
      <c r="G984" s="2" t="s">
        <v>1948</v>
      </c>
    </row>
    <row r="985" spans="1:7" ht="409.5" x14ac:dyDescent="0.25">
      <c r="A985" s="4">
        <v>984</v>
      </c>
      <c r="B985" s="5">
        <v>0.42553191489361702</v>
      </c>
      <c r="C985" s="5">
        <v>0</v>
      </c>
      <c r="D985" s="5">
        <v>0</v>
      </c>
      <c r="E985" s="5">
        <v>0.14683153013910349</v>
      </c>
      <c r="F985" s="2" t="s">
        <v>1949</v>
      </c>
      <c r="G985" s="2" t="s">
        <v>1950</v>
      </c>
    </row>
    <row r="986" spans="1:7" ht="225" x14ac:dyDescent="0.25">
      <c r="A986" s="4">
        <v>985</v>
      </c>
      <c r="B986" s="5">
        <v>0.15106382978723401</v>
      </c>
      <c r="C986" s="5">
        <v>0.12530120481927709</v>
      </c>
      <c r="D986" s="5">
        <v>0.02</v>
      </c>
      <c r="E986" s="5">
        <v>3.4003091190108192E-2</v>
      </c>
      <c r="F986" s="2" t="s">
        <v>1951</v>
      </c>
      <c r="G986" s="2" t="s">
        <v>1952</v>
      </c>
    </row>
    <row r="987" spans="1:7" ht="240" x14ac:dyDescent="0.25">
      <c r="A987" s="4">
        <v>986</v>
      </c>
      <c r="B987" s="5">
        <v>5.3191489361702128E-2</v>
      </c>
      <c r="C987" s="5">
        <v>4.457831325301205E-2</v>
      </c>
      <c r="D987" s="5">
        <v>0.01</v>
      </c>
      <c r="E987" s="5">
        <v>1.391035548686244E-2</v>
      </c>
      <c r="F987" s="2" t="s">
        <v>1953</v>
      </c>
      <c r="G987" s="2" t="s">
        <v>1954</v>
      </c>
    </row>
    <row r="988" spans="1:7" ht="225" x14ac:dyDescent="0.25">
      <c r="A988" s="4">
        <v>987</v>
      </c>
      <c r="B988" s="5">
        <v>0.17127659574468079</v>
      </c>
      <c r="C988" s="5">
        <v>0.24096385542168669</v>
      </c>
      <c r="D988" s="5">
        <v>2E-3</v>
      </c>
      <c r="E988" s="5">
        <v>3.7094281298299843E-2</v>
      </c>
      <c r="F988" s="2" t="s">
        <v>1955</v>
      </c>
      <c r="G988" s="2" t="s">
        <v>1956</v>
      </c>
    </row>
    <row r="989" spans="1:7" ht="210" x14ac:dyDescent="0.25">
      <c r="A989" s="4">
        <v>988</v>
      </c>
      <c r="B989" s="5">
        <v>0.23404255319148939</v>
      </c>
      <c r="C989" s="5">
        <v>0.18072289156626509</v>
      </c>
      <c r="D989" s="5">
        <v>1E-3</v>
      </c>
      <c r="E989" s="5">
        <v>6.1823802163833083E-2</v>
      </c>
      <c r="F989" s="2" t="s">
        <v>1957</v>
      </c>
      <c r="G989" s="2" t="s">
        <v>1958</v>
      </c>
    </row>
    <row r="990" spans="1:7" ht="195" x14ac:dyDescent="0.25">
      <c r="A990" s="4">
        <v>989</v>
      </c>
      <c r="B990" s="5">
        <v>0.36702127659574468</v>
      </c>
      <c r="C990" s="5">
        <v>0.28674698795180731</v>
      </c>
      <c r="D990" s="5">
        <v>1.4E-2</v>
      </c>
      <c r="E990" s="5">
        <v>9.1653786707882531E-2</v>
      </c>
      <c r="F990" s="2" t="s">
        <v>1959</v>
      </c>
      <c r="G990" s="2" t="s">
        <v>1960</v>
      </c>
    </row>
    <row r="991" spans="1:7" ht="120" x14ac:dyDescent="0.25">
      <c r="A991" s="4">
        <v>990</v>
      </c>
      <c r="B991" s="5">
        <v>0.23404255319148939</v>
      </c>
      <c r="C991" s="5">
        <v>0.18072289156626509</v>
      </c>
      <c r="D991" s="5">
        <v>9.0000000000000011E-3</v>
      </c>
      <c r="E991" s="5">
        <v>5.8732612055641419E-2</v>
      </c>
      <c r="F991" s="2" t="s">
        <v>1961</v>
      </c>
      <c r="G991" s="2" t="s">
        <v>1962</v>
      </c>
    </row>
    <row r="992" spans="1:7" ht="240" x14ac:dyDescent="0.25">
      <c r="A992" s="4">
        <v>991</v>
      </c>
      <c r="B992" s="5">
        <v>0.54680851063829783</v>
      </c>
      <c r="C992" s="5">
        <v>1.204819277108434E-2</v>
      </c>
      <c r="D992" s="5">
        <v>0.27800000000000002</v>
      </c>
      <c r="E992" s="5">
        <v>1</v>
      </c>
      <c r="F992" s="2" t="s">
        <v>1963</v>
      </c>
      <c r="G992" s="2" t="s">
        <v>1964</v>
      </c>
    </row>
    <row r="993" spans="1:7" ht="180" x14ac:dyDescent="0.25">
      <c r="A993" s="4">
        <v>992</v>
      </c>
      <c r="B993" s="5">
        <v>0.11382978723404261</v>
      </c>
      <c r="C993" s="5">
        <v>0.19156626506024099</v>
      </c>
      <c r="D993" s="5">
        <v>6.0000000000000001E-3</v>
      </c>
      <c r="E993" s="5">
        <v>6.1823802163833079E-4</v>
      </c>
      <c r="F993" s="2" t="s">
        <v>1965</v>
      </c>
      <c r="G993" s="2" t="s">
        <v>1966</v>
      </c>
    </row>
    <row r="994" spans="1:7" ht="270" x14ac:dyDescent="0.25">
      <c r="A994" s="4">
        <v>993</v>
      </c>
      <c r="B994" s="5">
        <v>0.1670212765957447</v>
      </c>
      <c r="C994" s="5">
        <v>0.33734939759036148</v>
      </c>
      <c r="D994" s="5">
        <v>4.2000000000000003E-2</v>
      </c>
      <c r="E994" s="5">
        <v>0</v>
      </c>
      <c r="F994" s="2" t="s">
        <v>1967</v>
      </c>
      <c r="G994" s="2" t="s">
        <v>1968</v>
      </c>
    </row>
    <row r="995" spans="1:7" ht="270" x14ac:dyDescent="0.25">
      <c r="A995" s="4">
        <v>994</v>
      </c>
      <c r="B995" s="5">
        <v>0.18085106382978719</v>
      </c>
      <c r="C995" s="5">
        <v>0.37349397590361449</v>
      </c>
      <c r="D995" s="5">
        <v>4.2000000000000003E-2</v>
      </c>
      <c r="E995" s="5">
        <v>0</v>
      </c>
      <c r="F995" s="2" t="s">
        <v>1969</v>
      </c>
      <c r="G995" s="2" t="s">
        <v>1970</v>
      </c>
    </row>
    <row r="996" spans="1:7" ht="150" x14ac:dyDescent="0.25">
      <c r="A996" s="4">
        <v>995</v>
      </c>
      <c r="B996" s="5">
        <v>0.1627659574468085</v>
      </c>
      <c r="C996" s="5">
        <v>0.36144578313253012</v>
      </c>
      <c r="D996" s="5">
        <v>2.8000000000000001E-2</v>
      </c>
      <c r="E996" s="5">
        <v>0</v>
      </c>
      <c r="F996" s="2" t="s">
        <v>1971</v>
      </c>
      <c r="G996" s="2" t="s">
        <v>1972</v>
      </c>
    </row>
    <row r="997" spans="1:7" ht="240" x14ac:dyDescent="0.25">
      <c r="A997" s="4">
        <v>996</v>
      </c>
      <c r="B997" s="5">
        <v>0.15106382978723401</v>
      </c>
      <c r="C997" s="5">
        <v>0.3253012048192771</v>
      </c>
      <c r="D997" s="5">
        <v>0.03</v>
      </c>
      <c r="E997" s="5">
        <v>0</v>
      </c>
      <c r="F997" s="2" t="s">
        <v>1973</v>
      </c>
      <c r="G997" s="2" t="s">
        <v>1974</v>
      </c>
    </row>
    <row r="998" spans="1:7" ht="105" x14ac:dyDescent="0.25">
      <c r="A998" s="4">
        <v>997</v>
      </c>
      <c r="B998" s="5">
        <v>0.1319148936170213</v>
      </c>
      <c r="C998" s="5">
        <v>0.1144578313253012</v>
      </c>
      <c r="D998" s="5">
        <v>9.6000000000000002E-2</v>
      </c>
      <c r="E998" s="5">
        <v>0</v>
      </c>
      <c r="F998" s="2" t="s">
        <v>1975</v>
      </c>
      <c r="G998" s="2" t="s">
        <v>1976</v>
      </c>
    </row>
    <row r="999" spans="1:7" ht="105" x14ac:dyDescent="0.25">
      <c r="A999" s="4">
        <v>998</v>
      </c>
      <c r="B999" s="5">
        <v>0.1053191489361702</v>
      </c>
      <c r="C999" s="5">
        <v>1.445783132530121E-2</v>
      </c>
      <c r="D999" s="5">
        <v>2E-3</v>
      </c>
      <c r="E999" s="5">
        <v>3.9876352395672332E-2</v>
      </c>
      <c r="F999" s="2" t="s">
        <v>1977</v>
      </c>
      <c r="G999" s="2" t="s">
        <v>1978</v>
      </c>
    </row>
    <row r="1000" spans="1:7" ht="225" x14ac:dyDescent="0.25">
      <c r="A1000" s="4">
        <v>999</v>
      </c>
      <c r="B1000" s="5">
        <v>7.2340425531914901E-2</v>
      </c>
      <c r="C1000" s="5">
        <v>1.566265060240964E-2</v>
      </c>
      <c r="D1000" s="5">
        <v>2E-3</v>
      </c>
      <c r="E1000" s="5">
        <v>2.658423493044822E-2</v>
      </c>
      <c r="F1000" s="2" t="s">
        <v>1979</v>
      </c>
      <c r="G1000" s="2" t="s">
        <v>1980</v>
      </c>
    </row>
    <row r="1001" spans="1:7" ht="255" x14ac:dyDescent="0.25">
      <c r="A1001" s="4">
        <v>1000</v>
      </c>
      <c r="B1001" s="5">
        <v>0.1276595744680851</v>
      </c>
      <c r="C1001" s="5">
        <v>1.3253012048192771E-2</v>
      </c>
      <c r="D1001" s="5">
        <v>2E-3</v>
      </c>
      <c r="E1001" s="5">
        <v>4.1421947449768161E-2</v>
      </c>
      <c r="F1001" s="2" t="s">
        <v>1981</v>
      </c>
      <c r="G1001" s="2" t="s">
        <v>1982</v>
      </c>
    </row>
    <row r="1002" spans="1:7" ht="195" x14ac:dyDescent="0.25">
      <c r="A1002" s="4">
        <v>1001</v>
      </c>
      <c r="B1002" s="5">
        <v>0.1351063829787234</v>
      </c>
      <c r="C1002" s="5">
        <v>2.5301204819277109E-2</v>
      </c>
      <c r="D1002" s="5">
        <v>3.0000000000000001E-3</v>
      </c>
      <c r="E1002" s="5">
        <v>4.8068006182380218E-2</v>
      </c>
      <c r="F1002" s="2" t="s">
        <v>1983</v>
      </c>
      <c r="G1002" s="2" t="s">
        <v>1984</v>
      </c>
    </row>
    <row r="1003" spans="1:7" ht="210" x14ac:dyDescent="0.25">
      <c r="A1003" s="4">
        <v>1002</v>
      </c>
      <c r="B1003" s="5">
        <v>0.23404255319148939</v>
      </c>
      <c r="C1003" s="5">
        <v>2.7710843373493971E-2</v>
      </c>
      <c r="D1003" s="5">
        <v>2.3E-2</v>
      </c>
      <c r="E1003" s="5">
        <v>9.7372488408037083E-3</v>
      </c>
      <c r="F1003" s="2" t="s">
        <v>1985</v>
      </c>
      <c r="G1003" s="2" t="s">
        <v>1986</v>
      </c>
    </row>
    <row r="1004" spans="1:7" ht="120" x14ac:dyDescent="0.25">
      <c r="A1004" s="4">
        <v>1003</v>
      </c>
      <c r="B1004" s="5">
        <v>0.1223404255319149</v>
      </c>
      <c r="C1004" s="5">
        <v>2.289156626506024E-2</v>
      </c>
      <c r="D1004" s="5">
        <v>2E-3</v>
      </c>
      <c r="E1004" s="5">
        <v>4.312210200927357E-2</v>
      </c>
      <c r="F1004" s="2" t="s">
        <v>1987</v>
      </c>
      <c r="G1004" s="2" t="s">
        <v>1988</v>
      </c>
    </row>
    <row r="1005" spans="1:7" ht="135" x14ac:dyDescent="0.25">
      <c r="A1005" s="4">
        <v>1004</v>
      </c>
      <c r="B1005" s="5">
        <v>0.12446808510638301</v>
      </c>
      <c r="C1005" s="5">
        <v>2.4096385542168679E-2</v>
      </c>
      <c r="D1005" s="5">
        <v>3.0000000000000001E-3</v>
      </c>
      <c r="E1005" s="5">
        <v>4.4667697063369392E-2</v>
      </c>
      <c r="F1005" s="2" t="s">
        <v>1989</v>
      </c>
      <c r="G1005" s="2" t="s">
        <v>1990</v>
      </c>
    </row>
    <row r="1006" spans="1:7" ht="225" x14ac:dyDescent="0.25">
      <c r="A1006" s="4">
        <v>1005</v>
      </c>
      <c r="B1006" s="5">
        <v>0.1063829787234043</v>
      </c>
      <c r="C1006" s="5">
        <v>1.6867469879518069E-2</v>
      </c>
      <c r="D1006" s="5">
        <v>5.0000000000000001E-3</v>
      </c>
      <c r="E1006" s="5">
        <v>3.6476043276661513E-2</v>
      </c>
      <c r="F1006" s="2" t="s">
        <v>1991</v>
      </c>
      <c r="G1006" s="2" t="s">
        <v>1992</v>
      </c>
    </row>
    <row r="1007" spans="1:7" ht="135" x14ac:dyDescent="0.25">
      <c r="A1007" s="4">
        <v>1006</v>
      </c>
      <c r="B1007" s="5">
        <v>0.1159574468085106</v>
      </c>
      <c r="C1007" s="5">
        <v>9.6385542168674707E-3</v>
      </c>
      <c r="D1007" s="5">
        <v>5.0000000000000001E-3</v>
      </c>
      <c r="E1007" s="5">
        <v>4.064914992272025E-2</v>
      </c>
      <c r="F1007" s="2" t="s">
        <v>1993</v>
      </c>
      <c r="G1007" s="2" t="s">
        <v>1994</v>
      </c>
    </row>
    <row r="1008" spans="1:7" ht="195" x14ac:dyDescent="0.25">
      <c r="A1008" s="4">
        <v>1007</v>
      </c>
      <c r="B1008" s="5">
        <v>0.1542553191489362</v>
      </c>
      <c r="C1008" s="5">
        <v>1.3253012048192771E-2</v>
      </c>
      <c r="D1008" s="5">
        <v>3.0000000000000001E-3</v>
      </c>
      <c r="E1008" s="5">
        <v>5.3323029366306028E-2</v>
      </c>
      <c r="F1008" s="2" t="s">
        <v>1995</v>
      </c>
      <c r="G1008" s="2" t="s">
        <v>1996</v>
      </c>
    </row>
    <row r="1009" spans="1:7" ht="255" x14ac:dyDescent="0.25">
      <c r="A1009" s="4">
        <v>1008</v>
      </c>
      <c r="B1009" s="5">
        <v>0.10212765957446809</v>
      </c>
      <c r="C1009" s="5">
        <v>1.204819277108434E-2</v>
      </c>
      <c r="D1009" s="5">
        <v>2E-3</v>
      </c>
      <c r="E1009" s="5">
        <v>3.4775888717156103E-2</v>
      </c>
      <c r="F1009" s="2" t="s">
        <v>1997</v>
      </c>
      <c r="G1009" s="2" t="s">
        <v>1998</v>
      </c>
    </row>
    <row r="1010" spans="1:7" ht="150" x14ac:dyDescent="0.25">
      <c r="A1010" s="4">
        <v>1009</v>
      </c>
      <c r="B1010" s="5">
        <v>0.1053191489361702</v>
      </c>
      <c r="C1010" s="5">
        <v>1.566265060240964E-2</v>
      </c>
      <c r="D1010" s="5">
        <v>2E-3</v>
      </c>
      <c r="E1010" s="5">
        <v>3.956723338485317E-2</v>
      </c>
      <c r="F1010" s="2" t="s">
        <v>1999</v>
      </c>
      <c r="G1010" s="2" t="s">
        <v>2000</v>
      </c>
    </row>
    <row r="1011" spans="1:7" ht="150" x14ac:dyDescent="0.25">
      <c r="A1011" s="4">
        <v>1010</v>
      </c>
      <c r="B1011" s="5">
        <v>0.1351063829787234</v>
      </c>
      <c r="C1011" s="5">
        <v>1.6867469879518069E-2</v>
      </c>
      <c r="D1011" s="5">
        <v>2E-3</v>
      </c>
      <c r="E1011" s="5">
        <v>5.1931993817619787E-2</v>
      </c>
      <c r="F1011" s="2" t="s">
        <v>2001</v>
      </c>
      <c r="G1011" s="2" t="s">
        <v>2002</v>
      </c>
    </row>
    <row r="1012" spans="1:7" ht="150" x14ac:dyDescent="0.25">
      <c r="A1012" s="4">
        <v>1011</v>
      </c>
      <c r="B1012" s="5">
        <v>0.1351063829787234</v>
      </c>
      <c r="C1012" s="5">
        <v>1.6867469879518069E-2</v>
      </c>
      <c r="D1012" s="5">
        <v>2E-3</v>
      </c>
      <c r="E1012" s="5">
        <v>4.9149922720247298E-2</v>
      </c>
      <c r="F1012" s="2" t="s">
        <v>2003</v>
      </c>
      <c r="G1012" s="2" t="s">
        <v>2004</v>
      </c>
    </row>
    <row r="1013" spans="1:7" ht="225" x14ac:dyDescent="0.25">
      <c r="A1013" s="4">
        <v>1012</v>
      </c>
      <c r="B1013" s="5">
        <v>0.14255319148936171</v>
      </c>
      <c r="C1013" s="5">
        <v>1.3253012048192771E-2</v>
      </c>
      <c r="D1013" s="5">
        <v>5.0000000000000001E-3</v>
      </c>
      <c r="E1013" s="5">
        <v>5.4868624420401857E-2</v>
      </c>
      <c r="F1013" s="2" t="s">
        <v>2005</v>
      </c>
      <c r="G1013" s="2" t="s">
        <v>2006</v>
      </c>
    </row>
    <row r="1014" spans="1:7" ht="240" x14ac:dyDescent="0.25">
      <c r="A1014" s="4">
        <v>1013</v>
      </c>
      <c r="B1014" s="5">
        <v>0.1276595744680851</v>
      </c>
      <c r="C1014" s="5">
        <v>1.445783132530121E-2</v>
      </c>
      <c r="D1014" s="5">
        <v>2E-3</v>
      </c>
      <c r="E1014" s="5">
        <v>4.9149922720247298E-2</v>
      </c>
      <c r="F1014" s="2" t="s">
        <v>2007</v>
      </c>
      <c r="G1014" s="2" t="s">
        <v>2008</v>
      </c>
    </row>
    <row r="1015" spans="1:7" ht="225" x14ac:dyDescent="0.25">
      <c r="A1015" s="4">
        <v>1014</v>
      </c>
      <c r="B1015" s="5">
        <v>0.12553191489361701</v>
      </c>
      <c r="C1015" s="5">
        <v>1.445783132530121E-2</v>
      </c>
      <c r="D1015" s="5">
        <v>2E-3</v>
      </c>
      <c r="E1015" s="5">
        <v>4.8068006182380218E-2</v>
      </c>
      <c r="F1015" s="2" t="s">
        <v>2009</v>
      </c>
      <c r="G1015" s="2" t="s">
        <v>2010</v>
      </c>
    </row>
    <row r="1016" spans="1:7" ht="135" x14ac:dyDescent="0.25">
      <c r="A1016" s="4">
        <v>1015</v>
      </c>
      <c r="B1016" s="5">
        <v>0.1042553191489362</v>
      </c>
      <c r="C1016" s="5">
        <v>1.566265060240964E-2</v>
      </c>
      <c r="D1016" s="5">
        <v>1.2E-2</v>
      </c>
      <c r="E1016" s="5">
        <v>3.1684698608964453E-2</v>
      </c>
      <c r="F1016" s="2" t="s">
        <v>2011</v>
      </c>
      <c r="G1016" s="2" t="s">
        <v>2012</v>
      </c>
    </row>
    <row r="1017" spans="1:7" ht="210" x14ac:dyDescent="0.25">
      <c r="A1017" s="4">
        <v>1016</v>
      </c>
      <c r="B1017" s="5">
        <v>0.66489361702127658</v>
      </c>
      <c r="C1017" s="5">
        <v>1.204819277108434E-2</v>
      </c>
      <c r="D1017" s="5">
        <v>0</v>
      </c>
      <c r="E1017" s="5">
        <v>1.2519319938176199E-2</v>
      </c>
      <c r="F1017" s="2" t="s">
        <v>2013</v>
      </c>
      <c r="G1017" s="2" t="s">
        <v>2014</v>
      </c>
    </row>
    <row r="1018" spans="1:7" ht="120" x14ac:dyDescent="0.25">
      <c r="A1018" s="4">
        <v>1017</v>
      </c>
      <c r="B1018" s="5">
        <v>0.1202127659574468</v>
      </c>
      <c r="C1018" s="5">
        <v>1.445783132530121E-2</v>
      </c>
      <c r="D1018" s="5">
        <v>2E-3</v>
      </c>
      <c r="E1018" s="5">
        <v>4.1267387944358573E-2</v>
      </c>
      <c r="F1018" s="2" t="s">
        <v>2015</v>
      </c>
      <c r="G1018" s="2" t="s">
        <v>2016</v>
      </c>
    </row>
    <row r="1019" spans="1:7" ht="225" x14ac:dyDescent="0.25">
      <c r="A1019" s="4">
        <v>1018</v>
      </c>
      <c r="B1019" s="5">
        <v>4.7872340425531908E-2</v>
      </c>
      <c r="C1019" s="5">
        <v>2.6506024096385541E-2</v>
      </c>
      <c r="D1019" s="5">
        <v>3.0000000000000001E-3</v>
      </c>
      <c r="E1019" s="5">
        <v>1.591962905718702E-2</v>
      </c>
      <c r="F1019" s="2" t="s">
        <v>2017</v>
      </c>
      <c r="G1019" s="2" t="s">
        <v>472</v>
      </c>
    </row>
    <row r="1020" spans="1:7" ht="195" x14ac:dyDescent="0.25">
      <c r="A1020" s="4">
        <v>1019</v>
      </c>
      <c r="B1020" s="5">
        <v>3.5106382978723413E-2</v>
      </c>
      <c r="C1020" s="5">
        <v>5.4216867469879519E-2</v>
      </c>
      <c r="D1020" s="5">
        <v>4.0000000000000001E-3</v>
      </c>
      <c r="E1020" s="5">
        <v>4.3276661514683153E-3</v>
      </c>
      <c r="F1020" s="2" t="s">
        <v>2018</v>
      </c>
      <c r="G1020" s="2" t="s">
        <v>2019</v>
      </c>
    </row>
    <row r="1021" spans="1:7" ht="345" x14ac:dyDescent="0.25">
      <c r="A1021" s="4">
        <v>1020</v>
      </c>
      <c r="B1021" s="5">
        <v>0.22978723404255319</v>
      </c>
      <c r="C1021" s="5">
        <v>3.1325301204819279E-2</v>
      </c>
      <c r="D1021" s="5">
        <v>3.1E-2</v>
      </c>
      <c r="E1021" s="5">
        <v>6.8624420401854708E-2</v>
      </c>
      <c r="F1021" s="2" t="s">
        <v>2020</v>
      </c>
      <c r="G1021" s="2" t="s">
        <v>2021</v>
      </c>
    </row>
    <row r="1022" spans="1:7" ht="135" x14ac:dyDescent="0.25">
      <c r="A1022" s="4">
        <v>1021</v>
      </c>
      <c r="B1022" s="5">
        <v>0.23829787234042549</v>
      </c>
      <c r="C1022" s="5">
        <v>0.31566265060240972</v>
      </c>
      <c r="D1022" s="5">
        <v>0.113</v>
      </c>
      <c r="E1022" s="5">
        <v>6.8006182380216376E-3</v>
      </c>
      <c r="F1022" s="2" t="s">
        <v>2022</v>
      </c>
      <c r="G1022" s="2" t="s">
        <v>2023</v>
      </c>
    </row>
    <row r="1023" spans="1:7" ht="150" x14ac:dyDescent="0.25">
      <c r="A1023" s="4">
        <v>1022</v>
      </c>
      <c r="B1023" s="5">
        <v>0.1106382978723404</v>
      </c>
      <c r="C1023" s="5">
        <v>2.289156626506024E-2</v>
      </c>
      <c r="D1023" s="5">
        <v>4.0999999999999988E-2</v>
      </c>
      <c r="E1023" s="5">
        <v>2.3338485316846989E-2</v>
      </c>
      <c r="F1023" s="2" t="s">
        <v>2024</v>
      </c>
      <c r="G1023" s="2" t="s">
        <v>2025</v>
      </c>
    </row>
    <row r="1024" spans="1:7" ht="165" x14ac:dyDescent="0.25">
      <c r="A1024" s="4">
        <v>1023</v>
      </c>
      <c r="B1024" s="5">
        <v>2.6595744680851061E-2</v>
      </c>
      <c r="C1024" s="5">
        <v>1.8072289156626509E-2</v>
      </c>
      <c r="D1024" s="5">
        <v>5.0000000000000001E-3</v>
      </c>
      <c r="E1024" s="5">
        <v>5.5641421947449756E-3</v>
      </c>
      <c r="F1024" s="2" t="s">
        <v>2026</v>
      </c>
      <c r="G1024" s="2" t="s">
        <v>351</v>
      </c>
    </row>
    <row r="1025" spans="1:7" ht="240" x14ac:dyDescent="0.25">
      <c r="A1025" s="4">
        <v>1024</v>
      </c>
      <c r="B1025" s="5">
        <v>8.085106382978724E-2</v>
      </c>
      <c r="C1025" s="5">
        <v>4.9397590361445781E-2</v>
      </c>
      <c r="D1025" s="5">
        <v>1.0999999999999999E-2</v>
      </c>
      <c r="E1025" s="5">
        <v>2.349304482225657E-2</v>
      </c>
      <c r="F1025" s="2" t="s">
        <v>2027</v>
      </c>
      <c r="G1025" s="2" t="s">
        <v>2028</v>
      </c>
    </row>
    <row r="1026" spans="1:7" ht="270" x14ac:dyDescent="0.25">
      <c r="A1026" s="4">
        <v>1025</v>
      </c>
      <c r="B1026" s="5">
        <v>8.085106382978724E-2</v>
      </c>
      <c r="C1026" s="5">
        <v>4.3373493975903621E-2</v>
      </c>
      <c r="D1026" s="5">
        <v>3.0000000000000001E-3</v>
      </c>
      <c r="E1026" s="5">
        <v>2.2565687789799071E-2</v>
      </c>
      <c r="F1026" s="2" t="s">
        <v>2029</v>
      </c>
      <c r="G1026" s="2" t="s">
        <v>2030</v>
      </c>
    </row>
    <row r="1027" spans="1:7" ht="150" x14ac:dyDescent="0.25">
      <c r="A1027" s="4">
        <v>1026</v>
      </c>
      <c r="B1027" s="5">
        <v>0.17340425531914891</v>
      </c>
      <c r="C1027" s="5">
        <v>2.6506024096385541E-2</v>
      </c>
      <c r="D1027" s="5">
        <v>6.5000000000000002E-2</v>
      </c>
      <c r="E1027" s="5">
        <v>3.6785162287480681E-2</v>
      </c>
      <c r="F1027" s="2" t="s">
        <v>2031</v>
      </c>
      <c r="G1027" s="2" t="s">
        <v>2032</v>
      </c>
    </row>
    <row r="1028" spans="1:7" ht="210" x14ac:dyDescent="0.25">
      <c r="A1028" s="4">
        <v>1027</v>
      </c>
      <c r="B1028" s="5">
        <v>0.21276595744680851</v>
      </c>
      <c r="C1028" s="5">
        <v>1.204819277108434E-2</v>
      </c>
      <c r="D1028" s="5">
        <v>2.4E-2</v>
      </c>
      <c r="E1028" s="5">
        <v>6.7697063369397209E-2</v>
      </c>
      <c r="F1028" s="2" t="s">
        <v>2033</v>
      </c>
      <c r="G1028" s="2" t="s">
        <v>2034</v>
      </c>
    </row>
    <row r="1029" spans="1:7" ht="409.5" x14ac:dyDescent="0.25">
      <c r="A1029" s="4">
        <v>1028</v>
      </c>
      <c r="B1029" s="5">
        <v>0.1446808510638298</v>
      </c>
      <c r="C1029" s="5">
        <v>0.51807228915662651</v>
      </c>
      <c r="D1029" s="5">
        <v>2.4E-2</v>
      </c>
      <c r="E1029" s="5">
        <v>4.6367851622874804E-3</v>
      </c>
      <c r="F1029" s="2" t="s">
        <v>2035</v>
      </c>
      <c r="G1029" s="2" t="s">
        <v>2036</v>
      </c>
    </row>
    <row r="1030" spans="1:7" ht="240" x14ac:dyDescent="0.25">
      <c r="A1030" s="4">
        <v>1029</v>
      </c>
      <c r="B1030" s="5">
        <v>8.085106382978724E-2</v>
      </c>
      <c r="C1030" s="5">
        <v>0.14578313253012051</v>
      </c>
      <c r="D1030" s="5">
        <v>0.02</v>
      </c>
      <c r="E1030" s="5">
        <v>3.7094281298299839E-3</v>
      </c>
      <c r="F1030" s="2" t="s">
        <v>2037</v>
      </c>
      <c r="G1030" s="2" t="s">
        <v>2038</v>
      </c>
    </row>
    <row r="1031" spans="1:7" ht="120" x14ac:dyDescent="0.25">
      <c r="A1031" s="4">
        <v>1030</v>
      </c>
      <c r="B1031" s="5">
        <v>7.3404255319148931E-2</v>
      </c>
      <c r="C1031" s="5">
        <v>1.084337349397591E-2</v>
      </c>
      <c r="D1031" s="5">
        <v>1E-3</v>
      </c>
      <c r="E1031" s="5">
        <v>2.7975270479134472E-2</v>
      </c>
      <c r="F1031" s="2" t="s">
        <v>2039</v>
      </c>
      <c r="G1031" s="2" t="s">
        <v>2040</v>
      </c>
    </row>
    <row r="1032" spans="1:7" ht="409.5" x14ac:dyDescent="0.25">
      <c r="A1032" s="4">
        <v>1031</v>
      </c>
      <c r="B1032" s="5">
        <v>1.1702127659574469E-2</v>
      </c>
      <c r="C1032" s="5">
        <v>0</v>
      </c>
      <c r="D1032" s="5">
        <v>0</v>
      </c>
      <c r="E1032" s="5">
        <v>4.1731066460587328E-3</v>
      </c>
      <c r="F1032" s="2" t="s">
        <v>2041</v>
      </c>
      <c r="G1032" s="2" t="s">
        <v>2042</v>
      </c>
    </row>
    <row r="1033" spans="1:7" ht="270" x14ac:dyDescent="0.25">
      <c r="A1033" s="4">
        <v>1032</v>
      </c>
      <c r="B1033" s="5">
        <v>8.085106382978724E-2</v>
      </c>
      <c r="C1033" s="5">
        <v>6.024096385542169E-3</v>
      </c>
      <c r="D1033" s="5">
        <v>2E-3</v>
      </c>
      <c r="E1033" s="5">
        <v>2.782071097372488E-2</v>
      </c>
      <c r="F1033" s="2" t="s">
        <v>2043</v>
      </c>
      <c r="G1033" s="2" t="s">
        <v>2044</v>
      </c>
    </row>
    <row r="1034" spans="1:7" ht="120" x14ac:dyDescent="0.25">
      <c r="A1034" s="4">
        <v>1033</v>
      </c>
      <c r="B1034" s="5">
        <v>4.2553191489361703E-3</v>
      </c>
      <c r="C1034" s="5">
        <v>0</v>
      </c>
      <c r="D1034" s="5">
        <v>0</v>
      </c>
      <c r="E1034" s="5">
        <v>1.3910355486862439E-3</v>
      </c>
      <c r="F1034" s="2" t="s">
        <v>2045</v>
      </c>
      <c r="G1034" s="2" t="s">
        <v>2046</v>
      </c>
    </row>
    <row r="1035" spans="1:7" ht="330" x14ac:dyDescent="0.25">
      <c r="A1035" s="4">
        <v>1034</v>
      </c>
      <c r="B1035" s="5">
        <v>0.31382978723404248</v>
      </c>
      <c r="C1035" s="5">
        <v>8.7951807228915671E-2</v>
      </c>
      <c r="D1035" s="5">
        <v>8.5000000000000006E-2</v>
      </c>
      <c r="E1035" s="5">
        <v>7.3415765069551775E-2</v>
      </c>
      <c r="F1035" s="2" t="s">
        <v>2047</v>
      </c>
      <c r="G1035" s="2" t="s">
        <v>2048</v>
      </c>
    </row>
    <row r="1036" spans="1:7" ht="165" x14ac:dyDescent="0.25">
      <c r="A1036" s="4">
        <v>1035</v>
      </c>
      <c r="B1036" s="5">
        <v>0.41914893617021282</v>
      </c>
      <c r="C1036" s="5">
        <v>2.6506024096385541E-2</v>
      </c>
      <c r="D1036" s="5">
        <v>8.8000000000000009E-2</v>
      </c>
      <c r="E1036" s="5">
        <v>0.11839258114374029</v>
      </c>
      <c r="F1036" s="2" t="s">
        <v>2049</v>
      </c>
      <c r="G1036" s="2" t="s">
        <v>2050</v>
      </c>
    </row>
    <row r="1037" spans="1:7" ht="165" x14ac:dyDescent="0.25">
      <c r="A1037" s="4">
        <v>1036</v>
      </c>
      <c r="B1037" s="5">
        <v>0.37234042553191488</v>
      </c>
      <c r="C1037" s="5">
        <v>1.084337349397591E-2</v>
      </c>
      <c r="D1037" s="5">
        <v>4.0000000000000001E-3</v>
      </c>
      <c r="E1037" s="5">
        <v>0.1324574961360124</v>
      </c>
      <c r="F1037" s="2" t="s">
        <v>2051</v>
      </c>
      <c r="G1037" s="2" t="s">
        <v>2050</v>
      </c>
    </row>
    <row r="1038" spans="1:7" ht="195" x14ac:dyDescent="0.25">
      <c r="A1038" s="4">
        <v>1037</v>
      </c>
      <c r="B1038" s="5">
        <v>6.3829787234042548E-2</v>
      </c>
      <c r="C1038" s="5">
        <v>6.5060240963855431E-2</v>
      </c>
      <c r="D1038" s="5">
        <v>2.5000000000000001E-2</v>
      </c>
      <c r="E1038" s="5">
        <v>6.1823802163833066E-3</v>
      </c>
      <c r="F1038" s="2" t="s">
        <v>2052</v>
      </c>
      <c r="G1038" s="2" t="s">
        <v>2053</v>
      </c>
    </row>
    <row r="1039" spans="1:7" ht="225" x14ac:dyDescent="0.25">
      <c r="A1039" s="4">
        <v>1038</v>
      </c>
      <c r="B1039" s="5">
        <v>8.6170212765957446E-2</v>
      </c>
      <c r="C1039" s="5">
        <v>0.19518072289156629</v>
      </c>
      <c r="D1039" s="5">
        <v>1.2E-2</v>
      </c>
      <c r="E1039" s="5">
        <v>1.081916537867079E-3</v>
      </c>
      <c r="F1039" s="2" t="s">
        <v>2054</v>
      </c>
      <c r="G1039" s="2" t="s">
        <v>2055</v>
      </c>
    </row>
    <row r="1040" spans="1:7" ht="240" x14ac:dyDescent="0.25">
      <c r="A1040" s="4">
        <v>1039</v>
      </c>
      <c r="B1040" s="5">
        <v>0.31808510638297871</v>
      </c>
      <c r="C1040" s="5">
        <v>0.35421686746987951</v>
      </c>
      <c r="D1040" s="5">
        <v>3.5999999999999997E-2</v>
      </c>
      <c r="E1040" s="5">
        <v>4.9459041731066463E-3</v>
      </c>
      <c r="F1040" s="2" t="s">
        <v>2056</v>
      </c>
      <c r="G1040" s="2" t="s">
        <v>2057</v>
      </c>
    </row>
    <row r="1041" spans="1:7" ht="135" x14ac:dyDescent="0.25">
      <c r="A1041" s="4">
        <v>1040</v>
      </c>
      <c r="B1041" s="5">
        <v>8.6170212765957446E-2</v>
      </c>
      <c r="C1041" s="5">
        <v>0.19518072289156629</v>
      </c>
      <c r="D1041" s="5">
        <v>1.2E-2</v>
      </c>
      <c r="E1041" s="5">
        <v>1.081916537867079E-3</v>
      </c>
      <c r="F1041" s="2" t="s">
        <v>2058</v>
      </c>
      <c r="G1041" s="2" t="s">
        <v>2059</v>
      </c>
    </row>
    <row r="1042" spans="1:7" ht="409.5" x14ac:dyDescent="0.25">
      <c r="A1042" s="4">
        <v>1041</v>
      </c>
      <c r="B1042" s="5">
        <v>2.8723404255319149E-2</v>
      </c>
      <c r="C1042" s="5">
        <v>7.2289156626506026E-3</v>
      </c>
      <c r="D1042" s="5">
        <v>3.0000000000000001E-3</v>
      </c>
      <c r="E1042" s="5">
        <v>8.0370942812983005E-3</v>
      </c>
      <c r="F1042" s="2" t="s">
        <v>2060</v>
      </c>
      <c r="G1042" s="2" t="s">
        <v>2061</v>
      </c>
    </row>
    <row r="1043" spans="1:7" ht="165" x14ac:dyDescent="0.25">
      <c r="A1043" s="4">
        <v>1042</v>
      </c>
      <c r="B1043" s="5">
        <v>0.34042553191489361</v>
      </c>
      <c r="C1043" s="5">
        <v>8.6746987951807242E-2</v>
      </c>
      <c r="D1043" s="5">
        <v>4.2000000000000003E-2</v>
      </c>
      <c r="E1043" s="5">
        <v>9.7836166924265833E-2</v>
      </c>
      <c r="F1043" s="2" t="s">
        <v>2062</v>
      </c>
      <c r="G1043" s="2" t="s">
        <v>351</v>
      </c>
    </row>
    <row r="1044" spans="1:7" ht="150" x14ac:dyDescent="0.25">
      <c r="A1044" s="4">
        <v>1043</v>
      </c>
      <c r="B1044" s="5">
        <v>0.47978723404255319</v>
      </c>
      <c r="C1044" s="5">
        <v>0.13493975903614461</v>
      </c>
      <c r="D1044" s="5">
        <v>0.20200000000000001</v>
      </c>
      <c r="E1044" s="5">
        <v>9.2272024729520868E-2</v>
      </c>
      <c r="F1044" s="2" t="s">
        <v>2063</v>
      </c>
      <c r="G1044" s="2" t="s">
        <v>2064</v>
      </c>
    </row>
    <row r="1045" spans="1:7" ht="240" x14ac:dyDescent="0.25">
      <c r="A1045" s="4">
        <v>1044</v>
      </c>
      <c r="B1045" s="5">
        <v>0.52872340425531916</v>
      </c>
      <c r="C1045" s="5">
        <v>0.20481927710843381</v>
      </c>
      <c r="D1045" s="5">
        <v>0.27600000000000002</v>
      </c>
      <c r="E1045" s="5">
        <v>7.8516228748068004E-2</v>
      </c>
      <c r="F1045" s="2" t="s">
        <v>2065</v>
      </c>
      <c r="G1045" s="2" t="s">
        <v>2066</v>
      </c>
    </row>
    <row r="1046" spans="1:7" ht="240" x14ac:dyDescent="0.25">
      <c r="A1046" s="4">
        <v>1045</v>
      </c>
      <c r="B1046" s="5">
        <v>0.2053191489361702</v>
      </c>
      <c r="C1046" s="5">
        <v>0.27228915662650599</v>
      </c>
      <c r="D1046" s="5">
        <v>7.9000000000000001E-2</v>
      </c>
      <c r="E1046" s="5">
        <v>1.205564142194745E-2</v>
      </c>
      <c r="F1046" s="2" t="s">
        <v>2067</v>
      </c>
      <c r="G1046" s="2" t="s">
        <v>2068</v>
      </c>
    </row>
    <row r="1047" spans="1:7" ht="240" x14ac:dyDescent="0.25">
      <c r="A1047" s="4">
        <v>1046</v>
      </c>
      <c r="B1047" s="5">
        <v>0.50106382978723407</v>
      </c>
      <c r="C1047" s="5">
        <v>5.6626506024096392E-2</v>
      </c>
      <c r="D1047" s="5">
        <v>0.218</v>
      </c>
      <c r="E1047" s="5">
        <v>9.9072642967542493E-2</v>
      </c>
      <c r="F1047" s="2" t="s">
        <v>2069</v>
      </c>
      <c r="G1047" s="2" t="s">
        <v>2070</v>
      </c>
    </row>
    <row r="1048" spans="1:7" ht="135" x14ac:dyDescent="0.25">
      <c r="A1048" s="4">
        <v>1047</v>
      </c>
      <c r="B1048" s="5">
        <v>7.9787234042553196E-2</v>
      </c>
      <c r="C1048" s="5">
        <v>1.9277108433734941E-2</v>
      </c>
      <c r="D1048" s="5">
        <v>6.0000000000000001E-3</v>
      </c>
      <c r="E1048" s="5">
        <v>2.4420401854714061E-2</v>
      </c>
      <c r="F1048" s="2" t="s">
        <v>2071</v>
      </c>
      <c r="G1048" s="2" t="s">
        <v>2072</v>
      </c>
    </row>
    <row r="1049" spans="1:7" ht="150" x14ac:dyDescent="0.25">
      <c r="A1049" s="4">
        <v>1048</v>
      </c>
      <c r="B1049" s="5">
        <v>0.35638297872340419</v>
      </c>
      <c r="C1049" s="5">
        <v>6.3855421686746988E-2</v>
      </c>
      <c r="D1049" s="5">
        <v>3.5000000000000003E-2</v>
      </c>
      <c r="E1049" s="5">
        <v>0.1089644513137558</v>
      </c>
      <c r="F1049" s="2" t="s">
        <v>2073</v>
      </c>
      <c r="G1049" s="2" t="s">
        <v>2074</v>
      </c>
    </row>
    <row r="1050" spans="1:7" ht="300" x14ac:dyDescent="0.25">
      <c r="A1050" s="4">
        <v>1049</v>
      </c>
      <c r="B1050" s="5">
        <v>0.36276595744680851</v>
      </c>
      <c r="C1050" s="5">
        <v>6.6265060240963861E-2</v>
      </c>
      <c r="D1050" s="5">
        <v>0.16200000000000001</v>
      </c>
      <c r="E1050" s="5">
        <v>6.6924265842349298E-2</v>
      </c>
      <c r="F1050" s="2" t="s">
        <v>2075</v>
      </c>
      <c r="G1050" s="2" t="s">
        <v>2076</v>
      </c>
    </row>
    <row r="1051" spans="1:7" ht="409.5" x14ac:dyDescent="0.25">
      <c r="A1051" s="4">
        <v>1050</v>
      </c>
      <c r="B1051" s="5">
        <v>0.37234042553191488</v>
      </c>
      <c r="C1051" s="5">
        <v>9.036144578313253E-2</v>
      </c>
      <c r="D1051" s="5">
        <v>0.02</v>
      </c>
      <c r="E1051" s="5">
        <v>0.1166924265842349</v>
      </c>
      <c r="F1051" s="2" t="s">
        <v>2077</v>
      </c>
      <c r="G1051" s="2" t="s">
        <v>2078</v>
      </c>
    </row>
    <row r="1052" spans="1:7" ht="210" x14ac:dyDescent="0.25">
      <c r="A1052" s="4">
        <v>1051</v>
      </c>
      <c r="B1052" s="5">
        <v>0.26382978723404249</v>
      </c>
      <c r="C1052" s="5">
        <v>9.6385542168674704E-2</v>
      </c>
      <c r="D1052" s="5">
        <v>1.2E-2</v>
      </c>
      <c r="E1052" s="5">
        <v>7.7279752704791344E-2</v>
      </c>
      <c r="F1052" s="2" t="s">
        <v>2079</v>
      </c>
      <c r="G1052" s="2" t="s">
        <v>2080</v>
      </c>
    </row>
    <row r="1053" spans="1:7" ht="225" x14ac:dyDescent="0.25">
      <c r="A1053" s="4">
        <v>1052</v>
      </c>
      <c r="B1053" s="5">
        <v>0.26489361702127662</v>
      </c>
      <c r="C1053" s="5">
        <v>9.5180722891566275E-2</v>
      </c>
      <c r="D1053" s="5">
        <v>1.4999999999999999E-2</v>
      </c>
      <c r="E1053" s="5">
        <v>7.6816074188562594E-2</v>
      </c>
      <c r="F1053" s="2" t="s">
        <v>2081</v>
      </c>
      <c r="G1053" s="2" t="s">
        <v>2082</v>
      </c>
    </row>
    <row r="1054" spans="1:7" ht="210" x14ac:dyDescent="0.25">
      <c r="A1054" s="4">
        <v>1053</v>
      </c>
      <c r="B1054" s="5">
        <v>0.1627659574468085</v>
      </c>
      <c r="C1054" s="5">
        <v>0.136144578313253</v>
      </c>
      <c r="D1054" s="5">
        <v>8.4000000000000005E-2</v>
      </c>
      <c r="E1054" s="5">
        <v>1.236476043276661E-2</v>
      </c>
      <c r="F1054" s="2" t="s">
        <v>2083</v>
      </c>
      <c r="G1054" s="2" t="s">
        <v>2084</v>
      </c>
    </row>
    <row r="1055" spans="1:7" ht="240" x14ac:dyDescent="0.25">
      <c r="A1055" s="4">
        <v>1054</v>
      </c>
      <c r="B1055" s="5">
        <v>4.3617021276595752E-2</v>
      </c>
      <c r="C1055" s="5">
        <v>1.6867469879518069E-2</v>
      </c>
      <c r="D1055" s="5">
        <v>3.0000000000000001E-3</v>
      </c>
      <c r="E1055" s="5">
        <v>1.2519319938176199E-2</v>
      </c>
      <c r="F1055" s="2" t="s">
        <v>2085</v>
      </c>
      <c r="G1055" s="2" t="s">
        <v>2086</v>
      </c>
    </row>
    <row r="1056" spans="1:7" ht="225" x14ac:dyDescent="0.25">
      <c r="A1056" s="4">
        <v>1055</v>
      </c>
      <c r="B1056" s="5">
        <v>0.57021276595744685</v>
      </c>
      <c r="C1056" s="5">
        <v>0.48795180722891568</v>
      </c>
      <c r="D1056" s="5">
        <v>0.41499999999999998</v>
      </c>
      <c r="E1056" s="5">
        <v>0</v>
      </c>
      <c r="F1056" s="2" t="s">
        <v>2087</v>
      </c>
      <c r="G1056" s="2" t="s">
        <v>2088</v>
      </c>
    </row>
    <row r="1057" spans="1:7" ht="285" x14ac:dyDescent="0.25">
      <c r="A1057" s="4">
        <v>1056</v>
      </c>
      <c r="B1057" s="5">
        <v>0.1170212765957447</v>
      </c>
      <c r="C1057" s="5">
        <v>0.13855421686746991</v>
      </c>
      <c r="D1057" s="5">
        <v>0.02</v>
      </c>
      <c r="E1057" s="5">
        <v>1.8083462132921169E-2</v>
      </c>
      <c r="F1057" s="2" t="s">
        <v>2089</v>
      </c>
      <c r="G1057" s="2" t="s">
        <v>2090</v>
      </c>
    </row>
    <row r="1058" spans="1:7" ht="180" x14ac:dyDescent="0.25">
      <c r="A1058" s="4">
        <v>1057</v>
      </c>
      <c r="B1058" s="5">
        <v>0.2106382978723404</v>
      </c>
      <c r="C1058" s="5">
        <v>0.29638554216867469</v>
      </c>
      <c r="D1058" s="5">
        <v>0.107</v>
      </c>
      <c r="E1058" s="5">
        <v>1.3910355486862439E-3</v>
      </c>
      <c r="F1058" s="2" t="s">
        <v>2091</v>
      </c>
      <c r="G1058" s="2" t="s">
        <v>2092</v>
      </c>
    </row>
    <row r="1059" spans="1:7" ht="135" x14ac:dyDescent="0.25">
      <c r="A1059" s="4">
        <v>1058</v>
      </c>
      <c r="B1059" s="5">
        <v>0.4776595744680851</v>
      </c>
      <c r="C1059" s="5">
        <v>0.36867469879518078</v>
      </c>
      <c r="D1059" s="5">
        <v>0.255</v>
      </c>
      <c r="E1059" s="5">
        <v>4.9304482225656872E-2</v>
      </c>
      <c r="F1059" s="2" t="s">
        <v>2093</v>
      </c>
      <c r="G1059" s="2" t="s">
        <v>2094</v>
      </c>
    </row>
    <row r="1060" spans="1:7" ht="240" x14ac:dyDescent="0.25">
      <c r="A1060" s="4">
        <v>1059</v>
      </c>
      <c r="B1060" s="5">
        <v>0.3595744680851064</v>
      </c>
      <c r="C1060" s="5">
        <v>7.2289156626506026E-3</v>
      </c>
      <c r="D1060" s="5">
        <v>3.0000000000000001E-3</v>
      </c>
      <c r="E1060" s="5">
        <v>0.12843894899536321</v>
      </c>
      <c r="F1060" s="2" t="s">
        <v>2095</v>
      </c>
      <c r="G1060" s="2" t="s">
        <v>2096</v>
      </c>
    </row>
    <row r="1061" spans="1:7" ht="150" x14ac:dyDescent="0.25">
      <c r="A1061" s="4">
        <v>1060</v>
      </c>
      <c r="B1061" s="5">
        <v>0.37765957446808512</v>
      </c>
      <c r="C1061" s="5">
        <v>7.2289156626506026E-3</v>
      </c>
      <c r="D1061" s="5">
        <v>1.0999999999999999E-2</v>
      </c>
      <c r="E1061" s="5">
        <v>0.1323029366306028</v>
      </c>
      <c r="F1061" s="2" t="s">
        <v>2097</v>
      </c>
      <c r="G1061" s="2" t="s">
        <v>2098</v>
      </c>
    </row>
    <row r="1062" spans="1:7" ht="210" x14ac:dyDescent="0.25">
      <c r="A1062" s="4">
        <v>1061</v>
      </c>
      <c r="B1062" s="5">
        <v>0.2457446808510638</v>
      </c>
      <c r="C1062" s="5">
        <v>7.2289156626506026E-3</v>
      </c>
      <c r="D1062" s="5">
        <v>2E-3</v>
      </c>
      <c r="E1062" s="5">
        <v>8.7480680061823801E-2</v>
      </c>
      <c r="F1062" s="2" t="s">
        <v>2099</v>
      </c>
      <c r="G1062" s="2" t="s">
        <v>2100</v>
      </c>
    </row>
    <row r="1063" spans="1:7" ht="195" x14ac:dyDescent="0.25">
      <c r="A1063" s="4">
        <v>1062</v>
      </c>
      <c r="B1063" s="5">
        <v>0.30957446808510641</v>
      </c>
      <c r="C1063" s="5">
        <v>6.024096385542169E-3</v>
      </c>
      <c r="D1063" s="5">
        <v>0.04</v>
      </c>
      <c r="E1063" s="5">
        <v>9.799072642967542E-2</v>
      </c>
      <c r="F1063" s="2" t="s">
        <v>2101</v>
      </c>
      <c r="G1063" s="2" t="s">
        <v>2102</v>
      </c>
    </row>
    <row r="1064" spans="1:7" ht="270" x14ac:dyDescent="0.25">
      <c r="A1064" s="4">
        <v>1063</v>
      </c>
      <c r="B1064" s="5">
        <v>0.24468085106382981</v>
      </c>
      <c r="C1064" s="5">
        <v>7.2289156626506026E-3</v>
      </c>
      <c r="D1064" s="5">
        <v>2E-3</v>
      </c>
      <c r="E1064" s="5">
        <v>8.7326120556414213E-2</v>
      </c>
      <c r="F1064" s="2" t="s">
        <v>2103</v>
      </c>
      <c r="G1064" s="2" t="s">
        <v>2104</v>
      </c>
    </row>
    <row r="1065" spans="1:7" ht="210" x14ac:dyDescent="0.25">
      <c r="A1065" s="4">
        <v>1064</v>
      </c>
      <c r="B1065" s="5">
        <v>0.48085106382978732</v>
      </c>
      <c r="C1065" s="5">
        <v>3.3734939759036138E-2</v>
      </c>
      <c r="D1065" s="5">
        <v>0.14799999999999999</v>
      </c>
      <c r="E1065" s="5">
        <v>0.1187017001545595</v>
      </c>
      <c r="F1065" s="2" t="s">
        <v>2105</v>
      </c>
      <c r="G1065" s="2" t="s">
        <v>2106</v>
      </c>
    </row>
    <row r="1066" spans="1:7" ht="150" x14ac:dyDescent="0.25">
      <c r="A1066" s="4">
        <v>1065</v>
      </c>
      <c r="B1066" s="5">
        <v>0.36914893617021283</v>
      </c>
      <c r="C1066" s="5">
        <v>1.084337349397591E-2</v>
      </c>
      <c r="D1066" s="5">
        <v>3.0000000000000001E-3</v>
      </c>
      <c r="E1066" s="5">
        <v>0.13168469860896451</v>
      </c>
      <c r="F1066" s="2" t="s">
        <v>2107</v>
      </c>
      <c r="G1066" s="2" t="s">
        <v>2108</v>
      </c>
    </row>
    <row r="1067" spans="1:7" ht="150" x14ac:dyDescent="0.25">
      <c r="A1067" s="4">
        <v>1066</v>
      </c>
      <c r="B1067" s="5">
        <v>0.38723404255319149</v>
      </c>
      <c r="C1067" s="5">
        <v>1.2048192771084341E-3</v>
      </c>
      <c r="D1067" s="5">
        <v>2E-3</v>
      </c>
      <c r="E1067" s="5">
        <v>0.13987635239567231</v>
      </c>
      <c r="F1067" s="2" t="s">
        <v>2109</v>
      </c>
      <c r="G1067" s="2" t="s">
        <v>2110</v>
      </c>
    </row>
    <row r="1068" spans="1:7" ht="120" x14ac:dyDescent="0.25">
      <c r="A1068" s="4">
        <v>1067</v>
      </c>
      <c r="B1068" s="5">
        <v>0.3851063829787234</v>
      </c>
      <c r="C1068" s="5">
        <v>6.024096385542169E-3</v>
      </c>
      <c r="D1068" s="5">
        <v>3.0000000000000001E-3</v>
      </c>
      <c r="E1068" s="5">
        <v>0.1343122102009274</v>
      </c>
      <c r="F1068" s="2" t="s">
        <v>2111</v>
      </c>
      <c r="G1068" s="2" t="s">
        <v>2112</v>
      </c>
    </row>
    <row r="1069" spans="1:7" ht="285" x14ac:dyDescent="0.25">
      <c r="A1069" s="4">
        <v>1068</v>
      </c>
      <c r="B1069" s="5">
        <v>0.37659574468085111</v>
      </c>
      <c r="C1069" s="5">
        <v>9.6385542168674707E-3</v>
      </c>
      <c r="D1069" s="5">
        <v>8.3000000000000004E-2</v>
      </c>
      <c r="E1069" s="5">
        <v>0.1064914992272025</v>
      </c>
      <c r="F1069" s="2" t="s">
        <v>2113</v>
      </c>
      <c r="G1069" s="2" t="s">
        <v>2114</v>
      </c>
    </row>
    <row r="1070" spans="1:7" ht="315" x14ac:dyDescent="0.25">
      <c r="A1070" s="4">
        <v>1069</v>
      </c>
      <c r="B1070" s="5">
        <v>6.063829787234043E-2</v>
      </c>
      <c r="C1070" s="5">
        <v>6.024096385542169E-3</v>
      </c>
      <c r="D1070" s="5">
        <v>1E-3</v>
      </c>
      <c r="E1070" s="5">
        <v>2.1020092735703249E-2</v>
      </c>
      <c r="F1070" s="2" t="s">
        <v>2115</v>
      </c>
      <c r="G1070" s="2" t="s">
        <v>2116</v>
      </c>
    </row>
    <row r="1071" spans="1:7" ht="105" x14ac:dyDescent="0.25">
      <c r="A1071" s="4">
        <v>1070</v>
      </c>
      <c r="B1071" s="5">
        <v>5.8510638297872342E-2</v>
      </c>
      <c r="C1071" s="5">
        <v>4.8192771084337354E-3</v>
      </c>
      <c r="D1071" s="5">
        <v>2E-3</v>
      </c>
      <c r="E1071" s="5">
        <v>1.9783616692426589E-2</v>
      </c>
      <c r="F1071" s="2" t="s">
        <v>2117</v>
      </c>
      <c r="G1071" s="2" t="s">
        <v>2118</v>
      </c>
    </row>
    <row r="1072" spans="1:7" ht="300" x14ac:dyDescent="0.25">
      <c r="A1072" s="4">
        <v>1071</v>
      </c>
      <c r="B1072" s="5">
        <v>9.2553191489361697E-2</v>
      </c>
      <c r="C1072" s="5">
        <v>9.6385542168674707E-3</v>
      </c>
      <c r="D1072" s="5">
        <v>4.0000000000000001E-3</v>
      </c>
      <c r="E1072" s="5">
        <v>3.1066460587326119E-2</v>
      </c>
      <c r="F1072" s="2" t="s">
        <v>2119</v>
      </c>
      <c r="G1072" s="2" t="s">
        <v>2120</v>
      </c>
    </row>
    <row r="1073" spans="1:7" ht="180" x14ac:dyDescent="0.25">
      <c r="A1073" s="4">
        <v>1072</v>
      </c>
      <c r="B1073" s="5">
        <v>0.29893617021276597</v>
      </c>
      <c r="C1073" s="5">
        <v>2.891566265060241E-2</v>
      </c>
      <c r="D1073" s="5">
        <v>6.9999999999999993E-3</v>
      </c>
      <c r="E1073" s="5">
        <v>0.10216383307573421</v>
      </c>
      <c r="F1073" s="2" t="s">
        <v>2121</v>
      </c>
      <c r="G1073" s="2" t="s">
        <v>2122</v>
      </c>
    </row>
    <row r="1074" spans="1:7" ht="270" x14ac:dyDescent="0.25">
      <c r="A1074" s="4">
        <v>1073</v>
      </c>
      <c r="B1074" s="5">
        <v>0.12978723404255321</v>
      </c>
      <c r="C1074" s="5">
        <v>2.4096385542168679E-2</v>
      </c>
      <c r="D1074" s="5">
        <v>0.1</v>
      </c>
      <c r="E1074" s="5">
        <v>1.174652241112828E-2</v>
      </c>
      <c r="F1074" s="2" t="s">
        <v>2123</v>
      </c>
      <c r="G1074" s="2" t="s">
        <v>2124</v>
      </c>
    </row>
    <row r="1075" spans="1:7" ht="225" x14ac:dyDescent="0.25">
      <c r="A1075" s="4">
        <v>1074</v>
      </c>
      <c r="B1075" s="5">
        <v>0.34468085106382979</v>
      </c>
      <c r="C1075" s="5">
        <v>5.0602409638554217E-2</v>
      </c>
      <c r="D1075" s="5">
        <v>0.34300000000000003</v>
      </c>
      <c r="E1075" s="5">
        <v>8.5935085007727979E-2</v>
      </c>
      <c r="F1075" s="2" t="s">
        <v>2125</v>
      </c>
      <c r="G1075" s="2" t="s">
        <v>2126</v>
      </c>
    </row>
    <row r="1076" spans="1:7" ht="240" x14ac:dyDescent="0.25">
      <c r="A1076" s="4">
        <v>1075</v>
      </c>
      <c r="B1076" s="5">
        <v>0.34468085106382979</v>
      </c>
      <c r="C1076" s="5">
        <v>5.0602409638554217E-2</v>
      </c>
      <c r="D1076" s="5">
        <v>0.34300000000000003</v>
      </c>
      <c r="E1076" s="5">
        <v>8.6553323029366306E-3</v>
      </c>
      <c r="F1076" s="2" t="s">
        <v>2127</v>
      </c>
      <c r="G1076" s="2" t="s">
        <v>2128</v>
      </c>
    </row>
    <row r="1077" spans="1:7" ht="120" x14ac:dyDescent="0.25">
      <c r="A1077" s="4">
        <v>1076</v>
      </c>
      <c r="B1077" s="5">
        <v>0.1042553191489362</v>
      </c>
      <c r="C1077" s="5">
        <v>2.4096385542168679E-2</v>
      </c>
      <c r="D1077" s="5">
        <v>4.0000000000000001E-3</v>
      </c>
      <c r="E1077" s="5">
        <v>3.7867078825347761E-2</v>
      </c>
      <c r="F1077" s="2" t="s">
        <v>2129</v>
      </c>
      <c r="G1077" s="2" t="s">
        <v>2130</v>
      </c>
    </row>
    <row r="1078" spans="1:7" ht="409.5" x14ac:dyDescent="0.25">
      <c r="A1078" s="4">
        <v>1077</v>
      </c>
      <c r="B1078" s="5">
        <v>0.22553191489361701</v>
      </c>
      <c r="C1078" s="5">
        <v>0.2168674698795181</v>
      </c>
      <c r="D1078" s="5">
        <v>0.106</v>
      </c>
      <c r="E1078" s="5">
        <v>9.1653786707882531E-2</v>
      </c>
      <c r="F1078" s="2" t="s">
        <v>2131</v>
      </c>
      <c r="G1078" s="2" t="s">
        <v>2132</v>
      </c>
    </row>
    <row r="1079" spans="1:7" ht="225" x14ac:dyDescent="0.25">
      <c r="A1079" s="4">
        <v>1078</v>
      </c>
      <c r="B1079" s="5">
        <v>0.1148936170212766</v>
      </c>
      <c r="C1079" s="5">
        <v>0.21204819277108439</v>
      </c>
      <c r="D1079" s="5">
        <v>4.2000000000000003E-2</v>
      </c>
      <c r="E1079" s="5">
        <v>0</v>
      </c>
      <c r="F1079" s="2" t="s">
        <v>2133</v>
      </c>
      <c r="G1079" s="2" t="s">
        <v>2134</v>
      </c>
    </row>
    <row r="1080" spans="1:7" ht="240" x14ac:dyDescent="0.25">
      <c r="A1080" s="4">
        <v>1079</v>
      </c>
      <c r="B1080" s="5">
        <v>0.19361702127659569</v>
      </c>
      <c r="C1080" s="5">
        <v>0.38554216867469882</v>
      </c>
      <c r="D1080" s="5">
        <v>0.06</v>
      </c>
      <c r="E1080" s="5">
        <v>0</v>
      </c>
      <c r="F1080" s="2" t="s">
        <v>2135</v>
      </c>
      <c r="G1080" s="2" t="s">
        <v>2136</v>
      </c>
    </row>
    <row r="1081" spans="1:7" ht="375" x14ac:dyDescent="0.25">
      <c r="A1081" s="4">
        <v>1080</v>
      </c>
      <c r="B1081" s="5">
        <v>0.3202127659574468</v>
      </c>
      <c r="C1081" s="5">
        <v>0.66265060240963858</v>
      </c>
      <c r="D1081" s="5">
        <v>0.09</v>
      </c>
      <c r="E1081" s="5">
        <v>0</v>
      </c>
      <c r="F1081" s="2" t="s">
        <v>2137</v>
      </c>
      <c r="G1081" s="2" t="s">
        <v>2138</v>
      </c>
    </row>
    <row r="1082" spans="1:7" ht="409.5" x14ac:dyDescent="0.25">
      <c r="A1082" s="4">
        <v>1081</v>
      </c>
      <c r="B1082" s="5">
        <v>0.29042553191489362</v>
      </c>
      <c r="C1082" s="5">
        <v>0.21084337349397589</v>
      </c>
      <c r="D1082" s="5">
        <v>0.22</v>
      </c>
      <c r="E1082" s="5">
        <v>0</v>
      </c>
      <c r="F1082" s="2" t="s">
        <v>2139</v>
      </c>
      <c r="G1082" s="2" t="s">
        <v>2140</v>
      </c>
    </row>
    <row r="1083" spans="1:7" ht="150" x14ac:dyDescent="0.25">
      <c r="A1083" s="4">
        <v>1082</v>
      </c>
      <c r="B1083" s="5">
        <v>0.30744680851063833</v>
      </c>
      <c r="C1083" s="5">
        <v>0.19277108433734941</v>
      </c>
      <c r="D1083" s="5">
        <v>0.25</v>
      </c>
      <c r="E1083" s="5">
        <v>0</v>
      </c>
      <c r="F1083" s="2" t="s">
        <v>2141</v>
      </c>
      <c r="G1083" s="2" t="s">
        <v>2142</v>
      </c>
    </row>
    <row r="1084" spans="1:7" ht="409.5" x14ac:dyDescent="0.25">
      <c r="A1084" s="4">
        <v>1083</v>
      </c>
      <c r="B1084" s="5">
        <v>0.18510638297872339</v>
      </c>
      <c r="C1084" s="5">
        <v>0.236144578313253</v>
      </c>
      <c r="D1084" s="5">
        <v>0.1</v>
      </c>
      <c r="E1084" s="5">
        <v>0</v>
      </c>
      <c r="F1084" s="2" t="s">
        <v>2143</v>
      </c>
      <c r="G1084" s="2" t="s">
        <v>2140</v>
      </c>
    </row>
    <row r="1085" spans="1:7" ht="210" x14ac:dyDescent="0.25">
      <c r="A1085" s="4">
        <v>1084</v>
      </c>
      <c r="B1085" s="5">
        <v>0.21382978723404261</v>
      </c>
      <c r="C1085" s="5">
        <v>0.22650602409638559</v>
      </c>
      <c r="D1085" s="5">
        <v>0.14000000000000001</v>
      </c>
      <c r="E1085" s="5">
        <v>0</v>
      </c>
      <c r="F1085" s="2" t="s">
        <v>2144</v>
      </c>
      <c r="G1085" s="2" t="s">
        <v>2145</v>
      </c>
    </row>
    <row r="1086" spans="1:7" ht="270" x14ac:dyDescent="0.25">
      <c r="A1086" s="4">
        <v>1085</v>
      </c>
      <c r="B1086" s="5">
        <v>0.47659574468085109</v>
      </c>
      <c r="C1086" s="5">
        <v>0.1746987951807229</v>
      </c>
      <c r="D1086" s="5">
        <v>0.42299999999999999</v>
      </c>
      <c r="E1086" s="5">
        <v>3.5548686244204009E-3</v>
      </c>
      <c r="F1086" s="2" t="s">
        <v>2146</v>
      </c>
      <c r="G1086" s="2" t="s">
        <v>2147</v>
      </c>
    </row>
    <row r="1087" spans="1:7" ht="195" x14ac:dyDescent="0.25">
      <c r="A1087" s="4">
        <v>1086</v>
      </c>
      <c r="B1087" s="5">
        <v>0.19468085106382979</v>
      </c>
      <c r="C1087" s="5">
        <v>0.1445783132530121</v>
      </c>
      <c r="D1087" s="5">
        <v>0.14399999999999999</v>
      </c>
      <c r="E1087" s="5">
        <v>2.1638330757341581E-3</v>
      </c>
      <c r="F1087" s="2" t="s">
        <v>2148</v>
      </c>
      <c r="G1087" s="2" t="s">
        <v>2149</v>
      </c>
    </row>
    <row r="1088" spans="1:7" ht="345" x14ac:dyDescent="0.25">
      <c r="A1088" s="4">
        <v>1087</v>
      </c>
      <c r="B1088" s="5">
        <v>0.1042553191489362</v>
      </c>
      <c r="C1088" s="5">
        <v>0.26385542168674703</v>
      </c>
      <c r="D1088" s="5">
        <v>1.0999999999999999E-2</v>
      </c>
      <c r="E1088" s="5">
        <v>0</v>
      </c>
      <c r="F1088" s="2" t="s">
        <v>2150</v>
      </c>
      <c r="G1088" s="2" t="s">
        <v>650</v>
      </c>
    </row>
    <row r="1089" spans="1:7" ht="165" x14ac:dyDescent="0.25">
      <c r="A1089" s="4">
        <v>1088</v>
      </c>
      <c r="B1089" s="5">
        <v>0.14574468085106379</v>
      </c>
      <c r="C1089" s="5">
        <v>0.18072289156626509</v>
      </c>
      <c r="D1089" s="5">
        <v>8.1000000000000003E-2</v>
      </c>
      <c r="E1089" s="5">
        <v>1.3910355486862439E-3</v>
      </c>
      <c r="F1089" s="2" t="s">
        <v>2151</v>
      </c>
      <c r="G1089" s="2" t="s">
        <v>776</v>
      </c>
    </row>
    <row r="1090" spans="1:7" ht="180" x14ac:dyDescent="0.25">
      <c r="A1090" s="4">
        <v>1089</v>
      </c>
      <c r="B1090" s="5">
        <v>0.29148936170212769</v>
      </c>
      <c r="C1090" s="5">
        <v>0.19277108433734941</v>
      </c>
      <c r="D1090" s="5">
        <v>0.22</v>
      </c>
      <c r="E1090" s="5">
        <v>4.6367851622874804E-3</v>
      </c>
      <c r="F1090" s="2" t="s">
        <v>2152</v>
      </c>
      <c r="G1090" s="2" t="s">
        <v>2153</v>
      </c>
    </row>
    <row r="1091" spans="1:7" ht="240" x14ac:dyDescent="0.25">
      <c r="A1091" s="4">
        <v>1090</v>
      </c>
      <c r="B1091" s="5">
        <v>8.9361702127659579E-2</v>
      </c>
      <c r="C1091" s="5">
        <v>0.12650602409638559</v>
      </c>
      <c r="D1091" s="5">
        <v>4.5999999999999999E-2</v>
      </c>
      <c r="E1091" s="5">
        <v>3.0911901081916539E-4</v>
      </c>
      <c r="F1091" s="2" t="s">
        <v>2154</v>
      </c>
      <c r="G1091" s="2" t="s">
        <v>2155</v>
      </c>
    </row>
    <row r="1092" spans="1:7" ht="210" x14ac:dyDescent="0.25">
      <c r="A1092" s="4">
        <v>1091</v>
      </c>
      <c r="B1092" s="5">
        <v>0.1404255319148936</v>
      </c>
      <c r="C1092" s="5">
        <v>0.23734939759036139</v>
      </c>
      <c r="D1092" s="5">
        <v>3.2000000000000001E-2</v>
      </c>
      <c r="E1092" s="5">
        <v>9.2735703245749607E-3</v>
      </c>
      <c r="F1092" s="2" t="s">
        <v>2156</v>
      </c>
      <c r="G1092" s="2" t="s">
        <v>2157</v>
      </c>
    </row>
    <row r="1093" spans="1:7" ht="240" x14ac:dyDescent="0.25">
      <c r="A1093" s="4">
        <v>1092</v>
      </c>
      <c r="B1093" s="5">
        <v>0.1308510638297872</v>
      </c>
      <c r="C1093" s="5">
        <v>0.12530120481927709</v>
      </c>
      <c r="D1093" s="5">
        <v>8.5999999999999993E-2</v>
      </c>
      <c r="E1093" s="5">
        <v>1.236476043276662E-3</v>
      </c>
      <c r="F1093" s="2" t="s">
        <v>2158</v>
      </c>
      <c r="G1093" s="2" t="s">
        <v>1888</v>
      </c>
    </row>
    <row r="1094" spans="1:7" ht="240" x14ac:dyDescent="0.25">
      <c r="A1094" s="4">
        <v>1093</v>
      </c>
      <c r="B1094" s="5">
        <v>0.38297872340425532</v>
      </c>
      <c r="C1094" s="5">
        <v>0.69036144578313252</v>
      </c>
      <c r="D1094" s="5">
        <v>0.06</v>
      </c>
      <c r="E1094" s="5">
        <v>2.9675425038639871E-2</v>
      </c>
      <c r="F1094" s="2" t="s">
        <v>2159</v>
      </c>
      <c r="G1094" s="2" t="s">
        <v>2160</v>
      </c>
    </row>
    <row r="1095" spans="1:7" ht="210" x14ac:dyDescent="0.25">
      <c r="A1095" s="4">
        <v>1094</v>
      </c>
      <c r="B1095" s="5">
        <v>0.28510638297872343</v>
      </c>
      <c r="C1095" s="5">
        <v>0.28795180722891572</v>
      </c>
      <c r="D1095" s="5">
        <v>0.127</v>
      </c>
      <c r="E1095" s="5">
        <v>2.241112828438949E-2</v>
      </c>
      <c r="F1095" s="2" t="s">
        <v>2161</v>
      </c>
      <c r="G1095" s="2" t="s">
        <v>2162</v>
      </c>
    </row>
    <row r="1096" spans="1:7" ht="270" x14ac:dyDescent="0.25">
      <c r="A1096" s="4">
        <v>1095</v>
      </c>
      <c r="B1096" s="5">
        <v>0.13404255319148939</v>
      </c>
      <c r="C1096" s="5">
        <v>0.16867469879518071</v>
      </c>
      <c r="D1096" s="5">
        <v>7.2000000000000008E-2</v>
      </c>
      <c r="E1096" s="5">
        <v>2.3183925811437402E-3</v>
      </c>
      <c r="F1096" s="2" t="s">
        <v>2163</v>
      </c>
      <c r="G1096" s="2" t="s">
        <v>2164</v>
      </c>
    </row>
    <row r="1097" spans="1:7" ht="315" x14ac:dyDescent="0.25">
      <c r="A1097" s="4">
        <v>1096</v>
      </c>
      <c r="B1097" s="5">
        <v>0.29893617021276597</v>
      </c>
      <c r="C1097" s="5">
        <v>0.45180722891566272</v>
      </c>
      <c r="D1097" s="5">
        <v>3.0000000000000001E-3</v>
      </c>
      <c r="E1097" s="5">
        <v>4.9613601236476047E-2</v>
      </c>
      <c r="F1097" s="2" t="s">
        <v>2165</v>
      </c>
      <c r="G1097" s="2" t="s">
        <v>2166</v>
      </c>
    </row>
    <row r="1098" spans="1:7" ht="135" x14ac:dyDescent="0.25">
      <c r="A1098" s="4">
        <v>1097</v>
      </c>
      <c r="B1098" s="5">
        <v>0.3595744680851064</v>
      </c>
      <c r="C1098" s="5">
        <v>0.25421686746987948</v>
      </c>
      <c r="D1098" s="5">
        <v>0.27</v>
      </c>
      <c r="E1098" s="5">
        <v>1.5455950540958271E-3</v>
      </c>
      <c r="F1098" s="2" t="s">
        <v>2167</v>
      </c>
      <c r="G1098" s="2" t="s">
        <v>2168</v>
      </c>
    </row>
    <row r="1099" spans="1:7" ht="409.5" x14ac:dyDescent="0.25">
      <c r="A1099" s="4">
        <v>1098</v>
      </c>
      <c r="B1099" s="5">
        <v>0.36595744680851072</v>
      </c>
      <c r="C1099" s="5">
        <v>0.36144578313253012</v>
      </c>
      <c r="D1099" s="5">
        <v>0.2</v>
      </c>
      <c r="E1099" s="5">
        <v>6.6460587326120549E-2</v>
      </c>
      <c r="F1099" s="2" t="s">
        <v>2169</v>
      </c>
      <c r="G1099" s="2" t="s">
        <v>2170</v>
      </c>
    </row>
    <row r="1100" spans="1:7" ht="360" x14ac:dyDescent="0.25">
      <c r="A1100" s="4">
        <v>1099</v>
      </c>
      <c r="B1100" s="5">
        <v>0.1765957446808511</v>
      </c>
      <c r="C1100" s="5">
        <v>2.7710843373493971E-2</v>
      </c>
      <c r="D1100" s="5">
        <v>2.8000000000000001E-2</v>
      </c>
      <c r="E1100" s="5">
        <v>5.0850077279752701E-2</v>
      </c>
      <c r="F1100" s="2" t="s">
        <v>2171</v>
      </c>
      <c r="G1100" s="2" t="s">
        <v>2172</v>
      </c>
    </row>
    <row r="1101" spans="1:7" ht="225" x14ac:dyDescent="0.25">
      <c r="A1101" s="4">
        <v>1100</v>
      </c>
      <c r="B1101" s="5">
        <v>0.30106382978723412</v>
      </c>
      <c r="C1101" s="5">
        <v>0.14578313253012051</v>
      </c>
      <c r="D1101" s="5">
        <v>0.16800000000000001</v>
      </c>
      <c r="E1101" s="5">
        <v>3.2302936630602783E-2</v>
      </c>
      <c r="F1101" s="2" t="s">
        <v>2173</v>
      </c>
      <c r="G1101" s="2" t="s">
        <v>2174</v>
      </c>
    </row>
    <row r="1102" spans="1:7" ht="135" x14ac:dyDescent="0.25">
      <c r="A1102" s="4">
        <v>1101</v>
      </c>
      <c r="B1102" s="5">
        <v>0.1170212765957447</v>
      </c>
      <c r="C1102" s="5">
        <v>0.18674698795180719</v>
      </c>
      <c r="D1102" s="5">
        <v>5.0000000000000001E-3</v>
      </c>
      <c r="E1102" s="5">
        <v>1.7774343122102011E-2</v>
      </c>
      <c r="F1102" s="2" t="s">
        <v>2175</v>
      </c>
      <c r="G1102" s="2" t="s">
        <v>2176</v>
      </c>
    </row>
    <row r="1103" spans="1:7" ht="210" x14ac:dyDescent="0.25">
      <c r="A1103" s="4">
        <v>1102</v>
      </c>
      <c r="B1103" s="5">
        <v>0.19042553191489359</v>
      </c>
      <c r="C1103" s="5">
        <v>0.27108433734939757</v>
      </c>
      <c r="D1103" s="5">
        <v>3.5000000000000003E-2</v>
      </c>
      <c r="E1103" s="5">
        <v>2.05564142194745E-2</v>
      </c>
      <c r="F1103" s="2" t="s">
        <v>2177</v>
      </c>
      <c r="G1103" s="2" t="s">
        <v>2178</v>
      </c>
    </row>
    <row r="1104" spans="1:7" ht="409.5" x14ac:dyDescent="0.25">
      <c r="A1104" s="4">
        <v>1103</v>
      </c>
      <c r="B1104" s="5">
        <v>0.29148936170212769</v>
      </c>
      <c r="C1104" s="5">
        <v>0.155421686746988</v>
      </c>
      <c r="D1104" s="5">
        <v>0.186</v>
      </c>
      <c r="E1104" s="5">
        <v>2.1020092735703249E-2</v>
      </c>
      <c r="F1104" s="2" t="s">
        <v>2179</v>
      </c>
      <c r="G1104" s="2" t="s">
        <v>2180</v>
      </c>
    </row>
    <row r="1105" spans="1:7" ht="150" x14ac:dyDescent="0.25">
      <c r="A1105" s="4">
        <v>1104</v>
      </c>
      <c r="B1105" s="5">
        <v>0.13478723404255319</v>
      </c>
      <c r="C1105" s="5">
        <v>0.16867469879518071</v>
      </c>
      <c r="D1105" s="5">
        <v>7.2999999999999995E-2</v>
      </c>
      <c r="E1105" s="5">
        <v>2.0092735703245751E-3</v>
      </c>
      <c r="F1105" s="2" t="s">
        <v>2181</v>
      </c>
      <c r="G1105" s="2" t="s">
        <v>2182</v>
      </c>
    </row>
    <row r="1106" spans="1:7" ht="195" x14ac:dyDescent="0.25">
      <c r="A1106" s="4">
        <v>1105</v>
      </c>
      <c r="B1106" s="5">
        <v>2.3404255319148939E-2</v>
      </c>
      <c r="C1106" s="5">
        <v>2.7710843373493971E-2</v>
      </c>
      <c r="D1106" s="5">
        <v>3.0000000000000001E-3</v>
      </c>
      <c r="E1106" s="5">
        <v>6.1823802163833066E-3</v>
      </c>
      <c r="F1106" s="2" t="s">
        <v>2183</v>
      </c>
      <c r="G1106" s="2" t="s">
        <v>2184</v>
      </c>
    </row>
    <row r="1107" spans="1:7" ht="255" x14ac:dyDescent="0.25">
      <c r="A1107" s="4">
        <v>1106</v>
      </c>
      <c r="B1107" s="5">
        <v>9.5744680851063829E-3</v>
      </c>
      <c r="C1107" s="5">
        <v>1.204819277108434E-2</v>
      </c>
      <c r="D1107" s="5">
        <v>1E-3</v>
      </c>
      <c r="E1107" s="5">
        <v>2.6275115919629061E-3</v>
      </c>
      <c r="F1107" s="2" t="s">
        <v>2185</v>
      </c>
      <c r="G1107" s="2" t="s">
        <v>2186</v>
      </c>
    </row>
    <row r="1108" spans="1:7" ht="150" x14ac:dyDescent="0.25">
      <c r="A1108" s="4">
        <v>1107</v>
      </c>
      <c r="B1108" s="5">
        <v>3.1914893617021267E-2</v>
      </c>
      <c r="C1108" s="5">
        <v>2.289156626506024E-2</v>
      </c>
      <c r="D1108" s="5">
        <v>5.0000000000000001E-3</v>
      </c>
      <c r="E1108" s="5">
        <v>6.8006182380216376E-3</v>
      </c>
      <c r="F1108" s="2" t="s">
        <v>2187</v>
      </c>
      <c r="G1108" s="2" t="s">
        <v>2188</v>
      </c>
    </row>
    <row r="1109" spans="1:7" ht="210" x14ac:dyDescent="0.25">
      <c r="A1109" s="4">
        <v>1108</v>
      </c>
      <c r="B1109" s="5">
        <v>2.021276595744681E-2</v>
      </c>
      <c r="C1109" s="5">
        <v>1.566265060240964E-2</v>
      </c>
      <c r="D1109" s="5">
        <v>2E-3</v>
      </c>
      <c r="E1109" s="5">
        <v>4.4822256568778978E-3</v>
      </c>
      <c r="F1109" s="2" t="s">
        <v>2189</v>
      </c>
      <c r="G1109" s="2" t="s">
        <v>2190</v>
      </c>
    </row>
    <row r="1110" spans="1:7" ht="225" x14ac:dyDescent="0.25">
      <c r="A1110" s="4">
        <v>1109</v>
      </c>
      <c r="B1110" s="5">
        <v>9.7872340425531917E-2</v>
      </c>
      <c r="C1110" s="5">
        <v>6.024096385542169E-3</v>
      </c>
      <c r="D1110" s="5">
        <v>1.0999999999999999E-2</v>
      </c>
      <c r="E1110" s="5">
        <v>3.4621329211746522E-2</v>
      </c>
      <c r="F1110" s="2" t="s">
        <v>2191</v>
      </c>
      <c r="G1110" s="2" t="s">
        <v>2192</v>
      </c>
    </row>
    <row r="1111" spans="1:7" ht="150" x14ac:dyDescent="0.25">
      <c r="A1111" s="4">
        <v>1110</v>
      </c>
      <c r="B1111" s="5">
        <v>6.8085106382978725E-2</v>
      </c>
      <c r="C1111" s="5">
        <v>1.204819277108434E-2</v>
      </c>
      <c r="D1111" s="5">
        <v>3.1E-2</v>
      </c>
      <c r="E1111" s="5">
        <v>1.236476043276661E-2</v>
      </c>
      <c r="F1111" s="2" t="s">
        <v>2193</v>
      </c>
      <c r="G1111" s="2" t="s">
        <v>2194</v>
      </c>
    </row>
    <row r="1112" spans="1:7" ht="135" x14ac:dyDescent="0.25">
      <c r="A1112" s="4">
        <v>1111</v>
      </c>
      <c r="B1112" s="5">
        <v>0.1180851063829787</v>
      </c>
      <c r="C1112" s="5">
        <v>1.084337349397591E-2</v>
      </c>
      <c r="D1112" s="5">
        <v>2.3E-2</v>
      </c>
      <c r="E1112" s="5">
        <v>3.3384853168469862E-2</v>
      </c>
      <c r="F1112" s="2" t="s">
        <v>2195</v>
      </c>
      <c r="G1112" s="2" t="s">
        <v>2196</v>
      </c>
    </row>
    <row r="1113" spans="1:7" ht="180" x14ac:dyDescent="0.25">
      <c r="A1113" s="4">
        <v>1112</v>
      </c>
      <c r="B1113" s="5">
        <v>9.7872340425531917E-2</v>
      </c>
      <c r="C1113" s="5">
        <v>6.024096385542169E-3</v>
      </c>
      <c r="D1113" s="5">
        <v>1.0999999999999999E-2</v>
      </c>
      <c r="E1113" s="5">
        <v>3.4621329211746522E-2</v>
      </c>
      <c r="F1113" s="2" t="s">
        <v>2197</v>
      </c>
      <c r="G1113" s="2" t="s">
        <v>2198</v>
      </c>
    </row>
    <row r="1114" spans="1:7" ht="150" x14ac:dyDescent="0.25">
      <c r="A1114" s="4">
        <v>1113</v>
      </c>
      <c r="B1114" s="5">
        <v>3.085106382978723E-2</v>
      </c>
      <c r="C1114" s="5">
        <v>8.4337349397590362E-3</v>
      </c>
      <c r="D1114" s="5">
        <v>6.0000000000000001E-3</v>
      </c>
      <c r="E1114" s="5">
        <v>7.7279752704791354E-3</v>
      </c>
      <c r="F1114" s="2" t="s">
        <v>2199</v>
      </c>
      <c r="G1114" s="2" t="s">
        <v>2200</v>
      </c>
    </row>
    <row r="1115" spans="1:7" ht="225" x14ac:dyDescent="0.25">
      <c r="A1115" s="4">
        <v>1114</v>
      </c>
      <c r="B1115" s="5">
        <v>5.2127659574468077E-2</v>
      </c>
      <c r="C1115" s="5">
        <v>2.0481927710843371E-2</v>
      </c>
      <c r="D1115" s="5">
        <v>3.0000000000000001E-3</v>
      </c>
      <c r="E1115" s="5">
        <v>1.5146831530139101E-2</v>
      </c>
      <c r="F1115" s="2" t="s">
        <v>2201</v>
      </c>
      <c r="G1115" s="2" t="s">
        <v>2202</v>
      </c>
    </row>
    <row r="1116" spans="1:7" ht="150" x14ac:dyDescent="0.25">
      <c r="A1116" s="4">
        <v>1115</v>
      </c>
      <c r="B1116" s="5">
        <v>0.1893617021276596</v>
      </c>
      <c r="C1116" s="5">
        <v>3.1325301204819279E-2</v>
      </c>
      <c r="D1116" s="5">
        <v>0.13900000000000001</v>
      </c>
      <c r="E1116" s="5">
        <v>1.6383307573415759E-2</v>
      </c>
      <c r="F1116" s="2" t="s">
        <v>2203</v>
      </c>
      <c r="G1116" s="2" t="s">
        <v>2204</v>
      </c>
    </row>
    <row r="1117" spans="1:7" ht="150" x14ac:dyDescent="0.25">
      <c r="A1117" s="4">
        <v>1116</v>
      </c>
      <c r="B1117" s="5">
        <v>0.1414893617021277</v>
      </c>
      <c r="C1117" s="5">
        <v>8.7951807228915671E-2</v>
      </c>
      <c r="D1117" s="5">
        <v>6.6000000000000003E-2</v>
      </c>
      <c r="E1117" s="5">
        <v>1.7310664605873261E-2</v>
      </c>
      <c r="F1117" s="2" t="s">
        <v>2205</v>
      </c>
      <c r="G1117" s="2" t="s">
        <v>2206</v>
      </c>
    </row>
    <row r="1118" spans="1:7" ht="180" x14ac:dyDescent="0.25">
      <c r="A1118" s="4">
        <v>1117</v>
      </c>
      <c r="B1118" s="5">
        <v>6.8085106382978725E-2</v>
      </c>
      <c r="C1118" s="5">
        <v>2.5301204819277109E-2</v>
      </c>
      <c r="D1118" s="5">
        <v>6.0000000000000001E-3</v>
      </c>
      <c r="E1118" s="5">
        <v>1.9319938176197839E-2</v>
      </c>
      <c r="F1118" s="2" t="s">
        <v>2207</v>
      </c>
      <c r="G1118" s="2" t="s">
        <v>2208</v>
      </c>
    </row>
    <row r="1119" spans="1:7" ht="255" x14ac:dyDescent="0.25">
      <c r="A1119" s="4">
        <v>1118</v>
      </c>
      <c r="B1119" s="5">
        <v>3.8297872340425532E-2</v>
      </c>
      <c r="C1119" s="5">
        <v>3.2530120481927723E-2</v>
      </c>
      <c r="D1119" s="5">
        <v>6.9999999999999993E-3</v>
      </c>
      <c r="E1119" s="5">
        <v>7.4188562596599686E-3</v>
      </c>
      <c r="F1119" s="2" t="s">
        <v>2209</v>
      </c>
      <c r="G1119" s="2" t="s">
        <v>2210</v>
      </c>
    </row>
    <row r="1120" spans="1:7" ht="180" x14ac:dyDescent="0.25">
      <c r="A1120" s="4">
        <v>1119</v>
      </c>
      <c r="B1120" s="5">
        <v>5.2127659574468077E-2</v>
      </c>
      <c r="C1120" s="5">
        <v>3.7349397590361447E-2</v>
      </c>
      <c r="D1120" s="5">
        <v>2.5000000000000001E-2</v>
      </c>
      <c r="E1120" s="5">
        <v>5.5641421947449756E-3</v>
      </c>
      <c r="F1120" s="2" t="s">
        <v>2211</v>
      </c>
      <c r="G1120" s="2" t="s">
        <v>2212</v>
      </c>
    </row>
    <row r="1121" spans="1:7" ht="315" x14ac:dyDescent="0.25">
      <c r="A1121" s="4">
        <v>1120</v>
      </c>
      <c r="B1121" s="5">
        <v>2.8723404255319149E-2</v>
      </c>
      <c r="C1121" s="5">
        <v>1.566265060240964E-2</v>
      </c>
      <c r="D1121" s="5">
        <v>0.02</v>
      </c>
      <c r="E1121" s="5">
        <v>1.5455950540958271E-3</v>
      </c>
      <c r="F1121" s="2" t="s">
        <v>2213</v>
      </c>
      <c r="G1121" s="2" t="s">
        <v>2214</v>
      </c>
    </row>
    <row r="1122" spans="1:7" ht="409.5" x14ac:dyDescent="0.25">
      <c r="A1122" s="4">
        <v>1121</v>
      </c>
      <c r="B1122" s="5">
        <v>7.1276595744680857E-2</v>
      </c>
      <c r="C1122" s="5">
        <v>6.2650602409638559E-2</v>
      </c>
      <c r="D1122" s="5">
        <v>2.9000000000000001E-2</v>
      </c>
      <c r="E1122" s="5">
        <v>7.8825347758887162E-3</v>
      </c>
      <c r="F1122" s="2" t="s">
        <v>2215</v>
      </c>
      <c r="G1122" s="2" t="s">
        <v>2216</v>
      </c>
    </row>
    <row r="1123" spans="1:7" ht="210" x14ac:dyDescent="0.25">
      <c r="A1123" s="4">
        <v>1122</v>
      </c>
      <c r="B1123" s="5">
        <v>6.063829787234043E-2</v>
      </c>
      <c r="C1123" s="5">
        <v>6.5060240963855431E-2</v>
      </c>
      <c r="D1123" s="5">
        <v>2.5999999999999999E-2</v>
      </c>
      <c r="E1123" s="5">
        <v>4.7913446676970638E-3</v>
      </c>
      <c r="F1123" s="2" t="s">
        <v>2217</v>
      </c>
      <c r="G1123" s="2" t="s">
        <v>2218</v>
      </c>
    </row>
    <row r="1124" spans="1:7" ht="150" x14ac:dyDescent="0.25">
      <c r="A1124" s="4">
        <v>1123</v>
      </c>
      <c r="B1124" s="5">
        <v>1.5957446808510641E-2</v>
      </c>
      <c r="C1124" s="5">
        <v>1.445783132530121E-2</v>
      </c>
      <c r="D1124" s="5">
        <v>2E-3</v>
      </c>
      <c r="E1124" s="5">
        <v>4.4822256568778978E-3</v>
      </c>
      <c r="F1124" s="2" t="s">
        <v>2219</v>
      </c>
      <c r="G1124" s="2" t="s">
        <v>2220</v>
      </c>
    </row>
    <row r="1125" spans="1:7" ht="409.5" x14ac:dyDescent="0.25">
      <c r="A1125" s="4">
        <v>1124</v>
      </c>
      <c r="B1125" s="5">
        <v>1.8085106382978729E-2</v>
      </c>
      <c r="C1125" s="5">
        <v>2.0481927710843371E-2</v>
      </c>
      <c r="D1125" s="5">
        <v>3.0000000000000001E-3</v>
      </c>
      <c r="E1125" s="5">
        <v>4.6367851622874804E-3</v>
      </c>
      <c r="F1125" s="2" t="s">
        <v>2221</v>
      </c>
      <c r="G1125" s="2" t="s">
        <v>2222</v>
      </c>
    </row>
    <row r="1126" spans="1:7" ht="360" x14ac:dyDescent="0.25">
      <c r="A1126" s="4">
        <v>1125</v>
      </c>
      <c r="B1126" s="5">
        <v>2.021276595744681E-2</v>
      </c>
      <c r="C1126" s="5">
        <v>3.2530120481927723E-2</v>
      </c>
      <c r="D1126" s="5">
        <v>2E-3</v>
      </c>
      <c r="E1126" s="5">
        <v>4.4822256568778978E-3</v>
      </c>
      <c r="F1126" s="2" t="s">
        <v>2223</v>
      </c>
      <c r="G1126" s="2" t="s">
        <v>2224</v>
      </c>
    </row>
    <row r="1127" spans="1:7" ht="120" x14ac:dyDescent="0.25">
      <c r="A1127" s="4">
        <v>1126</v>
      </c>
      <c r="B1127" s="5">
        <v>2.1276595744680851E-2</v>
      </c>
      <c r="C1127" s="5">
        <v>1.204819277108434E-2</v>
      </c>
      <c r="D1127" s="5">
        <v>1E-3</v>
      </c>
      <c r="E1127" s="5">
        <v>7.1097372488408027E-3</v>
      </c>
      <c r="F1127" s="2" t="s">
        <v>2225</v>
      </c>
      <c r="G1127" s="2" t="s">
        <v>2226</v>
      </c>
    </row>
    <row r="1128" spans="1:7" ht="135" x14ac:dyDescent="0.25">
      <c r="A1128" s="4">
        <v>1127</v>
      </c>
      <c r="B1128" s="5">
        <v>2.9787234042553189E-2</v>
      </c>
      <c r="C1128" s="5">
        <v>6.024096385542169E-3</v>
      </c>
      <c r="D1128" s="5">
        <v>2E-3</v>
      </c>
      <c r="E1128" s="5">
        <v>1.066460587326121E-2</v>
      </c>
      <c r="F1128" s="2" t="s">
        <v>2227</v>
      </c>
      <c r="G1128" s="2" t="s">
        <v>2228</v>
      </c>
    </row>
    <row r="1129" spans="1:7" ht="180" x14ac:dyDescent="0.25">
      <c r="A1129" s="4">
        <v>1128</v>
      </c>
      <c r="B1129" s="5">
        <v>0.2047872340425532</v>
      </c>
      <c r="C1129" s="5">
        <v>5.4216867469879519E-2</v>
      </c>
      <c r="D1129" s="5">
        <v>0.06</v>
      </c>
      <c r="E1129" s="5">
        <v>4.6831530139103558E-2</v>
      </c>
      <c r="F1129" s="2" t="s">
        <v>2229</v>
      </c>
      <c r="G1129" s="2" t="s">
        <v>2230</v>
      </c>
    </row>
    <row r="1130" spans="1:7" ht="270" x14ac:dyDescent="0.25">
      <c r="A1130" s="4">
        <v>1129</v>
      </c>
      <c r="B1130" s="5">
        <v>6.8085106382978725E-2</v>
      </c>
      <c r="C1130" s="5">
        <v>7.2289156626506026E-3</v>
      </c>
      <c r="D1130" s="5">
        <v>3.0000000000000001E-3</v>
      </c>
      <c r="E1130" s="5">
        <v>2.2874806800618239E-2</v>
      </c>
      <c r="F1130" s="2" t="s">
        <v>2231</v>
      </c>
      <c r="G1130" s="2" t="s">
        <v>2232</v>
      </c>
    </row>
    <row r="1131" spans="1:7" ht="165" x14ac:dyDescent="0.25">
      <c r="A1131" s="4">
        <v>1130</v>
      </c>
      <c r="B1131" s="5">
        <v>0.37553191489361698</v>
      </c>
      <c r="C1131" s="5">
        <v>8.4337349397590362E-3</v>
      </c>
      <c r="D1131" s="5">
        <v>2E-3</v>
      </c>
      <c r="E1131" s="5">
        <v>0.1309119010819165</v>
      </c>
      <c r="F1131" s="2" t="s">
        <v>2233</v>
      </c>
      <c r="G1131" s="2" t="s">
        <v>2234</v>
      </c>
    </row>
    <row r="1132" spans="1:7" ht="150" x14ac:dyDescent="0.25">
      <c r="A1132" s="4">
        <v>1131</v>
      </c>
      <c r="B1132" s="5">
        <v>9.3617021276595741E-2</v>
      </c>
      <c r="C1132" s="5">
        <v>9.5180722891566275E-2</v>
      </c>
      <c r="D1132" s="5">
        <v>1.6E-2</v>
      </c>
      <c r="E1132" s="5">
        <v>1.6383307573415759E-2</v>
      </c>
      <c r="F1132" s="2" t="s">
        <v>2235</v>
      </c>
      <c r="G1132" s="2" t="s">
        <v>2236</v>
      </c>
    </row>
    <row r="1133" spans="1:7" ht="120" x14ac:dyDescent="0.25">
      <c r="A1133" s="4">
        <v>1132</v>
      </c>
      <c r="B1133" s="5">
        <v>0.31702127659574469</v>
      </c>
      <c r="C1133" s="5">
        <v>9.6385542168674704E-2</v>
      </c>
      <c r="D1133" s="5">
        <v>0.23799999999999999</v>
      </c>
      <c r="E1133" s="5">
        <v>7.5579598145285934E-2</v>
      </c>
      <c r="F1133" s="2" t="s">
        <v>2237</v>
      </c>
      <c r="G1133" s="2" t="s">
        <v>428</v>
      </c>
    </row>
    <row r="1134" spans="1:7" ht="120" x14ac:dyDescent="0.25">
      <c r="A1134" s="4">
        <v>1133</v>
      </c>
      <c r="B1134" s="5">
        <v>0.50851063829787235</v>
      </c>
      <c r="C1134" s="5">
        <v>3.012048192771084E-2</v>
      </c>
      <c r="D1134" s="5">
        <v>0.21199999999999999</v>
      </c>
      <c r="E1134" s="5">
        <v>0.1069551777434312</v>
      </c>
      <c r="F1134" s="2" t="s">
        <v>2238</v>
      </c>
      <c r="G1134" s="2" t="s">
        <v>2239</v>
      </c>
    </row>
    <row r="1135" spans="1:7" ht="210" x14ac:dyDescent="0.25">
      <c r="A1135" s="4">
        <v>1134</v>
      </c>
      <c r="B1135" s="5">
        <v>0.22659574468085111</v>
      </c>
      <c r="C1135" s="5">
        <v>0</v>
      </c>
      <c r="D1135" s="5">
        <v>0</v>
      </c>
      <c r="E1135" s="5">
        <v>8.5007727975270481E-2</v>
      </c>
      <c r="F1135" s="2" t="s">
        <v>2240</v>
      </c>
      <c r="G1135" s="2" t="s">
        <v>2241</v>
      </c>
    </row>
    <row r="1136" spans="1:7" ht="165" x14ac:dyDescent="0.25">
      <c r="A1136" s="4">
        <v>1135</v>
      </c>
      <c r="B1136" s="5">
        <v>9.3617021276595741E-2</v>
      </c>
      <c r="C1136" s="5">
        <v>3.8554216867469883E-2</v>
      </c>
      <c r="D1136" s="5">
        <v>0.08</v>
      </c>
      <c r="E1136" s="5">
        <v>1.236476043276662E-3</v>
      </c>
      <c r="F1136" s="2" t="s">
        <v>2242</v>
      </c>
      <c r="G1136" s="2" t="s">
        <v>351</v>
      </c>
    </row>
    <row r="1137" spans="1:7" ht="409.5" x14ac:dyDescent="0.25">
      <c r="A1137" s="4">
        <v>1136</v>
      </c>
      <c r="B1137" s="5">
        <v>0.50425531914893618</v>
      </c>
      <c r="C1137" s="5">
        <v>0.13493975903614461</v>
      </c>
      <c r="D1137" s="5">
        <v>0.42499999999999999</v>
      </c>
      <c r="E1137" s="5">
        <v>1.8083462132921169E-2</v>
      </c>
      <c r="F1137" s="2" t="s">
        <v>2243</v>
      </c>
      <c r="G1137" s="2" t="s">
        <v>2244</v>
      </c>
    </row>
    <row r="1138" spans="1:7" ht="409.5" x14ac:dyDescent="0.25">
      <c r="A1138" s="4">
        <v>1137</v>
      </c>
      <c r="B1138" s="5">
        <v>8.6170212765957446E-2</v>
      </c>
      <c r="C1138" s="5">
        <v>6.1445783132530123E-2</v>
      </c>
      <c r="D1138" s="5">
        <v>4.4999999999999998E-2</v>
      </c>
      <c r="E1138" s="5">
        <v>7.8825347758887162E-3</v>
      </c>
      <c r="F1138" s="2" t="s">
        <v>2245</v>
      </c>
      <c r="G1138" s="2" t="s">
        <v>2246</v>
      </c>
    </row>
    <row r="1139" spans="1:7" ht="120" x14ac:dyDescent="0.25">
      <c r="A1139" s="4">
        <v>1138</v>
      </c>
      <c r="B1139" s="5">
        <v>0.30319148936170209</v>
      </c>
      <c r="C1139" s="5">
        <v>1.204819277108434E-2</v>
      </c>
      <c r="D1139" s="5">
        <v>0.18</v>
      </c>
      <c r="E1139" s="5">
        <v>4.3276661514683151E-2</v>
      </c>
      <c r="F1139" s="2" t="s">
        <v>2247</v>
      </c>
      <c r="G1139" s="2" t="s">
        <v>2248</v>
      </c>
    </row>
    <row r="1140" spans="1:7" ht="225" x14ac:dyDescent="0.25">
      <c r="A1140" s="4">
        <v>1139</v>
      </c>
      <c r="B1140" s="5">
        <v>0.15531914893617019</v>
      </c>
      <c r="C1140" s="5">
        <v>1.445783132530121E-2</v>
      </c>
      <c r="D1140" s="5">
        <v>3.0000000000000001E-3</v>
      </c>
      <c r="E1140" s="5">
        <v>5.3632148377125197E-2</v>
      </c>
      <c r="F1140" s="2" t="s">
        <v>2249</v>
      </c>
      <c r="G1140" s="2" t="s">
        <v>2250</v>
      </c>
    </row>
    <row r="1141" spans="1:7" ht="409.5" x14ac:dyDescent="0.25">
      <c r="A1141" s="4">
        <v>1140</v>
      </c>
      <c r="B1141" s="5">
        <v>0.18404255319148941</v>
      </c>
      <c r="C1141" s="5">
        <v>6.024096385542169E-3</v>
      </c>
      <c r="D1141" s="5">
        <v>1E-3</v>
      </c>
      <c r="E1141" s="5">
        <v>6.5687789799072638E-2</v>
      </c>
      <c r="F1141" s="2" t="s">
        <v>2251</v>
      </c>
      <c r="G1141" s="2" t="s">
        <v>2252</v>
      </c>
    </row>
    <row r="1142" spans="1:7" ht="210" x14ac:dyDescent="0.25">
      <c r="A1142" s="4">
        <v>1141</v>
      </c>
      <c r="B1142" s="5">
        <v>0.10138297872340429</v>
      </c>
      <c r="C1142" s="5">
        <v>5.301204819277109E-2</v>
      </c>
      <c r="D1142" s="5">
        <v>2.1999999999999999E-2</v>
      </c>
      <c r="E1142" s="5">
        <v>2.2256568778979909E-2</v>
      </c>
      <c r="F1142" s="2" t="s">
        <v>2253</v>
      </c>
      <c r="G1142" s="2" t="s">
        <v>2254</v>
      </c>
    </row>
    <row r="1143" spans="1:7" ht="165" x14ac:dyDescent="0.25">
      <c r="A1143" s="4">
        <v>1142</v>
      </c>
      <c r="B1143" s="5">
        <v>6.9148936170212769E-2</v>
      </c>
      <c r="C1143" s="5">
        <v>1.204819277108434E-2</v>
      </c>
      <c r="D1143" s="5">
        <v>3.0000000000000001E-3</v>
      </c>
      <c r="E1143" s="5">
        <v>2.5193199381761979E-2</v>
      </c>
      <c r="F1143" s="2" t="s">
        <v>2255</v>
      </c>
      <c r="G1143" s="2" t="s">
        <v>2256</v>
      </c>
    </row>
    <row r="1144" spans="1:7" ht="105" x14ac:dyDescent="0.25">
      <c r="A1144" s="4">
        <v>1143</v>
      </c>
      <c r="B1144" s="5">
        <v>0.22659574468085111</v>
      </c>
      <c r="C1144" s="5">
        <v>0</v>
      </c>
      <c r="D1144" s="5">
        <v>0</v>
      </c>
      <c r="E1144" s="5">
        <v>8.5007727975270481E-2</v>
      </c>
      <c r="F1144" s="2" t="s">
        <v>2257</v>
      </c>
      <c r="G1144" s="2" t="s">
        <v>2258</v>
      </c>
    </row>
    <row r="1145" spans="1:7" ht="150" x14ac:dyDescent="0.25">
      <c r="A1145" s="4">
        <v>1144</v>
      </c>
      <c r="B1145" s="5">
        <v>7.5531914893617019E-2</v>
      </c>
      <c r="C1145" s="5">
        <v>9.036144578313253E-2</v>
      </c>
      <c r="D1145" s="5">
        <v>3.5999999999999997E-2</v>
      </c>
      <c r="E1145" s="5">
        <v>3.4003091190108188E-3</v>
      </c>
      <c r="F1145" s="2" t="s">
        <v>2259</v>
      </c>
      <c r="G1145" s="2" t="s">
        <v>2260</v>
      </c>
    </row>
    <row r="1146" spans="1:7" ht="255" x14ac:dyDescent="0.25">
      <c r="A1146" s="4">
        <v>1145</v>
      </c>
      <c r="B1146" s="5">
        <v>5.2127659574468077E-2</v>
      </c>
      <c r="C1146" s="5">
        <v>6.9879518072289162E-2</v>
      </c>
      <c r="D1146" s="5">
        <v>5.0000000000000001E-3</v>
      </c>
      <c r="E1146" s="5">
        <v>8.1916537867078813E-3</v>
      </c>
      <c r="F1146" s="2" t="s">
        <v>2261</v>
      </c>
      <c r="G1146" s="2" t="s">
        <v>2262</v>
      </c>
    </row>
    <row r="1147" spans="1:7" ht="210" x14ac:dyDescent="0.25">
      <c r="A1147" s="4">
        <v>1146</v>
      </c>
      <c r="B1147" s="5">
        <v>7.2340425531914901E-2</v>
      </c>
      <c r="C1147" s="5">
        <v>0.108433734939759</v>
      </c>
      <c r="D1147" s="5">
        <v>1.9E-2</v>
      </c>
      <c r="E1147" s="5">
        <v>5.7187017001545598E-3</v>
      </c>
      <c r="F1147" s="2" t="s">
        <v>2263</v>
      </c>
      <c r="G1147" s="2" t="s">
        <v>2264</v>
      </c>
    </row>
    <row r="1148" spans="1:7" ht="240" x14ac:dyDescent="0.25">
      <c r="A1148" s="4">
        <v>1147</v>
      </c>
      <c r="B1148" s="5">
        <v>3.617021276595745E-2</v>
      </c>
      <c r="C1148" s="5">
        <v>6.6265060240963861E-2</v>
      </c>
      <c r="D1148" s="5">
        <v>8.0000000000000002E-3</v>
      </c>
      <c r="E1148" s="5">
        <v>1.70015455950541E-3</v>
      </c>
      <c r="F1148" s="2" t="s">
        <v>2265</v>
      </c>
      <c r="G1148" s="2" t="s">
        <v>2266</v>
      </c>
    </row>
    <row r="1149" spans="1:7" ht="240" x14ac:dyDescent="0.25">
      <c r="A1149" s="4">
        <v>1148</v>
      </c>
      <c r="B1149" s="5">
        <v>7.5531914893617019E-2</v>
      </c>
      <c r="C1149" s="5">
        <v>8.91566265060241E-2</v>
      </c>
      <c r="D1149" s="5">
        <v>2.5999999999999999E-2</v>
      </c>
      <c r="E1149" s="5">
        <v>6.955177743431221E-3</v>
      </c>
      <c r="F1149" s="2" t="s">
        <v>2267</v>
      </c>
      <c r="G1149" s="2" t="s">
        <v>2268</v>
      </c>
    </row>
    <row r="1150" spans="1:7" ht="150" x14ac:dyDescent="0.25">
      <c r="A1150" s="4">
        <v>1149</v>
      </c>
      <c r="B1150" s="5">
        <v>1.276595744680851E-2</v>
      </c>
      <c r="C1150" s="5">
        <v>6.024096385542169E-3</v>
      </c>
      <c r="D1150" s="5">
        <v>1E-3</v>
      </c>
      <c r="E1150" s="5">
        <v>3.0911901081916542E-3</v>
      </c>
      <c r="F1150" s="2" t="s">
        <v>2269</v>
      </c>
      <c r="G1150" s="2" t="s">
        <v>2270</v>
      </c>
    </row>
    <row r="1151" spans="1:7" ht="225" x14ac:dyDescent="0.25">
      <c r="A1151" s="4">
        <v>1150</v>
      </c>
      <c r="B1151" s="5">
        <v>1.5957446808510641E-2</v>
      </c>
      <c r="C1151" s="5">
        <v>7.2289156626506026E-3</v>
      </c>
      <c r="D1151" s="5">
        <v>1E-3</v>
      </c>
      <c r="E1151" s="5">
        <v>4.7913446676970638E-3</v>
      </c>
      <c r="F1151" s="2" t="s">
        <v>2271</v>
      </c>
      <c r="G1151" s="2" t="s">
        <v>2272</v>
      </c>
    </row>
    <row r="1152" spans="1:7" ht="150" x14ac:dyDescent="0.25">
      <c r="A1152" s="4">
        <v>1151</v>
      </c>
      <c r="B1152" s="5">
        <v>9.4680851063829785E-2</v>
      </c>
      <c r="C1152" s="5">
        <v>8.6746987951807242E-2</v>
      </c>
      <c r="D1152" s="5">
        <v>0.05</v>
      </c>
      <c r="E1152" s="5">
        <v>6.0278207109737249E-3</v>
      </c>
      <c r="F1152" s="2" t="s">
        <v>2273</v>
      </c>
      <c r="G1152" s="2" t="s">
        <v>2274</v>
      </c>
    </row>
    <row r="1153" spans="1:7" ht="240" x14ac:dyDescent="0.25">
      <c r="A1153" s="4">
        <v>1152</v>
      </c>
      <c r="B1153" s="5">
        <v>4.4680851063829789E-2</v>
      </c>
      <c r="C1153" s="5">
        <v>4.6987951807228923E-2</v>
      </c>
      <c r="D1153" s="5">
        <v>1.7000000000000001E-2</v>
      </c>
      <c r="E1153" s="5">
        <v>4.3276661514683153E-3</v>
      </c>
      <c r="F1153" s="2" t="s">
        <v>2275</v>
      </c>
      <c r="G1153" s="2" t="s">
        <v>2276</v>
      </c>
    </row>
    <row r="1154" spans="1:7" ht="135" x14ac:dyDescent="0.25">
      <c r="A1154" s="4">
        <v>1153</v>
      </c>
      <c r="B1154" s="5">
        <v>0.1170212765957447</v>
      </c>
      <c r="C1154" s="5">
        <v>3.4939759036144581E-2</v>
      </c>
      <c r="D1154" s="5">
        <v>9.5000000000000001E-2</v>
      </c>
      <c r="E1154" s="5">
        <v>4.9459041731066463E-3</v>
      </c>
      <c r="F1154" s="2" t="s">
        <v>2277</v>
      </c>
      <c r="G1154" s="2" t="s">
        <v>2278</v>
      </c>
    </row>
    <row r="1155" spans="1:7" ht="285" x14ac:dyDescent="0.25">
      <c r="A1155" s="4">
        <v>1154</v>
      </c>
      <c r="B1155" s="5">
        <v>0.14361702127659581</v>
      </c>
      <c r="C1155" s="5">
        <v>3.012048192771084E-2</v>
      </c>
      <c r="D1155" s="5">
        <v>8.8000000000000009E-2</v>
      </c>
      <c r="E1155" s="5">
        <v>1.7774343122102011E-2</v>
      </c>
      <c r="F1155" s="2" t="s">
        <v>2279</v>
      </c>
      <c r="G1155" s="2" t="s">
        <v>2280</v>
      </c>
    </row>
    <row r="1156" spans="1:7" ht="330" x14ac:dyDescent="0.25">
      <c r="A1156" s="4">
        <v>1155</v>
      </c>
      <c r="B1156" s="5">
        <v>0.13563829787234041</v>
      </c>
      <c r="C1156" s="5">
        <v>3.1325301204819279E-2</v>
      </c>
      <c r="D1156" s="5">
        <v>9.4E-2</v>
      </c>
      <c r="E1156" s="5">
        <v>1.2828438948995361E-2</v>
      </c>
      <c r="F1156" s="2" t="s">
        <v>2281</v>
      </c>
      <c r="G1156" s="2" t="s">
        <v>2282</v>
      </c>
    </row>
    <row r="1157" spans="1:7" ht="210" x14ac:dyDescent="0.25">
      <c r="A1157" s="4">
        <v>1156</v>
      </c>
      <c r="B1157" s="5">
        <v>9.7872340425531917E-2</v>
      </c>
      <c r="C1157" s="5">
        <v>0.14216867469879521</v>
      </c>
      <c r="D1157" s="5">
        <v>4.2999999999999997E-2</v>
      </c>
      <c r="E1157" s="5">
        <v>2.1638330757341581E-3</v>
      </c>
      <c r="F1157" s="2" t="s">
        <v>2283</v>
      </c>
      <c r="G1157" s="2" t="s">
        <v>2284</v>
      </c>
    </row>
    <row r="1158" spans="1:7" ht="165" x14ac:dyDescent="0.25">
      <c r="A1158" s="4">
        <v>1157</v>
      </c>
      <c r="B1158" s="5">
        <v>4.042553191489362E-2</v>
      </c>
      <c r="C1158" s="5">
        <v>3.1325301204819279E-2</v>
      </c>
      <c r="D1158" s="5">
        <v>2.3E-2</v>
      </c>
      <c r="E1158" s="5">
        <v>2.7820710973724878E-3</v>
      </c>
      <c r="F1158" s="2" t="s">
        <v>2285</v>
      </c>
      <c r="G1158" s="2" t="s">
        <v>2286</v>
      </c>
    </row>
    <row r="1159" spans="1:7" ht="360" x14ac:dyDescent="0.25">
      <c r="A1159" s="4">
        <v>1158</v>
      </c>
      <c r="B1159" s="5">
        <v>6.3829787234042548E-2</v>
      </c>
      <c r="C1159" s="5">
        <v>4.2168674698795178E-2</v>
      </c>
      <c r="D1159" s="5">
        <v>4.4999999999999998E-2</v>
      </c>
      <c r="E1159" s="5">
        <v>2.0092735703245751E-3</v>
      </c>
      <c r="F1159" s="2" t="s">
        <v>2287</v>
      </c>
      <c r="G1159" s="2" t="s">
        <v>2288</v>
      </c>
    </row>
    <row r="1160" spans="1:7" ht="165" x14ac:dyDescent="0.25">
      <c r="A1160" s="4">
        <v>1159</v>
      </c>
      <c r="B1160" s="5">
        <v>0.1351063829787234</v>
      </c>
      <c r="C1160" s="5">
        <v>7.1084337349397592E-2</v>
      </c>
      <c r="D1160" s="5">
        <v>6.6000000000000003E-2</v>
      </c>
      <c r="E1160" s="5">
        <v>1.70015455950541E-2</v>
      </c>
      <c r="F1160" s="2" t="s">
        <v>2289</v>
      </c>
      <c r="G1160" s="2" t="s">
        <v>2290</v>
      </c>
    </row>
    <row r="1161" spans="1:7" ht="165" x14ac:dyDescent="0.25">
      <c r="A1161" s="4">
        <v>1160</v>
      </c>
      <c r="B1161" s="5">
        <v>0.1</v>
      </c>
      <c r="C1161" s="5">
        <v>3.6144578313253017E-2</v>
      </c>
      <c r="D1161" s="5">
        <v>6.8000000000000005E-2</v>
      </c>
      <c r="E1161" s="5">
        <v>7.8825347758887162E-3</v>
      </c>
      <c r="F1161" s="2" t="s">
        <v>2291</v>
      </c>
      <c r="G1161" s="2" t="s">
        <v>2292</v>
      </c>
    </row>
    <row r="1162" spans="1:7" ht="150" x14ac:dyDescent="0.25">
      <c r="A1162" s="4">
        <v>1161</v>
      </c>
      <c r="B1162" s="5">
        <v>7.9787234042553196E-2</v>
      </c>
      <c r="C1162" s="5">
        <v>4.3373493975903621E-2</v>
      </c>
      <c r="D1162" s="5">
        <v>5.1999999999999998E-2</v>
      </c>
      <c r="E1162" s="5">
        <v>5.4095826893353939E-3</v>
      </c>
      <c r="F1162" s="2" t="s">
        <v>2293</v>
      </c>
      <c r="G1162" s="2" t="s">
        <v>2294</v>
      </c>
    </row>
    <row r="1163" spans="1:7" ht="165" x14ac:dyDescent="0.25">
      <c r="A1163" s="4">
        <v>1162</v>
      </c>
      <c r="B1163" s="5">
        <v>8.5106382978723402E-2</v>
      </c>
      <c r="C1163" s="5">
        <v>3.8554216867469883E-2</v>
      </c>
      <c r="D1163" s="5">
        <v>3.5000000000000003E-2</v>
      </c>
      <c r="E1163" s="5">
        <v>1.391035548686244E-2</v>
      </c>
      <c r="F1163" s="2" t="s">
        <v>2295</v>
      </c>
      <c r="G1163" s="2" t="s">
        <v>2296</v>
      </c>
    </row>
    <row r="1164" spans="1:7" ht="150" x14ac:dyDescent="0.25">
      <c r="A1164" s="4">
        <v>1163</v>
      </c>
      <c r="B1164" s="5">
        <v>9.1489361702127667E-2</v>
      </c>
      <c r="C1164" s="5">
        <v>2.7710843373493971E-2</v>
      </c>
      <c r="D1164" s="5">
        <v>8.5000000000000006E-2</v>
      </c>
      <c r="E1164" s="5">
        <v>0</v>
      </c>
      <c r="F1164" s="2" t="s">
        <v>2297</v>
      </c>
      <c r="G1164" s="2" t="s">
        <v>2298</v>
      </c>
    </row>
    <row r="1165" spans="1:7" ht="150" x14ac:dyDescent="0.25">
      <c r="A1165" s="4">
        <v>1164</v>
      </c>
      <c r="B1165" s="5">
        <v>0.1245744680851064</v>
      </c>
      <c r="C1165" s="5">
        <v>4.8192771084337354E-3</v>
      </c>
      <c r="D1165" s="5">
        <v>8.5999999999999993E-2</v>
      </c>
      <c r="E1165" s="5">
        <v>1.4837712519319941E-2</v>
      </c>
      <c r="F1165" s="2" t="s">
        <v>2299</v>
      </c>
      <c r="G1165" s="2" t="s">
        <v>2300</v>
      </c>
    </row>
    <row r="1166" spans="1:7" ht="210" x14ac:dyDescent="0.25">
      <c r="A1166" s="4">
        <v>1165</v>
      </c>
      <c r="B1166" s="5">
        <v>0.14787234042553191</v>
      </c>
      <c r="C1166" s="5">
        <v>8.91566265060241E-2</v>
      </c>
      <c r="D1166" s="5">
        <v>2.1000000000000001E-2</v>
      </c>
      <c r="E1166" s="5">
        <v>3.4930448222565691E-2</v>
      </c>
      <c r="F1166" s="2" t="s">
        <v>2301</v>
      </c>
      <c r="G1166" s="2" t="s">
        <v>2302</v>
      </c>
    </row>
    <row r="1167" spans="1:7" ht="225" x14ac:dyDescent="0.25">
      <c r="A1167" s="4">
        <v>1166</v>
      </c>
      <c r="B1167" s="5">
        <v>0.1074468085106383</v>
      </c>
      <c r="C1167" s="5">
        <v>2.0481927710843371E-2</v>
      </c>
      <c r="D1167" s="5">
        <v>6.0000000000000001E-3</v>
      </c>
      <c r="E1167" s="5">
        <v>5.4404945904173108E-2</v>
      </c>
      <c r="F1167" s="2" t="s">
        <v>2303</v>
      </c>
      <c r="G1167" s="2" t="s">
        <v>2304</v>
      </c>
    </row>
    <row r="1168" spans="1:7" ht="165" x14ac:dyDescent="0.25">
      <c r="A1168" s="4">
        <v>1167</v>
      </c>
      <c r="B1168" s="5">
        <v>7.9787234042553196E-2</v>
      </c>
      <c r="C1168" s="5">
        <v>6.746987951807229E-2</v>
      </c>
      <c r="D1168" s="5">
        <v>4.0000000000000001E-3</v>
      </c>
      <c r="E1168" s="5">
        <v>1.885625965996909E-2</v>
      </c>
      <c r="F1168" s="2" t="s">
        <v>2305</v>
      </c>
      <c r="G1168" s="2" t="s">
        <v>2306</v>
      </c>
    </row>
    <row r="1169" spans="1:7" ht="225" x14ac:dyDescent="0.25">
      <c r="A1169" s="4">
        <v>1168</v>
      </c>
      <c r="B1169" s="5">
        <v>0.12659574468085111</v>
      </c>
      <c r="C1169" s="5">
        <v>1.6867469879518069E-2</v>
      </c>
      <c r="D1169" s="5">
        <v>2E-3</v>
      </c>
      <c r="E1169" s="5">
        <v>4.3431221020092739E-2</v>
      </c>
      <c r="F1169" s="2" t="s">
        <v>2307</v>
      </c>
      <c r="G1169" s="2" t="s">
        <v>2308</v>
      </c>
    </row>
    <row r="1170" spans="1:7" ht="120" x14ac:dyDescent="0.25">
      <c r="A1170" s="4">
        <v>1169</v>
      </c>
      <c r="B1170" s="5">
        <v>0.13404255319148939</v>
      </c>
      <c r="C1170" s="5">
        <v>1.9277108433734941E-2</v>
      </c>
      <c r="D1170" s="5">
        <v>2E-3</v>
      </c>
      <c r="E1170" s="5">
        <v>3.7867078825347761E-2</v>
      </c>
      <c r="F1170" s="2" t="s">
        <v>2309</v>
      </c>
      <c r="G1170" s="2" t="s">
        <v>2310</v>
      </c>
    </row>
    <row r="1171" spans="1:7" ht="225" x14ac:dyDescent="0.25">
      <c r="A1171" s="4">
        <v>1170</v>
      </c>
      <c r="B1171" s="5">
        <v>0.44468085106382982</v>
      </c>
      <c r="C1171" s="5">
        <v>0.2289156626506024</v>
      </c>
      <c r="D1171" s="5">
        <v>0.09</v>
      </c>
      <c r="E1171" s="5">
        <v>0.10123647604327669</v>
      </c>
      <c r="F1171" s="2" t="s">
        <v>2311</v>
      </c>
      <c r="G1171" s="2" t="s">
        <v>2312</v>
      </c>
    </row>
    <row r="1172" spans="1:7" ht="240" x14ac:dyDescent="0.25">
      <c r="A1172" s="4">
        <v>1171</v>
      </c>
      <c r="B1172" s="5">
        <v>0.54574468085106387</v>
      </c>
      <c r="C1172" s="5">
        <v>0.29638554216867469</v>
      </c>
      <c r="D1172" s="5">
        <v>0.3</v>
      </c>
      <c r="E1172" s="5">
        <v>5.5950540958268943E-2</v>
      </c>
      <c r="F1172" s="2" t="s">
        <v>2313</v>
      </c>
      <c r="G1172" s="2" t="s">
        <v>2314</v>
      </c>
    </row>
    <row r="1173" spans="1:7" ht="195" x14ac:dyDescent="0.25">
      <c r="A1173" s="4">
        <v>1172</v>
      </c>
      <c r="B1173" s="5">
        <v>6.8085106382978725E-2</v>
      </c>
      <c r="C1173" s="5">
        <v>5.1807228915662647E-2</v>
      </c>
      <c r="D1173" s="5">
        <v>2.3E-2</v>
      </c>
      <c r="E1173" s="5">
        <v>1.0200927357032459E-2</v>
      </c>
      <c r="F1173" s="2" t="s">
        <v>2315</v>
      </c>
      <c r="G1173" s="2" t="s">
        <v>2316</v>
      </c>
    </row>
    <row r="1174" spans="1:7" ht="330" x14ac:dyDescent="0.25">
      <c r="A1174" s="4">
        <v>1173</v>
      </c>
      <c r="B1174" s="5">
        <v>4.3617021276595752E-2</v>
      </c>
      <c r="C1174" s="5">
        <v>4.2168674698795178E-2</v>
      </c>
      <c r="D1174" s="5">
        <v>2.5000000000000001E-2</v>
      </c>
      <c r="E1174" s="5">
        <v>7.7279752704791354E-3</v>
      </c>
      <c r="F1174" s="2" t="s">
        <v>2317</v>
      </c>
      <c r="G1174" s="2" t="s">
        <v>2318</v>
      </c>
    </row>
    <row r="1175" spans="1:7" ht="240" x14ac:dyDescent="0.25">
      <c r="A1175" s="4">
        <v>1174</v>
      </c>
      <c r="B1175" s="5">
        <v>0.35744680851063831</v>
      </c>
      <c r="C1175" s="5">
        <v>9.8795180722891562E-2</v>
      </c>
      <c r="D1175" s="5">
        <v>0.1</v>
      </c>
      <c r="E1175" s="5">
        <v>8.5007727975270481E-2</v>
      </c>
      <c r="F1175" s="2" t="s">
        <v>2319</v>
      </c>
      <c r="G1175" s="2" t="s">
        <v>2320</v>
      </c>
    </row>
    <row r="1176" spans="1:7" ht="240" x14ac:dyDescent="0.25">
      <c r="A1176" s="4">
        <v>1175</v>
      </c>
      <c r="B1176" s="5">
        <v>0.14680851063829789</v>
      </c>
      <c r="C1176" s="5">
        <v>8.4337349397590369E-2</v>
      </c>
      <c r="D1176" s="5">
        <v>7.9000000000000001E-2</v>
      </c>
      <c r="E1176" s="5">
        <v>1.530139103554869E-2</v>
      </c>
      <c r="F1176" s="2" t="s">
        <v>2321</v>
      </c>
      <c r="G1176" s="2" t="s">
        <v>2322</v>
      </c>
    </row>
    <row r="1177" spans="1:7" ht="270" x14ac:dyDescent="0.25">
      <c r="A1177" s="4">
        <v>1176</v>
      </c>
      <c r="B1177" s="5">
        <v>0.1702127659574468</v>
      </c>
      <c r="C1177" s="5">
        <v>7.5903614457831323E-2</v>
      </c>
      <c r="D1177" s="5">
        <v>0.12</v>
      </c>
      <c r="E1177" s="5">
        <v>1.097372488408037E-2</v>
      </c>
      <c r="F1177" s="2" t="s">
        <v>2323</v>
      </c>
      <c r="G1177" s="2" t="s">
        <v>2324</v>
      </c>
    </row>
    <row r="1178" spans="1:7" ht="240" x14ac:dyDescent="0.25">
      <c r="A1178" s="4">
        <v>1177</v>
      </c>
      <c r="B1178" s="5">
        <v>6.4893617021276592E-2</v>
      </c>
      <c r="C1178" s="5">
        <v>3.8554216867469883E-2</v>
      </c>
      <c r="D1178" s="5">
        <v>3.5000000000000003E-2</v>
      </c>
      <c r="E1178" s="5">
        <v>6.646058732612055E-3</v>
      </c>
      <c r="F1178" s="2" t="s">
        <v>2325</v>
      </c>
      <c r="G1178" s="2" t="s">
        <v>2326</v>
      </c>
    </row>
    <row r="1179" spans="1:7" ht="210" x14ac:dyDescent="0.25">
      <c r="A1179" s="4">
        <v>1178</v>
      </c>
      <c r="B1179" s="5">
        <v>3.8297872340425532E-2</v>
      </c>
      <c r="C1179" s="5">
        <v>4.2168674698795178E-2</v>
      </c>
      <c r="D1179" s="5">
        <v>1E-3</v>
      </c>
      <c r="E1179" s="5">
        <v>7.8825347758887162E-3</v>
      </c>
      <c r="F1179" s="2" t="s">
        <v>2327</v>
      </c>
      <c r="G1179" s="2" t="s">
        <v>2328</v>
      </c>
    </row>
    <row r="1180" spans="1:7" ht="120" x14ac:dyDescent="0.25">
      <c r="A1180" s="4">
        <v>1179</v>
      </c>
      <c r="B1180" s="5">
        <v>0.3819148936170213</v>
      </c>
      <c r="C1180" s="5">
        <v>0.42891566265060238</v>
      </c>
      <c r="D1180" s="5">
        <v>0.01</v>
      </c>
      <c r="E1180" s="5">
        <v>8.0370942812983001E-2</v>
      </c>
      <c r="F1180" s="2" t="s">
        <v>2329</v>
      </c>
      <c r="G1180" s="2" t="s">
        <v>2330</v>
      </c>
    </row>
    <row r="1181" spans="1:7" ht="135" x14ac:dyDescent="0.25">
      <c r="A1181" s="4">
        <v>1180</v>
      </c>
      <c r="B1181" s="5">
        <v>3.8297872340425532E-2</v>
      </c>
      <c r="C1181" s="5">
        <v>4.2168674698795178E-2</v>
      </c>
      <c r="D1181" s="5">
        <v>1E-3</v>
      </c>
      <c r="E1181" s="5">
        <v>7.8825347758887162E-3</v>
      </c>
      <c r="F1181" s="2" t="s">
        <v>2331</v>
      </c>
      <c r="G1181" s="2" t="s">
        <v>2332</v>
      </c>
    </row>
    <row r="1182" spans="1:7" ht="225" x14ac:dyDescent="0.25">
      <c r="A1182" s="4">
        <v>1181</v>
      </c>
      <c r="B1182" s="5">
        <v>9.2553191489361697E-2</v>
      </c>
      <c r="C1182" s="5">
        <v>6.3855421686746988E-2</v>
      </c>
      <c r="D1182" s="5">
        <v>5.1999999999999998E-2</v>
      </c>
      <c r="E1182" s="5">
        <v>9.7372488408037083E-3</v>
      </c>
      <c r="F1182" s="2" t="s">
        <v>2333</v>
      </c>
      <c r="G1182" s="2" t="s">
        <v>2334</v>
      </c>
    </row>
    <row r="1183" spans="1:7" ht="210" x14ac:dyDescent="0.25">
      <c r="A1183" s="4">
        <v>1182</v>
      </c>
      <c r="B1183" s="5">
        <v>9.5744680851063829E-2</v>
      </c>
      <c r="C1183" s="5">
        <v>1.8072289156626509E-2</v>
      </c>
      <c r="D1183" s="5">
        <v>1E-3</v>
      </c>
      <c r="E1183" s="5">
        <v>3.3848531684698598E-2</v>
      </c>
      <c r="F1183" s="2" t="s">
        <v>2335</v>
      </c>
      <c r="G1183" s="2" t="s">
        <v>2336</v>
      </c>
    </row>
    <row r="1184" spans="1:7" ht="225" x14ac:dyDescent="0.25">
      <c r="A1184" s="4">
        <v>1183</v>
      </c>
      <c r="B1184" s="5">
        <v>7.3404255319148931E-2</v>
      </c>
      <c r="C1184" s="5">
        <v>1.204819277108434E-2</v>
      </c>
      <c r="D1184" s="5">
        <v>1E-3</v>
      </c>
      <c r="E1184" s="5">
        <v>2.426584234930448E-2</v>
      </c>
      <c r="F1184" s="2" t="s">
        <v>2337</v>
      </c>
      <c r="G1184" s="2" t="s">
        <v>2338</v>
      </c>
    </row>
    <row r="1185" spans="1:7" ht="195" x14ac:dyDescent="0.25">
      <c r="A1185" s="4">
        <v>1184</v>
      </c>
      <c r="B1185" s="5">
        <v>7.8723404255319152E-2</v>
      </c>
      <c r="C1185" s="5">
        <v>1.6867469879518069E-2</v>
      </c>
      <c r="D1185" s="5">
        <v>1E-3</v>
      </c>
      <c r="E1185" s="5">
        <v>2.658423493044822E-2</v>
      </c>
      <c r="F1185" s="2" t="s">
        <v>2339</v>
      </c>
      <c r="G1185" s="2" t="s">
        <v>2340</v>
      </c>
    </row>
    <row r="1186" spans="1:7" ht="150" x14ac:dyDescent="0.25">
      <c r="A1186" s="4">
        <v>1185</v>
      </c>
      <c r="B1186" s="5">
        <v>0.36914893617021283</v>
      </c>
      <c r="C1186" s="5">
        <v>6.024096385542169E-3</v>
      </c>
      <c r="D1186" s="5">
        <v>9.0000000000000011E-3</v>
      </c>
      <c r="E1186" s="5">
        <v>0.1301391035548686</v>
      </c>
      <c r="F1186" s="2" t="s">
        <v>2341</v>
      </c>
      <c r="G1186" s="2" t="s">
        <v>2342</v>
      </c>
    </row>
    <row r="1187" spans="1:7" ht="240" x14ac:dyDescent="0.25">
      <c r="A1187" s="4">
        <v>1186</v>
      </c>
      <c r="B1187" s="5">
        <v>7.2340425531914901E-2</v>
      </c>
      <c r="C1187" s="5">
        <v>9.3975903614457831E-2</v>
      </c>
      <c r="D1187" s="5">
        <v>4.5999999999999999E-2</v>
      </c>
      <c r="E1187" s="5">
        <v>2.4729520865533232E-3</v>
      </c>
      <c r="F1187" s="2" t="s">
        <v>2343</v>
      </c>
      <c r="G1187" s="2" t="s">
        <v>2344</v>
      </c>
    </row>
    <row r="1188" spans="1:7" ht="150" x14ac:dyDescent="0.25">
      <c r="A1188" s="4">
        <v>1187</v>
      </c>
      <c r="B1188" s="5">
        <v>0.1223404255319149</v>
      </c>
      <c r="C1188" s="5">
        <v>0.1168674698795181</v>
      </c>
      <c r="D1188" s="5">
        <v>8.5000000000000006E-2</v>
      </c>
      <c r="E1188" s="5">
        <v>3.8639876352395668E-3</v>
      </c>
      <c r="F1188" s="2" t="s">
        <v>2345</v>
      </c>
      <c r="G1188" s="2" t="s">
        <v>2346</v>
      </c>
    </row>
    <row r="1189" spans="1:7" ht="135" x14ac:dyDescent="0.25">
      <c r="A1189" s="4">
        <v>1188</v>
      </c>
      <c r="B1189" s="5">
        <v>0.34893617021276602</v>
      </c>
      <c r="C1189" s="5">
        <v>0.15180722891566259</v>
      </c>
      <c r="D1189" s="5">
        <v>0.19900000000000001</v>
      </c>
      <c r="E1189" s="5">
        <v>3.8021638330757342E-2</v>
      </c>
      <c r="F1189" s="2" t="s">
        <v>2347</v>
      </c>
      <c r="G1189" s="2" t="s">
        <v>2348</v>
      </c>
    </row>
    <row r="1190" spans="1:7" ht="285" x14ac:dyDescent="0.25">
      <c r="A1190" s="4">
        <v>1189</v>
      </c>
      <c r="B1190" s="5">
        <v>0.1574468085106383</v>
      </c>
      <c r="C1190" s="5">
        <v>0.16626506024096391</v>
      </c>
      <c r="D1190" s="5">
        <v>8.5000000000000006E-2</v>
      </c>
      <c r="E1190" s="5">
        <v>6.1823802163833066E-3</v>
      </c>
      <c r="F1190" s="2" t="s">
        <v>2349</v>
      </c>
      <c r="G1190" s="2" t="s">
        <v>2350</v>
      </c>
    </row>
    <row r="1191" spans="1:7" ht="240" x14ac:dyDescent="0.25">
      <c r="A1191" s="4">
        <v>1190</v>
      </c>
      <c r="B1191" s="5">
        <v>0.1276595744680851</v>
      </c>
      <c r="C1191" s="5">
        <v>1.8072289156626509E-2</v>
      </c>
      <c r="D1191" s="5">
        <v>3.0000000000000001E-3</v>
      </c>
      <c r="E1191" s="5">
        <v>4.358578052550232E-2</v>
      </c>
      <c r="F1191" s="2" t="s">
        <v>2351</v>
      </c>
      <c r="G1191" s="2" t="s">
        <v>2352</v>
      </c>
    </row>
    <row r="1192" spans="1:7" ht="135" x14ac:dyDescent="0.25">
      <c r="A1192" s="4">
        <v>1191</v>
      </c>
      <c r="B1192" s="5">
        <v>0.17340425531914891</v>
      </c>
      <c r="C1192" s="5">
        <v>2.7710843373493971E-2</v>
      </c>
      <c r="D1192" s="5">
        <v>5.0000000000000001E-3</v>
      </c>
      <c r="E1192" s="5">
        <v>5.6259659969088098E-2</v>
      </c>
      <c r="F1192" s="2" t="s">
        <v>2353</v>
      </c>
      <c r="G1192" s="2" t="s">
        <v>2354</v>
      </c>
    </row>
    <row r="1193" spans="1:7" ht="150" x14ac:dyDescent="0.25">
      <c r="A1193" s="4">
        <v>1192</v>
      </c>
      <c r="B1193" s="5">
        <v>0.1223404255319149</v>
      </c>
      <c r="C1193" s="5">
        <v>2.168674698795181E-2</v>
      </c>
      <c r="D1193" s="5">
        <v>5.0000000000000001E-3</v>
      </c>
      <c r="E1193" s="5">
        <v>4.0030911901081913E-2</v>
      </c>
      <c r="F1193" s="2" t="s">
        <v>2355</v>
      </c>
      <c r="G1193" s="2" t="s">
        <v>2356</v>
      </c>
    </row>
    <row r="1194" spans="1:7" ht="150" x14ac:dyDescent="0.25">
      <c r="A1194" s="4">
        <v>1193</v>
      </c>
      <c r="B1194" s="5">
        <v>0.1276595744680851</v>
      </c>
      <c r="C1194" s="5">
        <v>1.8072289156626509E-2</v>
      </c>
      <c r="D1194" s="5">
        <v>3.0000000000000001E-3</v>
      </c>
      <c r="E1194" s="5">
        <v>4.358578052550232E-2</v>
      </c>
      <c r="F1194" s="2" t="s">
        <v>2357</v>
      </c>
      <c r="G1194" s="2" t="s">
        <v>2358</v>
      </c>
    </row>
    <row r="1195" spans="1:7" ht="240" x14ac:dyDescent="0.25">
      <c r="A1195" s="4">
        <v>1194</v>
      </c>
      <c r="B1195" s="5">
        <v>0.1042553191489362</v>
      </c>
      <c r="C1195" s="5">
        <v>2.289156626506024E-2</v>
      </c>
      <c r="D1195" s="5">
        <v>2E-3</v>
      </c>
      <c r="E1195" s="5">
        <v>3.6630602782071087E-2</v>
      </c>
      <c r="F1195" s="2" t="s">
        <v>2359</v>
      </c>
      <c r="G1195" s="2" t="s">
        <v>2360</v>
      </c>
    </row>
    <row r="1196" spans="1:7" ht="270" x14ac:dyDescent="0.25">
      <c r="A1196" s="4">
        <v>1195</v>
      </c>
      <c r="B1196" s="5">
        <v>0.1765957446808511</v>
      </c>
      <c r="C1196" s="5">
        <v>0.12530120481927709</v>
      </c>
      <c r="D1196" s="5">
        <v>4.9000000000000002E-2</v>
      </c>
      <c r="E1196" s="5">
        <v>3.7248840803709431E-2</v>
      </c>
      <c r="F1196" s="2" t="s">
        <v>2361</v>
      </c>
      <c r="G1196" s="2" t="s">
        <v>2362</v>
      </c>
    </row>
    <row r="1197" spans="1:7" ht="330" x14ac:dyDescent="0.25">
      <c r="A1197" s="4">
        <v>1196</v>
      </c>
      <c r="B1197" s="5">
        <v>9.3617021276595741E-2</v>
      </c>
      <c r="C1197" s="5">
        <v>3.8554216867469883E-2</v>
      </c>
      <c r="D1197" s="5">
        <v>2.1000000000000001E-2</v>
      </c>
      <c r="E1197" s="5">
        <v>2.1638330757341579E-2</v>
      </c>
      <c r="F1197" s="2" t="s">
        <v>2363</v>
      </c>
      <c r="G1197" s="2" t="s">
        <v>2364</v>
      </c>
    </row>
    <row r="1198" spans="1:7" ht="225" x14ac:dyDescent="0.25">
      <c r="A1198" s="4">
        <v>1197</v>
      </c>
      <c r="B1198" s="5">
        <v>8.085106382978724E-2</v>
      </c>
      <c r="C1198" s="5">
        <v>0.108433734939759</v>
      </c>
      <c r="D1198" s="5">
        <v>2.5999999999999999E-2</v>
      </c>
      <c r="E1198" s="5">
        <v>9.8918083462132926E-3</v>
      </c>
      <c r="F1198" s="2" t="s">
        <v>2365</v>
      </c>
      <c r="G1198" s="2" t="s">
        <v>2366</v>
      </c>
    </row>
    <row r="1199" spans="1:7" ht="409.5" x14ac:dyDescent="0.25">
      <c r="A1199" s="4">
        <v>1198</v>
      </c>
      <c r="B1199" s="5">
        <v>2.9787234042553189E-2</v>
      </c>
      <c r="C1199" s="5">
        <v>3.6144578313253017E-2</v>
      </c>
      <c r="D1199" s="5">
        <v>8.0000000000000002E-3</v>
      </c>
      <c r="E1199" s="5">
        <v>6.1823802163833066E-3</v>
      </c>
      <c r="F1199" s="2" t="s">
        <v>2367</v>
      </c>
      <c r="G1199" s="2" t="s">
        <v>2368</v>
      </c>
    </row>
    <row r="1200" spans="1:7" ht="285" x14ac:dyDescent="0.25">
      <c r="A1200" s="4">
        <v>1199</v>
      </c>
      <c r="B1200" s="5">
        <v>3.617021276595745E-2</v>
      </c>
      <c r="C1200" s="5">
        <v>4.457831325301205E-2</v>
      </c>
      <c r="D1200" s="5">
        <v>1.2E-2</v>
      </c>
      <c r="E1200" s="5">
        <v>6.646058732612055E-3</v>
      </c>
      <c r="F1200" s="2" t="s">
        <v>2369</v>
      </c>
      <c r="G1200" s="2" t="s">
        <v>2370</v>
      </c>
    </row>
    <row r="1201" spans="1:7" ht="315" x14ac:dyDescent="0.25">
      <c r="A1201" s="4">
        <v>1200</v>
      </c>
      <c r="B1201" s="5">
        <v>0.1106382978723404</v>
      </c>
      <c r="C1201" s="5">
        <v>0.155421686746988</v>
      </c>
      <c r="D1201" s="5">
        <v>6.8000000000000005E-2</v>
      </c>
      <c r="E1201" s="5">
        <v>1.8547140649149919E-3</v>
      </c>
      <c r="F1201" s="2" t="s">
        <v>2371</v>
      </c>
      <c r="G1201" s="2" t="s">
        <v>2372</v>
      </c>
    </row>
    <row r="1202" spans="1:7" ht="210" x14ac:dyDescent="0.25">
      <c r="A1202" s="4">
        <v>1201</v>
      </c>
      <c r="B1202" s="5">
        <v>0.1053191489361702</v>
      </c>
      <c r="C1202" s="5">
        <v>2.0481927710843371E-2</v>
      </c>
      <c r="D1202" s="5">
        <v>3.0000000000000001E-3</v>
      </c>
      <c r="E1202" s="5">
        <v>3.4621329211746522E-2</v>
      </c>
      <c r="F1202" s="2" t="s">
        <v>2373</v>
      </c>
      <c r="G1202" s="2" t="s">
        <v>2374</v>
      </c>
    </row>
    <row r="1203" spans="1:7" ht="300" x14ac:dyDescent="0.25">
      <c r="A1203" s="4">
        <v>1202</v>
      </c>
      <c r="B1203" s="5">
        <v>0.1765957446808511</v>
      </c>
      <c r="C1203" s="5">
        <v>4.5783132530120479E-2</v>
      </c>
      <c r="D1203" s="5">
        <v>0.01</v>
      </c>
      <c r="E1203" s="5">
        <v>5.316846986089644E-2</v>
      </c>
      <c r="F1203" s="2" t="s">
        <v>2375</v>
      </c>
      <c r="G1203" s="2" t="s">
        <v>2376</v>
      </c>
    </row>
    <row r="1204" spans="1:7" ht="150" x14ac:dyDescent="0.25">
      <c r="A1204" s="4">
        <v>1203</v>
      </c>
      <c r="B1204" s="5">
        <v>0.18297872340425531</v>
      </c>
      <c r="C1204" s="5">
        <v>3.6144578313253017E-2</v>
      </c>
      <c r="D1204" s="5">
        <v>5.0000000000000001E-3</v>
      </c>
      <c r="E1204" s="5">
        <v>5.7959814528593508E-2</v>
      </c>
      <c r="F1204" s="2" t="s">
        <v>2377</v>
      </c>
      <c r="G1204" s="2" t="s">
        <v>2378</v>
      </c>
    </row>
    <row r="1205" spans="1:7" ht="285" x14ac:dyDescent="0.25">
      <c r="A1205" s="4">
        <v>1204</v>
      </c>
      <c r="B1205" s="5">
        <v>0.1797872340425532</v>
      </c>
      <c r="C1205" s="5">
        <v>1.6867469879518069E-2</v>
      </c>
      <c r="D1205" s="5">
        <v>3.0000000000000001E-3</v>
      </c>
      <c r="E1205" s="5">
        <v>6.2132921174652238E-2</v>
      </c>
      <c r="F1205" s="2" t="s">
        <v>2379</v>
      </c>
      <c r="G1205" s="2" t="s">
        <v>2380</v>
      </c>
    </row>
    <row r="1206" spans="1:7" ht="210" x14ac:dyDescent="0.25">
      <c r="A1206" s="4">
        <v>1205</v>
      </c>
      <c r="B1206" s="5">
        <v>0.38085106382978717</v>
      </c>
      <c r="C1206" s="5">
        <v>9.036144578313253E-2</v>
      </c>
      <c r="D1206" s="5">
        <v>4.2999999999999997E-2</v>
      </c>
      <c r="E1206" s="5">
        <v>0.1088098918083462</v>
      </c>
      <c r="F1206" s="2" t="s">
        <v>2381</v>
      </c>
      <c r="G1206" s="2" t="s">
        <v>2382</v>
      </c>
    </row>
    <row r="1207" spans="1:7" ht="300" x14ac:dyDescent="0.25">
      <c r="A1207" s="4">
        <v>1206</v>
      </c>
      <c r="B1207" s="5">
        <v>0.2946808510638298</v>
      </c>
      <c r="C1207" s="5">
        <v>0.1096385542168675</v>
      </c>
      <c r="D1207" s="5">
        <v>4.7E-2</v>
      </c>
      <c r="E1207" s="5">
        <v>7.666151468315302E-2</v>
      </c>
      <c r="F1207" s="2" t="s">
        <v>2383</v>
      </c>
      <c r="G1207" s="2" t="s">
        <v>2384</v>
      </c>
    </row>
    <row r="1208" spans="1:7" ht="165" x14ac:dyDescent="0.25">
      <c r="A1208" s="4">
        <v>1207</v>
      </c>
      <c r="B1208" s="5">
        <v>2.6595744680851061E-2</v>
      </c>
      <c r="C1208" s="5">
        <v>5.5421686746987948E-2</v>
      </c>
      <c r="D1208" s="5">
        <v>4.0000000000000001E-3</v>
      </c>
      <c r="E1208" s="5">
        <v>4.6367851622874804E-3</v>
      </c>
      <c r="F1208" s="2" t="s">
        <v>2385</v>
      </c>
      <c r="G1208" s="2" t="s">
        <v>2386</v>
      </c>
    </row>
    <row r="1209" spans="1:7" ht="240" x14ac:dyDescent="0.25">
      <c r="A1209" s="4">
        <v>1208</v>
      </c>
      <c r="B1209" s="5">
        <v>8.8297872340425534E-2</v>
      </c>
      <c r="C1209" s="5">
        <v>0.12530120481927709</v>
      </c>
      <c r="D1209" s="5">
        <v>3.4000000000000002E-2</v>
      </c>
      <c r="E1209" s="5">
        <v>4.3276661514683153E-3</v>
      </c>
      <c r="F1209" s="2" t="s">
        <v>2387</v>
      </c>
      <c r="G1209" s="2" t="s">
        <v>2388</v>
      </c>
    </row>
    <row r="1210" spans="1:7" ht="409.5" x14ac:dyDescent="0.25">
      <c r="A1210" s="4">
        <v>1209</v>
      </c>
      <c r="B1210" s="5">
        <v>0.1404255319148936</v>
      </c>
      <c r="C1210" s="5">
        <v>0.23493975903614461</v>
      </c>
      <c r="D1210" s="5">
        <v>6.9999999999999993E-3</v>
      </c>
      <c r="E1210" s="5">
        <v>0.1047913446676971</v>
      </c>
      <c r="F1210" s="2" t="s">
        <v>2389</v>
      </c>
      <c r="G1210" s="2" t="s">
        <v>2390</v>
      </c>
    </row>
    <row r="1211" spans="1:7" ht="120" x14ac:dyDescent="0.25">
      <c r="A1211" s="4">
        <v>1210</v>
      </c>
      <c r="B1211" s="5">
        <v>0.31914893617021278</v>
      </c>
      <c r="C1211" s="5">
        <v>0.34096385542168678</v>
      </c>
      <c r="D1211" s="5">
        <v>4.8000000000000001E-2</v>
      </c>
      <c r="E1211" s="5">
        <v>8.2843894899536322E-2</v>
      </c>
      <c r="F1211" s="2" t="s">
        <v>2391</v>
      </c>
      <c r="G1211" s="2" t="s">
        <v>2392</v>
      </c>
    </row>
    <row r="1212" spans="1:7" ht="180" x14ac:dyDescent="0.25">
      <c r="A1212" s="4">
        <v>1211</v>
      </c>
      <c r="B1212" s="5">
        <v>0.31808510638297871</v>
      </c>
      <c r="C1212" s="5">
        <v>0.29036144578313261</v>
      </c>
      <c r="D1212" s="5">
        <v>3.5000000000000003E-2</v>
      </c>
      <c r="E1212" s="5">
        <v>9.1190108191653782E-2</v>
      </c>
      <c r="F1212" s="2" t="s">
        <v>2393</v>
      </c>
      <c r="G1212" s="2" t="s">
        <v>2394</v>
      </c>
    </row>
    <row r="1213" spans="1:7" ht="90" x14ac:dyDescent="0.25">
      <c r="A1213" s="4">
        <v>1212</v>
      </c>
      <c r="B1213" s="5">
        <v>3.617021276595745E-2</v>
      </c>
      <c r="C1213" s="5">
        <v>2.4096385542168679E-2</v>
      </c>
      <c r="D1213" s="5">
        <v>1E-3</v>
      </c>
      <c r="E1213" s="5">
        <v>1.2210200927357031E-2</v>
      </c>
      <c r="F1213" s="2" t="s">
        <v>2395</v>
      </c>
      <c r="G1213" s="2" t="s">
        <v>2396</v>
      </c>
    </row>
    <row r="1214" spans="1:7" ht="120" x14ac:dyDescent="0.25">
      <c r="A1214" s="4">
        <v>1213</v>
      </c>
      <c r="B1214" s="5">
        <v>0.31276595744680852</v>
      </c>
      <c r="C1214" s="5">
        <v>0.1</v>
      </c>
      <c r="D1214" s="5">
        <v>1.7000000000000001E-2</v>
      </c>
      <c r="E1214" s="5">
        <v>0.11221020092735701</v>
      </c>
      <c r="F1214" s="2" t="s">
        <v>2397</v>
      </c>
      <c r="G1214" s="2" t="s">
        <v>2398</v>
      </c>
    </row>
    <row r="1215" spans="1:7" ht="409.5" x14ac:dyDescent="0.25">
      <c r="A1215" s="4">
        <v>1214</v>
      </c>
      <c r="B1215" s="5">
        <v>5.6382978723404253E-2</v>
      </c>
      <c r="C1215" s="5">
        <v>2.289156626506024E-2</v>
      </c>
      <c r="D1215" s="5">
        <v>9.0000000000000011E-3</v>
      </c>
      <c r="E1215" s="5">
        <v>1.452859350850077E-2</v>
      </c>
      <c r="F1215" s="2" t="s">
        <v>2399</v>
      </c>
      <c r="G1215" s="2" t="s">
        <v>2400</v>
      </c>
    </row>
    <row r="1216" spans="1:7" ht="240" x14ac:dyDescent="0.25">
      <c r="A1216" s="4">
        <v>1215</v>
      </c>
      <c r="B1216" s="5">
        <v>0.17234042553191489</v>
      </c>
      <c r="C1216" s="5">
        <v>0.1542168674698795</v>
      </c>
      <c r="D1216" s="5">
        <v>0.115</v>
      </c>
      <c r="E1216" s="5">
        <v>1.081916537867079E-3</v>
      </c>
      <c r="F1216" s="2" t="s">
        <v>2401</v>
      </c>
      <c r="G1216" s="2" t="s">
        <v>2402</v>
      </c>
    </row>
    <row r="1217" spans="1:7" ht="195" x14ac:dyDescent="0.25">
      <c r="A1217" s="4">
        <v>1216</v>
      </c>
      <c r="B1217" s="5">
        <v>0.38404255319148939</v>
      </c>
      <c r="C1217" s="5">
        <v>0.2325301204819277</v>
      </c>
      <c r="D1217" s="5">
        <v>0.31900000000000001</v>
      </c>
      <c r="E1217" s="5">
        <v>1.081916537867079E-3</v>
      </c>
      <c r="F1217" s="2" t="s">
        <v>2403</v>
      </c>
      <c r="G1217" s="2" t="s">
        <v>2404</v>
      </c>
    </row>
    <row r="1218" spans="1:7" ht="300" x14ac:dyDescent="0.25">
      <c r="A1218" s="4">
        <v>1217</v>
      </c>
      <c r="B1218" s="5">
        <v>5.3191489361702128E-2</v>
      </c>
      <c r="C1218" s="5">
        <v>0.13012048192771089</v>
      </c>
      <c r="D1218" s="5">
        <v>0</v>
      </c>
      <c r="E1218" s="5">
        <v>1.236476043276662E-3</v>
      </c>
      <c r="F1218" s="2" t="s">
        <v>2405</v>
      </c>
      <c r="G1218" s="2" t="s">
        <v>2406</v>
      </c>
    </row>
    <row r="1219" spans="1:7" ht="240" x14ac:dyDescent="0.25">
      <c r="A1219" s="4">
        <v>1218</v>
      </c>
      <c r="B1219" s="5">
        <v>0.4074468085106383</v>
      </c>
      <c r="C1219" s="5">
        <v>0.1819277108433735</v>
      </c>
      <c r="D1219" s="5">
        <v>0.32900000000000001</v>
      </c>
      <c r="E1219" s="5">
        <v>1.2828438948995361E-2</v>
      </c>
      <c r="F1219" s="2" t="s">
        <v>2407</v>
      </c>
      <c r="G1219" s="2" t="s">
        <v>2408</v>
      </c>
    </row>
    <row r="1220" spans="1:7" ht="225" x14ac:dyDescent="0.25">
      <c r="A1220" s="4">
        <v>1219</v>
      </c>
      <c r="B1220" s="5">
        <v>0.26702127659574471</v>
      </c>
      <c r="C1220" s="5">
        <v>0.19638554216867471</v>
      </c>
      <c r="D1220" s="5">
        <v>0.19400000000000001</v>
      </c>
      <c r="E1220" s="5">
        <v>2.1638330757341581E-3</v>
      </c>
      <c r="F1220" s="2" t="s">
        <v>2409</v>
      </c>
      <c r="G1220" s="2" t="s">
        <v>2410</v>
      </c>
    </row>
    <row r="1221" spans="1:7" ht="225" x14ac:dyDescent="0.25">
      <c r="A1221" s="4">
        <v>1220</v>
      </c>
      <c r="B1221" s="5">
        <v>0.19042553191489359</v>
      </c>
      <c r="C1221" s="5">
        <v>0.16385542168674699</v>
      </c>
      <c r="D1221" s="5">
        <v>0.13300000000000001</v>
      </c>
      <c r="E1221" s="5">
        <v>6.8006182380216376E-3</v>
      </c>
      <c r="F1221" s="2" t="s">
        <v>2411</v>
      </c>
      <c r="G1221" s="2" t="s">
        <v>2412</v>
      </c>
    </row>
    <row r="1222" spans="1:7" ht="150" x14ac:dyDescent="0.25">
      <c r="A1222" s="4">
        <v>1221</v>
      </c>
      <c r="B1222" s="5">
        <v>0.41063829787234041</v>
      </c>
      <c r="C1222" s="5">
        <v>0.20481927710843381</v>
      </c>
      <c r="D1222" s="5">
        <v>0.35</v>
      </c>
      <c r="E1222" s="5">
        <v>1.236476043276662E-3</v>
      </c>
      <c r="F1222" s="2" t="s">
        <v>2413</v>
      </c>
      <c r="G1222" s="2" t="s">
        <v>2414</v>
      </c>
    </row>
    <row r="1223" spans="1:7" ht="150" x14ac:dyDescent="0.25">
      <c r="A1223" s="4">
        <v>1222</v>
      </c>
      <c r="B1223" s="5">
        <v>5.7446808510638298E-2</v>
      </c>
      <c r="C1223" s="5">
        <v>0.13253012048192769</v>
      </c>
      <c r="D1223" s="5">
        <v>0</v>
      </c>
      <c r="E1223" s="5">
        <v>1.236476043276662E-3</v>
      </c>
      <c r="F1223" s="2" t="s">
        <v>2415</v>
      </c>
      <c r="G1223" s="2" t="s">
        <v>2416</v>
      </c>
    </row>
    <row r="1224" spans="1:7" ht="180" x14ac:dyDescent="0.25">
      <c r="A1224" s="4">
        <v>1223</v>
      </c>
      <c r="B1224" s="5">
        <v>5.7446808510638298E-2</v>
      </c>
      <c r="C1224" s="5">
        <v>0.13253012048192769</v>
      </c>
      <c r="D1224" s="5">
        <v>0</v>
      </c>
      <c r="E1224" s="5">
        <v>1.236476043276662E-3</v>
      </c>
      <c r="F1224" s="2" t="s">
        <v>2417</v>
      </c>
      <c r="G1224" s="2" t="s">
        <v>2418</v>
      </c>
    </row>
    <row r="1225" spans="1:7" ht="120" x14ac:dyDescent="0.25">
      <c r="A1225" s="4">
        <v>1224</v>
      </c>
      <c r="B1225" s="5">
        <v>0.34042553191489361</v>
      </c>
      <c r="C1225" s="5">
        <v>0.1819277108433735</v>
      </c>
      <c r="D1225" s="5">
        <v>0.30499999999999999</v>
      </c>
      <c r="E1225" s="5">
        <v>1.3910355486862439E-3</v>
      </c>
      <c r="F1225" s="2" t="s">
        <v>2419</v>
      </c>
      <c r="G1225" s="2" t="s">
        <v>2420</v>
      </c>
    </row>
    <row r="1226" spans="1:7" ht="409.5" x14ac:dyDescent="0.25">
      <c r="A1226" s="4">
        <v>1225</v>
      </c>
      <c r="B1226" s="5">
        <v>0.3202127659574468</v>
      </c>
      <c r="C1226" s="5">
        <v>0.24096385542168669</v>
      </c>
      <c r="D1226" s="5">
        <v>0.23699999999999999</v>
      </c>
      <c r="E1226" s="5">
        <v>0</v>
      </c>
      <c r="F1226" s="2" t="s">
        <v>2421</v>
      </c>
      <c r="G1226" s="2" t="s">
        <v>2422</v>
      </c>
    </row>
    <row r="1227" spans="1:7" ht="165" x14ac:dyDescent="0.25">
      <c r="A1227" s="4">
        <v>1226</v>
      </c>
      <c r="B1227" s="5">
        <v>0.19893617021276599</v>
      </c>
      <c r="C1227" s="5">
        <v>0.13132530120481931</v>
      </c>
      <c r="D1227" s="5">
        <v>0.124</v>
      </c>
      <c r="E1227" s="5">
        <v>1.2210200927357031E-2</v>
      </c>
      <c r="F1227" s="2" t="s">
        <v>2423</v>
      </c>
      <c r="G1227" s="2" t="s">
        <v>2424</v>
      </c>
    </row>
    <row r="1228" spans="1:7" ht="225" x14ac:dyDescent="0.25">
      <c r="A1228" s="4">
        <v>1227</v>
      </c>
      <c r="B1228" s="5">
        <v>0.20744680851063829</v>
      </c>
      <c r="C1228" s="5">
        <v>0.16385542168674699</v>
      </c>
      <c r="D1228" s="5">
        <v>0.13600000000000001</v>
      </c>
      <c r="E1228" s="5">
        <v>2.1638330757341581E-3</v>
      </c>
      <c r="F1228" s="2" t="s">
        <v>2425</v>
      </c>
      <c r="G1228" s="2" t="s">
        <v>2412</v>
      </c>
    </row>
    <row r="1229" spans="1:7" ht="165" x14ac:dyDescent="0.25">
      <c r="A1229" s="4">
        <v>1228</v>
      </c>
      <c r="B1229" s="5">
        <v>0.12340425531914891</v>
      </c>
      <c r="C1229" s="5">
        <v>0.12891566265060239</v>
      </c>
      <c r="D1229" s="5">
        <v>7.0000000000000007E-2</v>
      </c>
      <c r="E1229" s="5">
        <v>2.4729520865533232E-3</v>
      </c>
      <c r="F1229" s="2" t="s">
        <v>2426</v>
      </c>
      <c r="G1229" s="2" t="s">
        <v>2427</v>
      </c>
    </row>
    <row r="1230" spans="1:7" ht="195" x14ac:dyDescent="0.25">
      <c r="A1230" s="4">
        <v>1229</v>
      </c>
      <c r="B1230" s="5">
        <v>0.1531914893617021</v>
      </c>
      <c r="C1230" s="5">
        <v>0.1445783132530121</v>
      </c>
      <c r="D1230" s="5">
        <v>0.10199999999999999</v>
      </c>
      <c r="E1230" s="5">
        <v>0</v>
      </c>
      <c r="F1230" s="2" t="s">
        <v>2428</v>
      </c>
      <c r="G1230" s="2" t="s">
        <v>2429</v>
      </c>
    </row>
    <row r="1231" spans="1:7" ht="180" x14ac:dyDescent="0.25">
      <c r="A1231" s="4">
        <v>1230</v>
      </c>
      <c r="B1231" s="5">
        <v>0.4521276595744681</v>
      </c>
      <c r="C1231" s="5">
        <v>0.37349397590361449</v>
      </c>
      <c r="D1231" s="5">
        <v>0.28000000000000003</v>
      </c>
      <c r="E1231" s="5">
        <v>1.5455950540958271E-2</v>
      </c>
      <c r="F1231" s="2" t="s">
        <v>2430</v>
      </c>
      <c r="G1231" s="2" t="s">
        <v>2431</v>
      </c>
    </row>
    <row r="1232" spans="1:7" ht="330" x14ac:dyDescent="0.25">
      <c r="A1232" s="4">
        <v>1231</v>
      </c>
      <c r="B1232" s="5">
        <v>0.12659574468085111</v>
      </c>
      <c r="C1232" s="5">
        <v>5.301204819277109E-2</v>
      </c>
      <c r="D1232" s="5">
        <v>3.5000000000000003E-2</v>
      </c>
      <c r="E1232" s="5">
        <v>2.828438948995363E-2</v>
      </c>
      <c r="F1232" s="2" t="s">
        <v>2432</v>
      </c>
      <c r="G1232" s="2" t="s">
        <v>2433</v>
      </c>
    </row>
    <row r="1233" spans="1:7" ht="180" x14ac:dyDescent="0.25">
      <c r="A1233" s="4">
        <v>1232</v>
      </c>
      <c r="B1233" s="5">
        <v>7.7659574468085107E-2</v>
      </c>
      <c r="C1233" s="5">
        <v>6.8674698795180733E-2</v>
      </c>
      <c r="D1233" s="5">
        <v>1.2999999999999999E-2</v>
      </c>
      <c r="E1233" s="5">
        <v>6.4914992272024734E-3</v>
      </c>
      <c r="F1233" s="2" t="s">
        <v>2434</v>
      </c>
      <c r="G1233" s="2" t="s">
        <v>2435</v>
      </c>
    </row>
    <row r="1234" spans="1:7" ht="270" x14ac:dyDescent="0.25">
      <c r="A1234" s="4">
        <v>1233</v>
      </c>
      <c r="B1234" s="5">
        <v>8.085106382978724E-2</v>
      </c>
      <c r="C1234" s="5">
        <v>8.1927710843373497E-2</v>
      </c>
      <c r="D1234" s="5">
        <v>6.9999999999999993E-3</v>
      </c>
      <c r="E1234" s="5">
        <v>1.6383307573415759E-2</v>
      </c>
      <c r="F1234" s="2" t="s">
        <v>2436</v>
      </c>
      <c r="G1234" s="2" t="s">
        <v>2437</v>
      </c>
    </row>
    <row r="1235" spans="1:7" ht="225" x14ac:dyDescent="0.25">
      <c r="A1235" s="4">
        <v>1234</v>
      </c>
      <c r="B1235" s="5">
        <v>0.34893617021276602</v>
      </c>
      <c r="C1235" s="5">
        <v>0.22168674698795179</v>
      </c>
      <c r="D1235" s="5">
        <v>0.23200000000000001</v>
      </c>
      <c r="E1235" s="5">
        <v>1.9783616692426589E-2</v>
      </c>
      <c r="F1235" s="2" t="s">
        <v>2438</v>
      </c>
      <c r="G1235" s="2" t="s">
        <v>2439</v>
      </c>
    </row>
    <row r="1236" spans="1:7" ht="240" x14ac:dyDescent="0.25">
      <c r="A1236" s="4">
        <v>1235</v>
      </c>
      <c r="B1236" s="5">
        <v>0.14787234042553191</v>
      </c>
      <c r="C1236" s="5">
        <v>0.1506024096385542</v>
      </c>
      <c r="D1236" s="5">
        <v>8.0000000000000002E-3</v>
      </c>
      <c r="E1236" s="5">
        <v>3.3848531684698598E-2</v>
      </c>
      <c r="F1236" s="2" t="s">
        <v>2440</v>
      </c>
      <c r="G1236" s="2" t="s">
        <v>2441</v>
      </c>
    </row>
    <row r="1237" spans="1:7" ht="195" x14ac:dyDescent="0.25">
      <c r="A1237" s="4">
        <v>1236</v>
      </c>
      <c r="B1237" s="5">
        <v>0.22553191489361701</v>
      </c>
      <c r="C1237" s="5">
        <v>0.21084337349397589</v>
      </c>
      <c r="D1237" s="5">
        <v>0.1</v>
      </c>
      <c r="E1237" s="5">
        <v>1.9938176197836169E-2</v>
      </c>
      <c r="F1237" s="2" t="s">
        <v>2442</v>
      </c>
      <c r="G1237" s="2" t="s">
        <v>2443</v>
      </c>
    </row>
    <row r="1238" spans="1:7" ht="195" x14ac:dyDescent="0.25">
      <c r="A1238" s="4">
        <v>1237</v>
      </c>
      <c r="B1238" s="5">
        <v>0.15212765957446811</v>
      </c>
      <c r="C1238" s="5">
        <v>0.1445783132530121</v>
      </c>
      <c r="D1238" s="5">
        <v>5.5E-2</v>
      </c>
      <c r="E1238" s="5">
        <v>1.761978361669243E-2</v>
      </c>
      <c r="F1238" s="2" t="s">
        <v>2444</v>
      </c>
      <c r="G1238" s="2" t="s">
        <v>2445</v>
      </c>
    </row>
    <row r="1239" spans="1:7" ht="285" x14ac:dyDescent="0.25">
      <c r="A1239" s="4">
        <v>1238</v>
      </c>
      <c r="B1239" s="5">
        <v>0.37234042553191488</v>
      </c>
      <c r="C1239" s="5">
        <v>0.29518072289156633</v>
      </c>
      <c r="D1239" s="5">
        <v>0.26600000000000001</v>
      </c>
      <c r="E1239" s="5">
        <v>1.6074188562596601E-2</v>
      </c>
      <c r="F1239" s="2" t="s">
        <v>2446</v>
      </c>
      <c r="G1239" s="2" t="s">
        <v>2447</v>
      </c>
    </row>
    <row r="1240" spans="1:7" ht="180" x14ac:dyDescent="0.25">
      <c r="A1240" s="4">
        <v>1239</v>
      </c>
      <c r="B1240" s="5">
        <v>0.21382978723404261</v>
      </c>
      <c r="C1240" s="5">
        <v>0.25060240963855418</v>
      </c>
      <c r="D1240" s="5">
        <v>8.8000000000000009E-2</v>
      </c>
      <c r="E1240" s="5">
        <v>2.0865533230293661E-2</v>
      </c>
      <c r="F1240" s="2" t="s">
        <v>2448</v>
      </c>
      <c r="G1240" s="2" t="s">
        <v>2449</v>
      </c>
    </row>
    <row r="1241" spans="1:7" ht="225" x14ac:dyDescent="0.25">
      <c r="A1241" s="4">
        <v>1240</v>
      </c>
      <c r="B1241" s="5">
        <v>0.15</v>
      </c>
      <c r="C1241" s="5">
        <v>0.1228915662650602</v>
      </c>
      <c r="D1241" s="5">
        <v>1.2999999999999999E-2</v>
      </c>
      <c r="E1241" s="5">
        <v>3.5857805255023183E-2</v>
      </c>
      <c r="F1241" s="2" t="s">
        <v>2450</v>
      </c>
      <c r="G1241" s="2" t="s">
        <v>2451</v>
      </c>
    </row>
    <row r="1242" spans="1:7" ht="150" x14ac:dyDescent="0.25">
      <c r="A1242" s="4">
        <v>1241</v>
      </c>
      <c r="B1242" s="5">
        <v>0.15531914893617019</v>
      </c>
      <c r="C1242" s="5">
        <v>0.14096385542168671</v>
      </c>
      <c r="D1242" s="5">
        <v>2.3E-2</v>
      </c>
      <c r="E1242" s="5">
        <v>3.0293663060278211E-2</v>
      </c>
      <c r="F1242" s="2" t="s">
        <v>2452</v>
      </c>
      <c r="G1242" s="2" t="s">
        <v>2453</v>
      </c>
    </row>
    <row r="1243" spans="1:7" ht="150" x14ac:dyDescent="0.25">
      <c r="A1243" s="4">
        <v>1242</v>
      </c>
      <c r="B1243" s="5">
        <v>0.13936170212765961</v>
      </c>
      <c r="C1243" s="5">
        <v>0.2168674698795181</v>
      </c>
      <c r="D1243" s="5">
        <v>8.0000000000000002E-3</v>
      </c>
      <c r="E1243" s="5">
        <v>2.009273570324575E-2</v>
      </c>
      <c r="F1243" s="2" t="s">
        <v>2454</v>
      </c>
      <c r="G1243" s="2" t="s">
        <v>2453</v>
      </c>
    </row>
    <row r="1244" spans="1:7" ht="150" x14ac:dyDescent="0.25">
      <c r="A1244" s="4">
        <v>1243</v>
      </c>
      <c r="B1244" s="5">
        <v>0.15957446808510639</v>
      </c>
      <c r="C1244" s="5">
        <v>0.16867469879518071</v>
      </c>
      <c r="D1244" s="5">
        <v>7.6999999999999999E-2</v>
      </c>
      <c r="E1244" s="5">
        <v>1.4064914992272019E-2</v>
      </c>
      <c r="F1244" s="2" t="s">
        <v>2455</v>
      </c>
      <c r="G1244" s="2" t="s">
        <v>2456</v>
      </c>
    </row>
    <row r="1245" spans="1:7" ht="120" x14ac:dyDescent="0.25">
      <c r="A1245" s="4">
        <v>1244</v>
      </c>
      <c r="B1245" s="5">
        <v>0.35744680851063831</v>
      </c>
      <c r="C1245" s="5">
        <v>0.24096385542168669</v>
      </c>
      <c r="D1245" s="5">
        <v>0.28000000000000003</v>
      </c>
      <c r="E1245" s="5">
        <v>1.205564142194745E-2</v>
      </c>
      <c r="F1245" s="2" t="s">
        <v>2457</v>
      </c>
      <c r="G1245" s="2" t="s">
        <v>2458</v>
      </c>
    </row>
    <row r="1246" spans="1:7" ht="180" x14ac:dyDescent="0.25">
      <c r="A1246" s="4">
        <v>1245</v>
      </c>
      <c r="B1246" s="5">
        <v>0.25531914893617019</v>
      </c>
      <c r="C1246" s="5">
        <v>7.2289156626506035E-2</v>
      </c>
      <c r="D1246" s="5">
        <v>2.7E-2</v>
      </c>
      <c r="E1246" s="5">
        <v>7.6197836166924257E-2</v>
      </c>
      <c r="F1246" s="2" t="s">
        <v>2459</v>
      </c>
      <c r="G1246" s="2" t="s">
        <v>2460</v>
      </c>
    </row>
    <row r="1247" spans="1:7" ht="150" x14ac:dyDescent="0.25">
      <c r="A1247" s="4">
        <v>1246</v>
      </c>
      <c r="B1247" s="5">
        <v>0.1170212765957447</v>
      </c>
      <c r="C1247" s="5">
        <v>2.0481927710843371E-2</v>
      </c>
      <c r="D1247" s="5">
        <v>1.2999999999999999E-2</v>
      </c>
      <c r="E1247" s="5">
        <v>3.3848531684698598E-2</v>
      </c>
      <c r="F1247" s="2" t="s">
        <v>2461</v>
      </c>
      <c r="G1247" s="2" t="s">
        <v>2462</v>
      </c>
    </row>
    <row r="1248" spans="1:7" ht="150" x14ac:dyDescent="0.25">
      <c r="A1248" s="4">
        <v>1247</v>
      </c>
      <c r="B1248" s="5">
        <v>0.13404255319148939</v>
      </c>
      <c r="C1248" s="5">
        <v>1.3253012048192771E-2</v>
      </c>
      <c r="D1248" s="5">
        <v>2.1999999999999999E-2</v>
      </c>
      <c r="E1248" s="5">
        <v>3.9721792890262751E-2</v>
      </c>
      <c r="F1248" s="2" t="s">
        <v>2463</v>
      </c>
      <c r="G1248" s="2" t="s">
        <v>2464</v>
      </c>
    </row>
    <row r="1249" spans="1:7" ht="270" x14ac:dyDescent="0.25">
      <c r="A1249" s="4">
        <v>1248</v>
      </c>
      <c r="B1249" s="5">
        <v>0.37765957446808512</v>
      </c>
      <c r="C1249" s="5">
        <v>8.4337349397590362E-3</v>
      </c>
      <c r="D1249" s="5">
        <v>2E-3</v>
      </c>
      <c r="E1249" s="5">
        <v>0.13168469860896451</v>
      </c>
      <c r="F1249" s="2" t="s">
        <v>2465</v>
      </c>
      <c r="G1249" s="2" t="s">
        <v>2466</v>
      </c>
    </row>
    <row r="1250" spans="1:7" ht="225" x14ac:dyDescent="0.25">
      <c r="A1250" s="4">
        <v>1249</v>
      </c>
      <c r="B1250" s="5">
        <v>0.38723404255319149</v>
      </c>
      <c r="C1250" s="5">
        <v>8.4337349397590369E-2</v>
      </c>
      <c r="D1250" s="5">
        <v>5.0000000000000001E-3</v>
      </c>
      <c r="E1250" s="5">
        <v>0.12364760432766619</v>
      </c>
      <c r="F1250" s="2" t="s">
        <v>2467</v>
      </c>
      <c r="G1250" s="2" t="s">
        <v>2468</v>
      </c>
    </row>
    <row r="1251" spans="1:7" ht="390" x14ac:dyDescent="0.25">
      <c r="A1251" s="4">
        <v>1250</v>
      </c>
      <c r="B1251" s="5">
        <v>0.37553191489361698</v>
      </c>
      <c r="C1251" s="5">
        <v>8.4337349397590369E-2</v>
      </c>
      <c r="D1251" s="5">
        <v>5.0000000000000001E-3</v>
      </c>
      <c r="E1251" s="5">
        <v>0.12364760432766619</v>
      </c>
      <c r="F1251" s="2" t="s">
        <v>2469</v>
      </c>
      <c r="G1251" s="2" t="s">
        <v>2470</v>
      </c>
    </row>
    <row r="1252" spans="1:7" ht="225" x14ac:dyDescent="0.25">
      <c r="A1252" s="4">
        <v>1251</v>
      </c>
      <c r="B1252" s="5">
        <v>0.37553191489361698</v>
      </c>
      <c r="C1252" s="5">
        <v>9.6385542168674707E-3</v>
      </c>
      <c r="D1252" s="5">
        <v>1.7000000000000001E-2</v>
      </c>
      <c r="E1252" s="5">
        <v>0.1292117465224111</v>
      </c>
      <c r="F1252" s="2" t="s">
        <v>2471</v>
      </c>
      <c r="G1252" s="2" t="s">
        <v>2472</v>
      </c>
    </row>
    <row r="1253" spans="1:7" ht="409.5" x14ac:dyDescent="0.25">
      <c r="A1253" s="4">
        <v>1252</v>
      </c>
      <c r="B1253" s="5">
        <v>0.38617021276595748</v>
      </c>
      <c r="C1253" s="5">
        <v>1.3253012048192771E-2</v>
      </c>
      <c r="D1253" s="5">
        <v>5.0000000000000001E-3</v>
      </c>
      <c r="E1253" s="5">
        <v>0.13632148377125189</v>
      </c>
      <c r="F1253" s="2" t="s">
        <v>2473</v>
      </c>
      <c r="G1253" s="2" t="s">
        <v>2474</v>
      </c>
    </row>
    <row r="1254" spans="1:7" ht="345" x14ac:dyDescent="0.25">
      <c r="A1254" s="4">
        <v>1253</v>
      </c>
      <c r="B1254" s="5">
        <v>0.37765957446808512</v>
      </c>
      <c r="C1254" s="5">
        <v>8.4337349397590362E-3</v>
      </c>
      <c r="D1254" s="5">
        <v>2E-3</v>
      </c>
      <c r="E1254" s="5">
        <v>0.13168469860896451</v>
      </c>
      <c r="F1254" s="2" t="s">
        <v>2475</v>
      </c>
      <c r="G1254" s="2" t="s">
        <v>2476</v>
      </c>
    </row>
    <row r="1255" spans="1:7" ht="240" x14ac:dyDescent="0.25">
      <c r="A1255" s="4">
        <v>1254</v>
      </c>
      <c r="B1255" s="5">
        <v>0.38723404255319149</v>
      </c>
      <c r="C1255" s="5">
        <v>5.4216867469879519E-2</v>
      </c>
      <c r="D1255" s="5">
        <v>0.01</v>
      </c>
      <c r="E1255" s="5">
        <v>0.12905718701700161</v>
      </c>
      <c r="F1255" s="2" t="s">
        <v>2477</v>
      </c>
      <c r="G1255" s="2" t="s">
        <v>2478</v>
      </c>
    </row>
    <row r="1256" spans="1:7" ht="165" x14ac:dyDescent="0.25">
      <c r="A1256" s="4">
        <v>1255</v>
      </c>
      <c r="B1256" s="5">
        <v>0.33617021276595738</v>
      </c>
      <c r="C1256" s="5">
        <v>0.72409638554216871</v>
      </c>
      <c r="D1256" s="5">
        <v>6.5000000000000002E-2</v>
      </c>
      <c r="E1256" s="5">
        <v>3.4621329211746522E-2</v>
      </c>
      <c r="F1256" s="2" t="s">
        <v>2479</v>
      </c>
      <c r="G1256" s="2" t="s">
        <v>2480</v>
      </c>
    </row>
    <row r="1257" spans="1:7" ht="195" x14ac:dyDescent="0.25">
      <c r="A1257" s="4">
        <v>1256</v>
      </c>
      <c r="B1257" s="5">
        <v>0.37765957446808512</v>
      </c>
      <c r="C1257" s="5">
        <v>0.1108433734939759</v>
      </c>
      <c r="D1257" s="5">
        <v>3.9E-2</v>
      </c>
      <c r="E1257" s="5">
        <v>0.1139103554868624</v>
      </c>
      <c r="F1257" s="2" t="s">
        <v>2481</v>
      </c>
      <c r="G1257" s="2" t="s">
        <v>232</v>
      </c>
    </row>
    <row r="1258" spans="1:7" ht="285" x14ac:dyDescent="0.25">
      <c r="A1258" s="4">
        <v>1257</v>
      </c>
      <c r="B1258" s="5">
        <v>0.37765957446808512</v>
      </c>
      <c r="C1258" s="5">
        <v>0.1108433734939759</v>
      </c>
      <c r="D1258" s="5">
        <v>3.9E-2</v>
      </c>
      <c r="E1258" s="5">
        <v>0.1139103554868624</v>
      </c>
      <c r="F1258" s="2" t="s">
        <v>2482</v>
      </c>
      <c r="G1258" s="2" t="s">
        <v>2483</v>
      </c>
    </row>
    <row r="1259" spans="1:7" ht="150" x14ac:dyDescent="0.25">
      <c r="A1259" s="4">
        <v>1258</v>
      </c>
      <c r="B1259" s="5">
        <v>0.4127659574468085</v>
      </c>
      <c r="C1259" s="5">
        <v>0.2289156626506024</v>
      </c>
      <c r="D1259" s="5">
        <v>7.4999999999999997E-2</v>
      </c>
      <c r="E1259" s="5">
        <v>9.4590417310664615E-2</v>
      </c>
      <c r="F1259" s="2" t="s">
        <v>2484</v>
      </c>
      <c r="G1259" s="2" t="s">
        <v>2485</v>
      </c>
    </row>
    <row r="1260" spans="1:7" ht="195" x14ac:dyDescent="0.25">
      <c r="A1260" s="4">
        <v>1259</v>
      </c>
      <c r="B1260" s="5">
        <v>0.36914893617021283</v>
      </c>
      <c r="C1260" s="5">
        <v>0.43253012048192768</v>
      </c>
      <c r="D1260" s="5">
        <v>0.20599999999999999</v>
      </c>
      <c r="E1260" s="5">
        <v>4.6213292117465221E-2</v>
      </c>
      <c r="F1260" s="2" t="s">
        <v>2486</v>
      </c>
      <c r="G1260" s="2" t="s">
        <v>2487</v>
      </c>
    </row>
    <row r="1261" spans="1:7" ht="210" x14ac:dyDescent="0.25">
      <c r="A1261" s="4">
        <v>1260</v>
      </c>
      <c r="B1261" s="5">
        <v>0.36914893617021283</v>
      </c>
      <c r="C1261" s="5">
        <v>3.6144578313253009E-3</v>
      </c>
      <c r="D1261" s="5">
        <v>1E-3</v>
      </c>
      <c r="E1261" s="5">
        <v>0.1323029366306028</v>
      </c>
      <c r="F1261" s="2" t="s">
        <v>2488</v>
      </c>
      <c r="G1261" s="2" t="s">
        <v>2489</v>
      </c>
    </row>
    <row r="1262" spans="1:7" ht="165" x14ac:dyDescent="0.25">
      <c r="A1262" s="4">
        <v>1261</v>
      </c>
      <c r="B1262" s="5">
        <v>0.37234042553191488</v>
      </c>
      <c r="C1262" s="5">
        <v>1.445783132530121E-2</v>
      </c>
      <c r="D1262" s="5">
        <v>6.0000000000000001E-3</v>
      </c>
      <c r="E1262" s="5">
        <v>0.1313755795981453</v>
      </c>
      <c r="F1262" s="2" t="s">
        <v>2490</v>
      </c>
      <c r="G1262" s="2" t="s">
        <v>2491</v>
      </c>
    </row>
    <row r="1263" spans="1:7" ht="150" x14ac:dyDescent="0.25">
      <c r="A1263" s="4">
        <v>1262</v>
      </c>
      <c r="B1263" s="5">
        <v>0.3595744680851064</v>
      </c>
      <c r="C1263" s="5">
        <v>3.4939759036144581E-2</v>
      </c>
      <c r="D1263" s="5">
        <v>4.0000000000000001E-3</v>
      </c>
      <c r="E1263" s="5">
        <v>0.1245749613601236</v>
      </c>
      <c r="F1263" s="2" t="s">
        <v>2492</v>
      </c>
      <c r="G1263" s="2" t="s">
        <v>2493</v>
      </c>
    </row>
    <row r="1264" spans="1:7" ht="240" x14ac:dyDescent="0.25">
      <c r="A1264" s="4">
        <v>1263</v>
      </c>
      <c r="B1264" s="5">
        <v>0.37553191489361698</v>
      </c>
      <c r="C1264" s="5">
        <v>8.4337349397590362E-3</v>
      </c>
      <c r="D1264" s="5">
        <v>2E-3</v>
      </c>
      <c r="E1264" s="5">
        <v>0.1309119010819165</v>
      </c>
      <c r="F1264" s="2" t="s">
        <v>2494</v>
      </c>
      <c r="G1264" s="2" t="s">
        <v>2495</v>
      </c>
    </row>
    <row r="1265" spans="1:7" ht="165" x14ac:dyDescent="0.25">
      <c r="A1265" s="4">
        <v>1264</v>
      </c>
      <c r="B1265" s="5">
        <v>0.34680851063829787</v>
      </c>
      <c r="C1265" s="5">
        <v>4.8192771084337352E-2</v>
      </c>
      <c r="D1265" s="5">
        <v>4.0000000000000001E-3</v>
      </c>
      <c r="E1265" s="5">
        <v>0.1185471406491499</v>
      </c>
      <c r="F1265" s="2" t="s">
        <v>2496</v>
      </c>
      <c r="G1265" s="2" t="s">
        <v>2497</v>
      </c>
    </row>
    <row r="1266" spans="1:7" ht="135" x14ac:dyDescent="0.25">
      <c r="A1266" s="4">
        <v>1265</v>
      </c>
      <c r="B1266" s="5">
        <v>0.38617021276595748</v>
      </c>
      <c r="C1266" s="5">
        <v>1.3253012048192771E-2</v>
      </c>
      <c r="D1266" s="5">
        <v>5.0000000000000001E-3</v>
      </c>
      <c r="E1266" s="5">
        <v>0.13632148377125189</v>
      </c>
      <c r="F1266" s="2" t="s">
        <v>2498</v>
      </c>
      <c r="G1266" s="2" t="s">
        <v>2499</v>
      </c>
    </row>
    <row r="1267" spans="1:7" ht="270" x14ac:dyDescent="0.25">
      <c r="A1267" s="4">
        <v>1266</v>
      </c>
      <c r="B1267" s="5">
        <v>0.37553191489361698</v>
      </c>
      <c r="C1267" s="5">
        <v>3.4939759036144581E-2</v>
      </c>
      <c r="D1267" s="5">
        <v>5.0000000000000001E-3</v>
      </c>
      <c r="E1267" s="5">
        <v>0.1304482225656878</v>
      </c>
      <c r="F1267" s="2" t="s">
        <v>2500</v>
      </c>
      <c r="G1267" s="2" t="s">
        <v>2501</v>
      </c>
    </row>
    <row r="1268" spans="1:7" ht="120" x14ac:dyDescent="0.25">
      <c r="A1268" s="4">
        <v>1267</v>
      </c>
      <c r="B1268" s="5">
        <v>0.54148936170212769</v>
      </c>
      <c r="C1268" s="5">
        <v>0.29638554216867469</v>
      </c>
      <c r="D1268" s="5">
        <v>0.3</v>
      </c>
      <c r="E1268" s="5">
        <v>5.5950540958268943E-2</v>
      </c>
      <c r="F1268" s="2" t="s">
        <v>2502</v>
      </c>
      <c r="G1268" s="2" t="s">
        <v>2503</v>
      </c>
    </row>
    <row r="1269" spans="1:7" ht="300" x14ac:dyDescent="0.25">
      <c r="A1269" s="4">
        <v>1268</v>
      </c>
      <c r="B1269" s="5">
        <v>0.44468085106382982</v>
      </c>
      <c r="C1269" s="5">
        <v>0.2289156626506024</v>
      </c>
      <c r="D1269" s="5">
        <v>0.09</v>
      </c>
      <c r="E1269" s="5">
        <v>0.10123647604327669</v>
      </c>
      <c r="F1269" s="2" t="s">
        <v>2504</v>
      </c>
      <c r="G1269" s="2" t="s">
        <v>2505</v>
      </c>
    </row>
    <row r="1270" spans="1:7" ht="135" x14ac:dyDescent="0.25">
      <c r="A1270" s="4">
        <v>1269</v>
      </c>
      <c r="B1270" s="5">
        <v>0.3851063829787234</v>
      </c>
      <c r="C1270" s="5">
        <v>0.42891566265060238</v>
      </c>
      <c r="D1270" s="5">
        <v>0.01</v>
      </c>
      <c r="E1270" s="5">
        <v>8.0370942812983001E-2</v>
      </c>
      <c r="F1270" s="2" t="s">
        <v>2506</v>
      </c>
      <c r="G1270" s="2" t="s">
        <v>2507</v>
      </c>
    </row>
    <row r="1271" spans="1:7" ht="240" x14ac:dyDescent="0.25">
      <c r="A1271" s="4">
        <v>1270</v>
      </c>
      <c r="B1271" s="5">
        <v>0.35319148936170208</v>
      </c>
      <c r="C1271" s="5">
        <v>6.8674698795180733E-2</v>
      </c>
      <c r="D1271" s="5">
        <v>6.0000000000000001E-3</v>
      </c>
      <c r="E1271" s="5">
        <v>0.1176197836166924</v>
      </c>
      <c r="F1271" s="2" t="s">
        <v>2508</v>
      </c>
      <c r="G1271" s="2" t="s">
        <v>2509</v>
      </c>
    </row>
    <row r="1272" spans="1:7" ht="165" x14ac:dyDescent="0.25">
      <c r="A1272" s="4">
        <v>1271</v>
      </c>
      <c r="B1272" s="5">
        <v>0.38829787234042562</v>
      </c>
      <c r="C1272" s="5">
        <v>0.1072289156626506</v>
      </c>
      <c r="D1272" s="5">
        <v>1.2999999999999999E-2</v>
      </c>
      <c r="E1272" s="5">
        <v>0.11947449768160739</v>
      </c>
      <c r="F1272" s="2" t="s">
        <v>2510</v>
      </c>
      <c r="G1272" s="2" t="s">
        <v>2511</v>
      </c>
    </row>
    <row r="1273" spans="1:7" ht="390" x14ac:dyDescent="0.25">
      <c r="A1273" s="4">
        <v>1272</v>
      </c>
      <c r="B1273" s="5">
        <v>0.37659574468085111</v>
      </c>
      <c r="C1273" s="5">
        <v>3.3734939759036138E-2</v>
      </c>
      <c r="D1273" s="5">
        <v>6.0000000000000001E-3</v>
      </c>
      <c r="E1273" s="5">
        <v>0.1304482225656878</v>
      </c>
      <c r="F1273" s="2" t="s">
        <v>2512</v>
      </c>
      <c r="G1273" s="2" t="s">
        <v>2513</v>
      </c>
    </row>
    <row r="1274" spans="1:7" ht="240" x14ac:dyDescent="0.25">
      <c r="A1274" s="4">
        <v>1273</v>
      </c>
      <c r="B1274" s="5">
        <v>0.16489361702127661</v>
      </c>
      <c r="C1274" s="5">
        <v>0.26867469879518069</v>
      </c>
      <c r="D1274" s="5">
        <v>2.9000000000000001E-2</v>
      </c>
      <c r="E1274" s="5">
        <v>1.530139103554869E-2</v>
      </c>
      <c r="F1274" s="2" t="s">
        <v>2514</v>
      </c>
      <c r="G1274" s="2" t="s">
        <v>2515</v>
      </c>
    </row>
    <row r="1275" spans="1:7" ht="120" x14ac:dyDescent="0.25">
      <c r="A1275" s="4">
        <v>1274</v>
      </c>
      <c r="B1275" s="5">
        <v>0.20319148936170209</v>
      </c>
      <c r="C1275" s="5">
        <v>0.39879518072289161</v>
      </c>
      <c r="D1275" s="5">
        <v>3.5999999999999997E-2</v>
      </c>
      <c r="E1275" s="5">
        <v>1.0200927357032459E-2</v>
      </c>
      <c r="F1275" s="2" t="s">
        <v>2516</v>
      </c>
      <c r="G1275" s="2" t="s">
        <v>2517</v>
      </c>
    </row>
    <row r="1276" spans="1:7" ht="255" x14ac:dyDescent="0.25">
      <c r="A1276" s="4">
        <v>1275</v>
      </c>
      <c r="B1276" s="5">
        <v>0.18510638297872339</v>
      </c>
      <c r="C1276" s="5">
        <v>0.36144578313253012</v>
      </c>
      <c r="D1276" s="5">
        <v>3.5000000000000003E-2</v>
      </c>
      <c r="E1276" s="5">
        <v>5.4095826893353939E-3</v>
      </c>
      <c r="F1276" s="2" t="s">
        <v>2518</v>
      </c>
      <c r="G1276" s="2" t="s">
        <v>2519</v>
      </c>
    </row>
    <row r="1277" spans="1:7" ht="120" x14ac:dyDescent="0.25">
      <c r="A1277" s="4">
        <v>1276</v>
      </c>
      <c r="B1277" s="5">
        <v>0.18510638297872339</v>
      </c>
      <c r="C1277" s="5">
        <v>0.36144578313253012</v>
      </c>
      <c r="D1277" s="5">
        <v>3.5000000000000003E-2</v>
      </c>
      <c r="E1277" s="5">
        <v>8.6553323029366306E-3</v>
      </c>
      <c r="F1277" s="2" t="s">
        <v>2520</v>
      </c>
      <c r="G1277" s="2" t="s">
        <v>2521</v>
      </c>
    </row>
    <row r="1278" spans="1:7" ht="165" x14ac:dyDescent="0.25">
      <c r="A1278" s="4">
        <v>1277</v>
      </c>
      <c r="B1278" s="5">
        <v>0.38829787234042562</v>
      </c>
      <c r="C1278" s="5">
        <v>0.28554216867469878</v>
      </c>
      <c r="D1278" s="5">
        <v>0.223</v>
      </c>
      <c r="E1278" s="5">
        <v>2.704791344667697E-2</v>
      </c>
      <c r="F1278" s="2" t="s">
        <v>2522</v>
      </c>
      <c r="G1278" s="2" t="s">
        <v>2523</v>
      </c>
    </row>
    <row r="1279" spans="1:7" ht="120" x14ac:dyDescent="0.25">
      <c r="A1279" s="4">
        <v>1278</v>
      </c>
      <c r="B1279" s="5">
        <v>0.49148936170212759</v>
      </c>
      <c r="C1279" s="5">
        <v>0.47108433734939759</v>
      </c>
      <c r="D1279" s="5">
        <v>0.32400000000000001</v>
      </c>
      <c r="E1279" s="5">
        <v>5.4095826893353939E-3</v>
      </c>
      <c r="F1279" s="2" t="s">
        <v>2524</v>
      </c>
      <c r="G1279" s="2" t="s">
        <v>2525</v>
      </c>
    </row>
    <row r="1280" spans="1:7" ht="300" x14ac:dyDescent="0.25">
      <c r="A1280" s="4">
        <v>1279</v>
      </c>
      <c r="B1280" s="5">
        <v>2.553191489361702E-2</v>
      </c>
      <c r="C1280" s="5">
        <v>1.3253012048192771E-2</v>
      </c>
      <c r="D1280" s="5">
        <v>2E-3</v>
      </c>
      <c r="E1280" s="5">
        <v>8.5007727975270481E-3</v>
      </c>
      <c r="F1280" s="2" t="s">
        <v>2526</v>
      </c>
      <c r="G1280" s="2" t="s">
        <v>2527</v>
      </c>
    </row>
    <row r="1281" spans="1:7" ht="150" x14ac:dyDescent="0.25">
      <c r="A1281" s="4">
        <v>1280</v>
      </c>
      <c r="B1281" s="5">
        <v>0.30319148936170209</v>
      </c>
      <c r="C1281" s="5">
        <v>5.1807228915662647E-2</v>
      </c>
      <c r="D1281" s="5">
        <v>0.25700000000000001</v>
      </c>
      <c r="E1281" s="5">
        <v>1.4683153013910349E-2</v>
      </c>
      <c r="F1281" s="2" t="s">
        <v>2528</v>
      </c>
      <c r="G1281" s="2" t="s">
        <v>2529</v>
      </c>
    </row>
    <row r="1282" spans="1:7" ht="90" x14ac:dyDescent="0.25">
      <c r="A1282" s="4">
        <v>1281</v>
      </c>
      <c r="B1282" s="5">
        <v>4.1489361702127657E-2</v>
      </c>
      <c r="C1282" s="5">
        <v>2.7710843373493971E-2</v>
      </c>
      <c r="D1282" s="5">
        <v>1.9E-2</v>
      </c>
      <c r="E1282" s="5">
        <v>3.0911901081916542E-3</v>
      </c>
      <c r="F1282" s="2" t="s">
        <v>2530</v>
      </c>
      <c r="G1282" s="2" t="s">
        <v>2531</v>
      </c>
    </row>
    <row r="1283" spans="1:7" ht="165" x14ac:dyDescent="0.25">
      <c r="A1283" s="4">
        <v>1282</v>
      </c>
      <c r="B1283" s="5">
        <v>5.1063829787234047E-2</v>
      </c>
      <c r="C1283" s="5">
        <v>1.8072289156626509E-2</v>
      </c>
      <c r="D1283" s="5">
        <v>3.0000000000000001E-3</v>
      </c>
      <c r="E1283" s="5">
        <v>1.7465224111282849E-2</v>
      </c>
      <c r="F1283" s="2" t="s">
        <v>2532</v>
      </c>
      <c r="G1283" s="2" t="s">
        <v>2533</v>
      </c>
    </row>
    <row r="1284" spans="1:7" ht="210" x14ac:dyDescent="0.25">
      <c r="A1284" s="4">
        <v>1283</v>
      </c>
      <c r="B1284" s="5">
        <v>4.7872340425531908E-2</v>
      </c>
      <c r="C1284" s="5">
        <v>2.289156626506024E-2</v>
      </c>
      <c r="D1284" s="5">
        <v>8.0000000000000002E-3</v>
      </c>
      <c r="E1284" s="5">
        <v>1.15919629057187E-2</v>
      </c>
      <c r="F1284" s="2" t="s">
        <v>2534</v>
      </c>
      <c r="G1284" s="2" t="s">
        <v>2535</v>
      </c>
    </row>
    <row r="1285" spans="1:7" ht="240" x14ac:dyDescent="0.25">
      <c r="A1285" s="4">
        <v>1284</v>
      </c>
      <c r="B1285" s="5">
        <v>2.4468085106382979E-2</v>
      </c>
      <c r="C1285" s="5">
        <v>2.168674698795181E-2</v>
      </c>
      <c r="D1285" s="5">
        <v>1E-3</v>
      </c>
      <c r="E1285" s="5">
        <v>7.573415765069552E-3</v>
      </c>
      <c r="F1285" s="2" t="s">
        <v>2536</v>
      </c>
      <c r="G1285" s="2" t="s">
        <v>2537</v>
      </c>
    </row>
    <row r="1286" spans="1:7" ht="195" x14ac:dyDescent="0.25">
      <c r="A1286" s="4">
        <v>1285</v>
      </c>
      <c r="B1286" s="5">
        <v>2.9787234042553189E-2</v>
      </c>
      <c r="C1286" s="5">
        <v>1.3253012048192771E-2</v>
      </c>
      <c r="D1286" s="5">
        <v>2E-3</v>
      </c>
      <c r="E1286" s="5">
        <v>8.5007727975270481E-3</v>
      </c>
      <c r="F1286" s="2" t="s">
        <v>2538</v>
      </c>
      <c r="G1286" s="2" t="s">
        <v>2539</v>
      </c>
    </row>
    <row r="1287" spans="1:7" ht="240" x14ac:dyDescent="0.25">
      <c r="A1287" s="4">
        <v>1286</v>
      </c>
      <c r="B1287" s="5">
        <v>5.5319148936170223E-2</v>
      </c>
      <c r="C1287" s="5">
        <v>2.5301204819277109E-2</v>
      </c>
      <c r="D1287" s="5">
        <v>1.0999999999999999E-2</v>
      </c>
      <c r="E1287" s="5">
        <v>1.329211746522411E-2</v>
      </c>
      <c r="F1287" s="2" t="s">
        <v>2540</v>
      </c>
      <c r="G1287" s="2" t="s">
        <v>2541</v>
      </c>
    </row>
    <row r="1288" spans="1:7" ht="165" x14ac:dyDescent="0.25">
      <c r="A1288" s="4">
        <v>1287</v>
      </c>
      <c r="B1288" s="5">
        <v>5.5319148936170223E-2</v>
      </c>
      <c r="C1288" s="5">
        <v>1.3253012048192771E-2</v>
      </c>
      <c r="D1288" s="5">
        <v>4.0000000000000001E-3</v>
      </c>
      <c r="E1288" s="5">
        <v>1.7310664605873261E-2</v>
      </c>
      <c r="F1288" s="2" t="s">
        <v>2542</v>
      </c>
      <c r="G1288" s="2" t="s">
        <v>2543</v>
      </c>
    </row>
    <row r="1289" spans="1:7" ht="150" x14ac:dyDescent="0.25">
      <c r="A1289" s="4">
        <v>1288</v>
      </c>
      <c r="B1289" s="5">
        <v>2.6595744680851061E-2</v>
      </c>
      <c r="C1289" s="5">
        <v>2.5301204819277109E-2</v>
      </c>
      <c r="D1289" s="5">
        <v>1E-3</v>
      </c>
      <c r="E1289" s="5">
        <v>8.1916537867078813E-3</v>
      </c>
      <c r="F1289" s="2" t="s">
        <v>2544</v>
      </c>
      <c r="G1289" s="2" t="s">
        <v>2545</v>
      </c>
    </row>
    <row r="1290" spans="1:7" ht="210" x14ac:dyDescent="0.25">
      <c r="A1290" s="4">
        <v>1289</v>
      </c>
      <c r="B1290" s="5">
        <v>2.4468085106382979E-2</v>
      </c>
      <c r="C1290" s="5">
        <v>2.168674698795181E-2</v>
      </c>
      <c r="D1290" s="5">
        <v>1E-3</v>
      </c>
      <c r="E1290" s="5">
        <v>7.573415765069552E-3</v>
      </c>
      <c r="F1290" s="2" t="s">
        <v>2546</v>
      </c>
      <c r="G1290" s="2" t="s">
        <v>2547</v>
      </c>
    </row>
    <row r="1291" spans="1:7" ht="135" x14ac:dyDescent="0.25">
      <c r="A1291" s="4">
        <v>1290</v>
      </c>
      <c r="B1291" s="5">
        <v>6.2765957446808518E-2</v>
      </c>
      <c r="C1291" s="5">
        <v>3.4939759036144581E-2</v>
      </c>
      <c r="D1291" s="5">
        <v>3.0000000000000001E-3</v>
      </c>
      <c r="E1291" s="5">
        <v>2.1483771251931991E-2</v>
      </c>
      <c r="F1291" s="2" t="s">
        <v>2548</v>
      </c>
      <c r="G1291" s="2" t="s">
        <v>2549</v>
      </c>
    </row>
    <row r="1292" spans="1:7" ht="195" x14ac:dyDescent="0.25">
      <c r="A1292" s="4">
        <v>1291</v>
      </c>
      <c r="B1292" s="5">
        <v>0.1276595744680851</v>
      </c>
      <c r="C1292" s="5">
        <v>2.891566265060241E-2</v>
      </c>
      <c r="D1292" s="5">
        <v>4.0000000000000001E-3</v>
      </c>
      <c r="E1292" s="5">
        <v>4.0185471406491501E-2</v>
      </c>
      <c r="F1292" s="2" t="s">
        <v>2550</v>
      </c>
      <c r="G1292" s="2" t="s">
        <v>2551</v>
      </c>
    </row>
    <row r="1293" spans="1:7" ht="240" x14ac:dyDescent="0.25">
      <c r="A1293" s="4">
        <v>1292</v>
      </c>
      <c r="B1293" s="5">
        <v>3.5106382978723413E-2</v>
      </c>
      <c r="C1293" s="5">
        <v>1.445783132530121E-2</v>
      </c>
      <c r="D1293" s="5">
        <v>1.2999999999999999E-2</v>
      </c>
      <c r="E1293" s="5">
        <v>6.33693972179289E-3</v>
      </c>
      <c r="F1293" s="2" t="s">
        <v>2552</v>
      </c>
      <c r="G1293" s="2" t="s">
        <v>2553</v>
      </c>
    </row>
    <row r="1294" spans="1:7" ht="150" x14ac:dyDescent="0.25">
      <c r="A1294" s="4">
        <v>1293</v>
      </c>
      <c r="B1294" s="5">
        <v>0.54893617021276597</v>
      </c>
      <c r="C1294" s="5">
        <v>0.2132530120481928</v>
      </c>
      <c r="D1294" s="5">
        <v>0.495</v>
      </c>
      <c r="E1294" s="5">
        <v>0</v>
      </c>
      <c r="F1294" s="2" t="s">
        <v>2554</v>
      </c>
      <c r="G1294" s="2" t="s">
        <v>2555</v>
      </c>
    </row>
    <row r="1295" spans="1:7" ht="240" x14ac:dyDescent="0.25">
      <c r="A1295" s="4">
        <v>1294</v>
      </c>
      <c r="B1295" s="5">
        <v>0.37765957446808512</v>
      </c>
      <c r="C1295" s="5">
        <v>7.4698795180722893E-2</v>
      </c>
      <c r="D1295" s="5">
        <v>1.2E-2</v>
      </c>
      <c r="E1295" s="5">
        <v>0.123338485316847</v>
      </c>
      <c r="F1295" s="2" t="s">
        <v>2556</v>
      </c>
      <c r="G1295" s="2" t="s">
        <v>2557</v>
      </c>
    </row>
    <row r="1296" spans="1:7" ht="240" x14ac:dyDescent="0.25">
      <c r="A1296" s="4">
        <v>1295</v>
      </c>
      <c r="B1296" s="5">
        <v>0.37553191489361698</v>
      </c>
      <c r="C1296" s="5">
        <v>2.891566265060241E-2</v>
      </c>
      <c r="D1296" s="5">
        <v>1.0999999999999999E-2</v>
      </c>
      <c r="E1296" s="5">
        <v>0.12890262751159201</v>
      </c>
      <c r="F1296" s="2" t="s">
        <v>2558</v>
      </c>
      <c r="G1296" s="2" t="s">
        <v>2559</v>
      </c>
    </row>
    <row r="1297" spans="1:7" ht="135" x14ac:dyDescent="0.25">
      <c r="A1297" s="4">
        <v>1296</v>
      </c>
      <c r="B1297" s="5">
        <v>0.42021276595744678</v>
      </c>
      <c r="C1297" s="5">
        <v>3.8554216867469883E-2</v>
      </c>
      <c r="D1297" s="5">
        <v>8.5000000000000006E-2</v>
      </c>
      <c r="E1297" s="5">
        <v>0.11823802163833071</v>
      </c>
      <c r="F1297" s="2" t="s">
        <v>2560</v>
      </c>
      <c r="G1297" s="2" t="s">
        <v>2561</v>
      </c>
    </row>
    <row r="1298" spans="1:7" ht="240" x14ac:dyDescent="0.25">
      <c r="A1298" s="4">
        <v>1297</v>
      </c>
      <c r="B1298" s="5">
        <v>0.41702127659574473</v>
      </c>
      <c r="C1298" s="5">
        <v>6.5060240963855431E-2</v>
      </c>
      <c r="D1298" s="5">
        <v>0.28499999999999998</v>
      </c>
      <c r="E1298" s="5">
        <v>4.3894899536321481E-2</v>
      </c>
      <c r="F1298" s="2" t="s">
        <v>2562</v>
      </c>
      <c r="G1298" s="2" t="s">
        <v>2563</v>
      </c>
    </row>
    <row r="1299" spans="1:7" ht="240" x14ac:dyDescent="0.25">
      <c r="A1299" s="4">
        <v>1298</v>
      </c>
      <c r="B1299" s="5">
        <v>9.957446808510638E-2</v>
      </c>
      <c r="C1299" s="5">
        <v>5.301204819277109E-2</v>
      </c>
      <c r="D1299" s="5">
        <v>1.7999999999999999E-2</v>
      </c>
      <c r="E1299" s="5">
        <v>2.3338485316846989E-2</v>
      </c>
      <c r="F1299" s="2" t="s">
        <v>2564</v>
      </c>
      <c r="G1299" s="2" t="s">
        <v>2565</v>
      </c>
    </row>
    <row r="1300" spans="1:7" ht="255" x14ac:dyDescent="0.25">
      <c r="A1300" s="4">
        <v>1299</v>
      </c>
      <c r="B1300" s="5">
        <v>2.4468085106382979E-2</v>
      </c>
      <c r="C1300" s="5">
        <v>3.4939759036144581E-2</v>
      </c>
      <c r="D1300" s="5">
        <v>2E-3</v>
      </c>
      <c r="E1300" s="5">
        <v>6.33693972179289E-3</v>
      </c>
      <c r="F1300" s="2" t="s">
        <v>2566</v>
      </c>
      <c r="G1300" s="2" t="s">
        <v>2567</v>
      </c>
    </row>
    <row r="1301" spans="1:7" ht="165" x14ac:dyDescent="0.25">
      <c r="A1301" s="4">
        <v>1300</v>
      </c>
      <c r="B1301" s="5">
        <v>3.7234042553191488E-2</v>
      </c>
      <c r="C1301" s="5">
        <v>6.0240963855421693E-2</v>
      </c>
      <c r="D1301" s="5">
        <v>2E-3</v>
      </c>
      <c r="E1301" s="5">
        <v>8.9644513137557957E-3</v>
      </c>
      <c r="F1301" s="2" t="s">
        <v>2568</v>
      </c>
      <c r="G1301" s="2" t="s">
        <v>2569</v>
      </c>
    </row>
    <row r="1302" spans="1:7" ht="165" x14ac:dyDescent="0.25">
      <c r="A1302" s="4">
        <v>1301</v>
      </c>
      <c r="B1302" s="5">
        <v>7.1276595744680857E-2</v>
      </c>
      <c r="C1302" s="5">
        <v>0.108433734939759</v>
      </c>
      <c r="D1302" s="5">
        <v>2.5999999999999999E-2</v>
      </c>
      <c r="E1302" s="5">
        <v>9.8918083462132926E-3</v>
      </c>
      <c r="F1302" s="2" t="s">
        <v>2570</v>
      </c>
      <c r="G1302" s="2" t="s">
        <v>2571</v>
      </c>
    </row>
    <row r="1303" spans="1:7" ht="255" x14ac:dyDescent="0.25">
      <c r="A1303" s="4">
        <v>1302</v>
      </c>
      <c r="B1303" s="5">
        <v>2.9787234042553189E-2</v>
      </c>
      <c r="C1303" s="5">
        <v>3.6144578313253017E-2</v>
      </c>
      <c r="D1303" s="5">
        <v>8.0000000000000002E-3</v>
      </c>
      <c r="E1303" s="5">
        <v>6.1823802163833066E-3</v>
      </c>
      <c r="F1303" s="2" t="s">
        <v>2572</v>
      </c>
      <c r="G1303" s="2" t="s">
        <v>2573</v>
      </c>
    </row>
    <row r="1304" spans="1:7" ht="165" x14ac:dyDescent="0.25">
      <c r="A1304" s="4">
        <v>1303</v>
      </c>
      <c r="B1304" s="5">
        <v>2.1276595744680851E-2</v>
      </c>
      <c r="C1304" s="5">
        <v>1.204819277108434E-2</v>
      </c>
      <c r="D1304" s="5">
        <v>2E-3</v>
      </c>
      <c r="E1304" s="5">
        <v>5.4095826893353939E-3</v>
      </c>
      <c r="F1304" s="2" t="s">
        <v>2574</v>
      </c>
      <c r="G1304" s="2" t="s">
        <v>2575</v>
      </c>
    </row>
    <row r="1305" spans="1:7" ht="165" x14ac:dyDescent="0.25">
      <c r="A1305" s="4">
        <v>1304</v>
      </c>
      <c r="B1305" s="5">
        <v>2.1276595744680851E-2</v>
      </c>
      <c r="C1305" s="5">
        <v>1.204819277108434E-2</v>
      </c>
      <c r="D1305" s="5">
        <v>3.0000000000000001E-3</v>
      </c>
      <c r="E1305" s="5">
        <v>6.4914992272024734E-3</v>
      </c>
      <c r="F1305" s="2" t="s">
        <v>2576</v>
      </c>
      <c r="G1305" s="2" t="s">
        <v>2577</v>
      </c>
    </row>
    <row r="1306" spans="1:7" ht="150" x14ac:dyDescent="0.25">
      <c r="A1306" s="4">
        <v>1305</v>
      </c>
      <c r="B1306" s="5">
        <v>2.553191489361702E-2</v>
      </c>
      <c r="C1306" s="5">
        <v>1.566265060240964E-2</v>
      </c>
      <c r="D1306" s="5">
        <v>5.0000000000000001E-3</v>
      </c>
      <c r="E1306" s="5">
        <v>7.2642967542503869E-3</v>
      </c>
      <c r="F1306" s="2" t="s">
        <v>2578</v>
      </c>
      <c r="G1306" s="2" t="s">
        <v>2579</v>
      </c>
    </row>
    <row r="1307" spans="1:7" ht="180" x14ac:dyDescent="0.25">
      <c r="A1307" s="4">
        <v>1306</v>
      </c>
      <c r="B1307" s="5">
        <v>2.553191489361702E-2</v>
      </c>
      <c r="C1307" s="5">
        <v>2.4096385542168679E-2</v>
      </c>
      <c r="D1307" s="5">
        <v>6.9999999999999993E-3</v>
      </c>
      <c r="E1307" s="5">
        <v>5.100463678516228E-3</v>
      </c>
      <c r="F1307" s="2" t="s">
        <v>2580</v>
      </c>
      <c r="G1307" s="2" t="s">
        <v>2581</v>
      </c>
    </row>
    <row r="1308" spans="1:7" ht="345" x14ac:dyDescent="0.25">
      <c r="A1308" s="4">
        <v>1307</v>
      </c>
      <c r="B1308" s="5">
        <v>0.20106382978723411</v>
      </c>
      <c r="C1308" s="5">
        <v>0.136144578313253</v>
      </c>
      <c r="D1308" s="5">
        <v>0.157</v>
      </c>
      <c r="E1308" s="5">
        <v>9.2735703245749607E-4</v>
      </c>
      <c r="F1308" s="2" t="s">
        <v>2582</v>
      </c>
      <c r="G1308" s="2" t="s">
        <v>2583</v>
      </c>
    </row>
    <row r="1309" spans="1:7" ht="409.5" x14ac:dyDescent="0.25">
      <c r="A1309" s="4">
        <v>1308</v>
      </c>
      <c r="B1309" s="5">
        <v>5.1063829787234047E-2</v>
      </c>
      <c r="C1309" s="5">
        <v>1.6867469879518069E-2</v>
      </c>
      <c r="D1309" s="5">
        <v>4.2000000000000003E-2</v>
      </c>
      <c r="E1309" s="5">
        <v>4.0185471406491502E-3</v>
      </c>
      <c r="F1309" s="2" t="s">
        <v>2584</v>
      </c>
      <c r="G1309" s="2" t="s">
        <v>2585</v>
      </c>
    </row>
    <row r="1310" spans="1:7" ht="210" x14ac:dyDescent="0.25">
      <c r="A1310" s="4">
        <v>1309</v>
      </c>
      <c r="B1310" s="5">
        <v>0.1978723404255319</v>
      </c>
      <c r="C1310" s="5">
        <v>2.289156626506024E-2</v>
      </c>
      <c r="D1310" s="5">
        <v>2E-3</v>
      </c>
      <c r="E1310" s="5">
        <v>6.846986089644512E-2</v>
      </c>
      <c r="F1310" s="2" t="s">
        <v>2586</v>
      </c>
      <c r="G1310" s="2" t="s">
        <v>2587</v>
      </c>
    </row>
    <row r="1311" spans="1:7" ht="150" x14ac:dyDescent="0.25">
      <c r="A1311" s="4">
        <v>1310</v>
      </c>
      <c r="B1311" s="5">
        <v>0.1702127659574468</v>
      </c>
      <c r="C1311" s="5">
        <v>4.457831325301205E-2</v>
      </c>
      <c r="D1311" s="5">
        <v>1.2999999999999999E-2</v>
      </c>
      <c r="E1311" s="5">
        <v>8.5471406491499216E-2</v>
      </c>
      <c r="F1311" s="2" t="s">
        <v>2588</v>
      </c>
      <c r="G1311" s="2" t="s">
        <v>2589</v>
      </c>
    </row>
    <row r="1312" spans="1:7" ht="150" x14ac:dyDescent="0.25">
      <c r="A1312" s="4">
        <v>1311</v>
      </c>
      <c r="B1312" s="5">
        <v>0.1063829787234043</v>
      </c>
      <c r="C1312" s="5">
        <v>8.4337349397590362E-3</v>
      </c>
      <c r="D1312" s="5">
        <v>3.0000000000000001E-3</v>
      </c>
      <c r="E1312" s="5">
        <v>3.6785162287480681E-2</v>
      </c>
      <c r="F1312" s="2" t="s">
        <v>2590</v>
      </c>
      <c r="G1312" s="2" t="s">
        <v>2591</v>
      </c>
    </row>
    <row r="1313" spans="1:7" ht="120" x14ac:dyDescent="0.25">
      <c r="A1313" s="4">
        <v>1312</v>
      </c>
      <c r="B1313" s="5">
        <v>0.12659574468085111</v>
      </c>
      <c r="C1313" s="5">
        <v>6.024096385542169E-3</v>
      </c>
      <c r="D1313" s="5">
        <v>4.0000000000000001E-3</v>
      </c>
      <c r="E1313" s="5">
        <v>3.8794435857805259E-2</v>
      </c>
      <c r="F1313" s="2" t="s">
        <v>2592</v>
      </c>
      <c r="G1313" s="2" t="s">
        <v>2593</v>
      </c>
    </row>
    <row r="1314" spans="1:7" ht="150" x14ac:dyDescent="0.25">
      <c r="A1314" s="4">
        <v>1313</v>
      </c>
      <c r="B1314" s="5">
        <v>8.8297872340425534E-2</v>
      </c>
      <c r="C1314" s="5">
        <v>1.8072289156626509E-2</v>
      </c>
      <c r="D1314" s="5">
        <v>2E-3</v>
      </c>
      <c r="E1314" s="5">
        <v>2.9057187017001551E-2</v>
      </c>
      <c r="F1314" s="2" t="s">
        <v>2594</v>
      </c>
      <c r="G1314" s="2" t="s">
        <v>2595</v>
      </c>
    </row>
    <row r="1315" spans="1:7" ht="165" x14ac:dyDescent="0.25">
      <c r="A1315" s="4">
        <v>1314</v>
      </c>
      <c r="B1315" s="5">
        <v>0.1308510638297872</v>
      </c>
      <c r="C1315" s="5">
        <v>2.168674698795181E-2</v>
      </c>
      <c r="D1315" s="5">
        <v>6.9999999999999993E-3</v>
      </c>
      <c r="E1315" s="5">
        <v>4.312210200927357E-2</v>
      </c>
      <c r="F1315" s="2" t="s">
        <v>2596</v>
      </c>
      <c r="G1315" s="2" t="s">
        <v>2597</v>
      </c>
    </row>
    <row r="1316" spans="1:7" ht="165" x14ac:dyDescent="0.25">
      <c r="A1316" s="4">
        <v>1315</v>
      </c>
      <c r="B1316" s="5">
        <v>0.16063829787234041</v>
      </c>
      <c r="C1316" s="5">
        <v>1.9277108433734941E-2</v>
      </c>
      <c r="D1316" s="5">
        <v>3.0000000000000001E-3</v>
      </c>
      <c r="E1316" s="5">
        <v>5.4714064914992269E-2</v>
      </c>
      <c r="F1316" s="2" t="s">
        <v>2598</v>
      </c>
      <c r="G1316" s="2" t="s">
        <v>1164</v>
      </c>
    </row>
    <row r="1317" spans="1:7" ht="240" x14ac:dyDescent="0.25">
      <c r="A1317" s="4">
        <v>1316</v>
      </c>
      <c r="B1317" s="5">
        <v>0.1308510638297872</v>
      </c>
      <c r="C1317" s="5">
        <v>2.168674698795181E-2</v>
      </c>
      <c r="D1317" s="5">
        <v>6.9999999999999993E-3</v>
      </c>
      <c r="E1317" s="5">
        <v>4.312210200927357E-2</v>
      </c>
      <c r="F1317" s="2" t="s">
        <v>2599</v>
      </c>
      <c r="G1317" s="2" t="s">
        <v>2600</v>
      </c>
    </row>
    <row r="1318" spans="1:7" ht="135" x14ac:dyDescent="0.25">
      <c r="A1318" s="4">
        <v>1317</v>
      </c>
      <c r="B1318" s="5">
        <v>0.1212765957446809</v>
      </c>
      <c r="C1318" s="5">
        <v>1.6867469879518069E-2</v>
      </c>
      <c r="D1318" s="5">
        <v>9.6000000000000002E-2</v>
      </c>
      <c r="E1318" s="5">
        <v>3.956723338485317E-2</v>
      </c>
      <c r="F1318" s="2" t="s">
        <v>2601</v>
      </c>
      <c r="G1318" s="2" t="s">
        <v>2602</v>
      </c>
    </row>
    <row r="1319" spans="1:7" ht="195" x14ac:dyDescent="0.25">
      <c r="A1319" s="4">
        <v>1318</v>
      </c>
      <c r="B1319" s="5">
        <v>0.19574468085106381</v>
      </c>
      <c r="C1319" s="5">
        <v>1.6867469879518069E-2</v>
      </c>
      <c r="D1319" s="5">
        <v>3.0000000000000001E-3</v>
      </c>
      <c r="E1319" s="5">
        <v>3.4775888717156103E-2</v>
      </c>
      <c r="F1319" s="2" t="s">
        <v>2603</v>
      </c>
      <c r="G1319" s="2" t="s">
        <v>626</v>
      </c>
    </row>
    <row r="1320" spans="1:7" ht="195" x14ac:dyDescent="0.25">
      <c r="A1320" s="4">
        <v>1319</v>
      </c>
      <c r="B1320" s="5">
        <v>0.1148936170212766</v>
      </c>
      <c r="C1320" s="5">
        <v>6.024096385542169E-3</v>
      </c>
      <c r="D1320" s="5">
        <v>4.0000000000000001E-3</v>
      </c>
      <c r="E1320" s="5">
        <v>3.956723338485317E-2</v>
      </c>
      <c r="F1320" s="2" t="s">
        <v>2604</v>
      </c>
      <c r="G1320" s="2" t="s">
        <v>2605</v>
      </c>
    </row>
    <row r="1321" spans="1:7" ht="210" x14ac:dyDescent="0.25">
      <c r="A1321" s="4">
        <v>1320</v>
      </c>
      <c r="B1321" s="5">
        <v>0.175531914893617</v>
      </c>
      <c r="C1321" s="5">
        <v>1.084337349397591E-2</v>
      </c>
      <c r="D1321" s="5">
        <v>2E-3</v>
      </c>
      <c r="E1321" s="5">
        <v>6.1514683153013908E-2</v>
      </c>
      <c r="F1321" s="2" t="s">
        <v>2606</v>
      </c>
      <c r="G1321" s="2" t="s">
        <v>2607</v>
      </c>
    </row>
    <row r="1322" spans="1:7" ht="165" x14ac:dyDescent="0.25">
      <c r="A1322" s="4">
        <v>1321</v>
      </c>
      <c r="B1322" s="5">
        <v>8.723404255319149E-2</v>
      </c>
      <c r="C1322" s="5">
        <v>6.9879518072289162E-2</v>
      </c>
      <c r="D1322" s="5">
        <v>1.2999999999999999E-2</v>
      </c>
      <c r="E1322" s="5">
        <v>1.8083462132921169E-2</v>
      </c>
      <c r="F1322" s="2" t="s">
        <v>2608</v>
      </c>
      <c r="G1322" s="2" t="s">
        <v>2609</v>
      </c>
    </row>
    <row r="1323" spans="1:7" ht="210" x14ac:dyDescent="0.25">
      <c r="A1323" s="4">
        <v>1322</v>
      </c>
      <c r="B1323" s="5">
        <v>5.9574468085106393E-2</v>
      </c>
      <c r="C1323" s="5">
        <v>0.13734939759036149</v>
      </c>
      <c r="D1323" s="5">
        <v>6.0000000000000001E-3</v>
      </c>
      <c r="E1323" s="5">
        <v>1.8547140649149919E-3</v>
      </c>
      <c r="F1323" s="2" t="s">
        <v>2610</v>
      </c>
      <c r="G1323" s="2" t="s">
        <v>2611</v>
      </c>
    </row>
    <row r="1324" spans="1:7" ht="330" x14ac:dyDescent="0.25">
      <c r="A1324" s="4">
        <v>1323</v>
      </c>
      <c r="B1324" s="5">
        <v>8.6170212765957446E-2</v>
      </c>
      <c r="C1324" s="5">
        <v>0.1987951807228916</v>
      </c>
      <c r="D1324" s="5">
        <v>3.0000000000000001E-3</v>
      </c>
      <c r="E1324" s="5">
        <v>4.6367851622874804E-3</v>
      </c>
      <c r="F1324" s="2" t="s">
        <v>2612</v>
      </c>
      <c r="G1324" s="2" t="s">
        <v>2613</v>
      </c>
    </row>
    <row r="1325" spans="1:7" ht="180" x14ac:dyDescent="0.25">
      <c r="A1325" s="4">
        <v>1324</v>
      </c>
      <c r="B1325" s="5">
        <v>0.31382978723404248</v>
      </c>
      <c r="C1325" s="5">
        <v>0.75180722891566265</v>
      </c>
      <c r="D1325" s="5">
        <v>2.3E-2</v>
      </c>
      <c r="E1325" s="5">
        <v>2.7820710973724878E-3</v>
      </c>
      <c r="F1325" s="2" t="s">
        <v>2614</v>
      </c>
      <c r="G1325" s="2" t="s">
        <v>2615</v>
      </c>
    </row>
    <row r="1326" spans="1:7" ht="120" x14ac:dyDescent="0.25">
      <c r="A1326" s="4">
        <v>1325</v>
      </c>
      <c r="B1326" s="5">
        <v>0.29574468085106381</v>
      </c>
      <c r="C1326" s="5">
        <v>0.75421686746987959</v>
      </c>
      <c r="D1326" s="5">
        <v>4.0999999999999988E-2</v>
      </c>
      <c r="E1326" s="5">
        <v>3.4003091190108188E-3</v>
      </c>
      <c r="F1326" s="2" t="s">
        <v>2616</v>
      </c>
      <c r="G1326" s="2" t="s">
        <v>2617</v>
      </c>
    </row>
    <row r="1327" spans="1:7" ht="285" x14ac:dyDescent="0.25">
      <c r="A1327" s="4">
        <v>1326</v>
      </c>
      <c r="B1327" s="5">
        <v>0.29042553191489362</v>
      </c>
      <c r="C1327" s="5">
        <v>0.57590361445783134</v>
      </c>
      <c r="D1327" s="5">
        <v>3.7999999999999999E-2</v>
      </c>
      <c r="E1327" s="5">
        <v>1.9319938176197839E-2</v>
      </c>
      <c r="F1327" s="2" t="s">
        <v>2618</v>
      </c>
      <c r="G1327" s="2" t="s">
        <v>2619</v>
      </c>
    </row>
    <row r="1328" spans="1:7" ht="240" x14ac:dyDescent="0.25">
      <c r="A1328" s="4">
        <v>1327</v>
      </c>
      <c r="B1328" s="5">
        <v>9.6808510638297873E-2</v>
      </c>
      <c r="C1328" s="5">
        <v>0.25301204819277112</v>
      </c>
      <c r="D1328" s="5">
        <v>2E-3</v>
      </c>
      <c r="E1328" s="5">
        <v>1.545595054095827E-4</v>
      </c>
      <c r="F1328" s="2" t="s">
        <v>2620</v>
      </c>
      <c r="G1328" s="2" t="s">
        <v>2621</v>
      </c>
    </row>
    <row r="1329" spans="1:7" ht="225" x14ac:dyDescent="0.25">
      <c r="A1329" s="4">
        <v>1328</v>
      </c>
      <c r="B1329" s="5">
        <v>0.4042553191489362</v>
      </c>
      <c r="C1329" s="5">
        <v>0.1433734939759036</v>
      </c>
      <c r="D1329" s="5">
        <v>0.30299999999999999</v>
      </c>
      <c r="E1329" s="5">
        <v>2.302936630602782E-2</v>
      </c>
      <c r="F1329" s="2" t="s">
        <v>2622</v>
      </c>
      <c r="G1329" s="2" t="s">
        <v>2623</v>
      </c>
    </row>
    <row r="1330" spans="1:7" ht="285" x14ac:dyDescent="0.25">
      <c r="A1330" s="4">
        <v>1329</v>
      </c>
      <c r="B1330" s="5">
        <v>0.25638297872340432</v>
      </c>
      <c r="C1330" s="5">
        <v>6.9879518072289162E-2</v>
      </c>
      <c r="D1330" s="5">
        <v>0.216</v>
      </c>
      <c r="E1330" s="5">
        <v>8.9644513137557957E-3</v>
      </c>
      <c r="F1330" s="2" t="s">
        <v>2624</v>
      </c>
      <c r="G1330" s="2" t="s">
        <v>2625</v>
      </c>
    </row>
    <row r="1331" spans="1:7" ht="390" x14ac:dyDescent="0.25">
      <c r="A1331" s="4">
        <v>1330</v>
      </c>
      <c r="B1331" s="5">
        <v>0.1276595744680851</v>
      </c>
      <c r="C1331" s="5">
        <v>3.3734939759036138E-2</v>
      </c>
      <c r="D1331" s="5">
        <v>5.0000000000000001E-3</v>
      </c>
      <c r="E1331" s="5">
        <v>0.12720247295208659</v>
      </c>
      <c r="F1331" s="2" t="s">
        <v>2626</v>
      </c>
      <c r="G1331" s="2" t="s">
        <v>2627</v>
      </c>
    </row>
    <row r="1332" spans="1:7" ht="150" x14ac:dyDescent="0.25">
      <c r="A1332" s="4">
        <v>1331</v>
      </c>
      <c r="B1332" s="5">
        <v>3.617021276595745E-2</v>
      </c>
      <c r="C1332" s="5">
        <v>2.891566265060241E-2</v>
      </c>
      <c r="D1332" s="5">
        <v>3.0000000000000001E-3</v>
      </c>
      <c r="E1332" s="5">
        <v>8.5007727975270481E-3</v>
      </c>
      <c r="F1332" s="2" t="s">
        <v>2628</v>
      </c>
      <c r="G1332" s="2" t="s">
        <v>2629</v>
      </c>
    </row>
    <row r="1333" spans="1:7" ht="165" x14ac:dyDescent="0.25">
      <c r="A1333" s="4">
        <v>1332</v>
      </c>
      <c r="B1333" s="5">
        <v>0.13829787234042551</v>
      </c>
      <c r="C1333" s="5">
        <v>0.16867469879518071</v>
      </c>
      <c r="D1333" s="5">
        <v>7.2000000000000008E-2</v>
      </c>
      <c r="E1333" s="5">
        <v>2.3183925811437402E-3</v>
      </c>
      <c r="F1333" s="2" t="s">
        <v>2630</v>
      </c>
      <c r="G1333" s="2" t="s">
        <v>2631</v>
      </c>
    </row>
    <row r="1334" spans="1:7" ht="409.5" x14ac:dyDescent="0.25">
      <c r="A1334" s="4">
        <v>1333</v>
      </c>
      <c r="B1334" s="5">
        <v>0.1074468085106383</v>
      </c>
      <c r="C1334" s="5">
        <v>2.4096385542168679E-2</v>
      </c>
      <c r="D1334" s="5">
        <v>2E-3</v>
      </c>
      <c r="E1334" s="5">
        <v>3.060278207109737E-2</v>
      </c>
      <c r="F1334" s="2" t="s">
        <v>2632</v>
      </c>
      <c r="G1334" s="2" t="s">
        <v>2633</v>
      </c>
    </row>
    <row r="1335" spans="1:7" ht="150" x14ac:dyDescent="0.25">
      <c r="A1335" s="4">
        <v>1334</v>
      </c>
      <c r="B1335" s="5">
        <v>0.38617021276595748</v>
      </c>
      <c r="C1335" s="5">
        <v>0.10481927710843369</v>
      </c>
      <c r="D1335" s="5">
        <v>4.0000000000000001E-3</v>
      </c>
      <c r="E1335" s="5">
        <v>0.1216383307573416</v>
      </c>
      <c r="F1335" s="2" t="s">
        <v>2634</v>
      </c>
      <c r="G1335" s="2" t="s">
        <v>2635</v>
      </c>
    </row>
    <row r="1336" spans="1:7" ht="165" x14ac:dyDescent="0.25">
      <c r="A1336" s="4">
        <v>1335</v>
      </c>
      <c r="B1336" s="5">
        <v>0.32234042553191489</v>
      </c>
      <c r="C1336" s="5">
        <v>7.5903614457831323E-2</v>
      </c>
      <c r="D1336" s="5">
        <v>2.7E-2</v>
      </c>
      <c r="E1336" s="5">
        <v>9.7836166924265833E-2</v>
      </c>
      <c r="F1336" s="2" t="s">
        <v>2636</v>
      </c>
      <c r="G1336" s="2" t="s">
        <v>2637</v>
      </c>
    </row>
    <row r="1337" spans="1:7" ht="150" x14ac:dyDescent="0.25">
      <c r="A1337" s="4">
        <v>1336</v>
      </c>
      <c r="B1337" s="5">
        <v>4.7872340425531908E-2</v>
      </c>
      <c r="C1337" s="5">
        <v>9.6385542168674707E-3</v>
      </c>
      <c r="D1337" s="5">
        <v>9.0000000000000011E-3</v>
      </c>
      <c r="E1337" s="5">
        <v>1.2519319938176199E-2</v>
      </c>
      <c r="F1337" s="2" t="s">
        <v>2638</v>
      </c>
      <c r="G1337" s="2" t="s">
        <v>2639</v>
      </c>
    </row>
    <row r="1338" spans="1:7" ht="255" x14ac:dyDescent="0.25">
      <c r="A1338" s="4">
        <v>1337</v>
      </c>
      <c r="B1338" s="5">
        <v>0.45106382978723403</v>
      </c>
      <c r="C1338" s="5">
        <v>1.566265060240964E-2</v>
      </c>
      <c r="D1338" s="5">
        <v>0.107</v>
      </c>
      <c r="E1338" s="5">
        <v>0.1247295208655332</v>
      </c>
      <c r="F1338" s="2" t="s">
        <v>2640</v>
      </c>
      <c r="G1338" s="2" t="s">
        <v>2641</v>
      </c>
    </row>
    <row r="1339" spans="1:7" ht="255" x14ac:dyDescent="0.25">
      <c r="A1339" s="4">
        <v>1338</v>
      </c>
      <c r="B1339" s="5">
        <v>0.60425531914893615</v>
      </c>
      <c r="C1339" s="5">
        <v>0.2325301204819277</v>
      </c>
      <c r="D1339" s="5">
        <v>0.51100000000000001</v>
      </c>
      <c r="E1339" s="5">
        <v>2.7975270479134472E-2</v>
      </c>
      <c r="F1339" s="2" t="s">
        <v>2642</v>
      </c>
      <c r="G1339" s="2" t="s">
        <v>2643</v>
      </c>
    </row>
    <row r="1340" spans="1:7" ht="195" x14ac:dyDescent="0.25">
      <c r="A1340" s="4">
        <v>1339</v>
      </c>
      <c r="B1340" s="5">
        <v>0.37765957446808512</v>
      </c>
      <c r="C1340" s="5">
        <v>3.8554216867469883E-2</v>
      </c>
      <c r="D1340" s="5">
        <v>0.151</v>
      </c>
      <c r="E1340" s="5">
        <v>7.9443585780525502E-2</v>
      </c>
      <c r="F1340" s="2" t="s">
        <v>2644</v>
      </c>
      <c r="G1340" s="2" t="s">
        <v>2645</v>
      </c>
    </row>
    <row r="1341" spans="1:7" ht="255" x14ac:dyDescent="0.25">
      <c r="A1341" s="4">
        <v>1340</v>
      </c>
      <c r="B1341" s="5">
        <v>0.15212765957446811</v>
      </c>
      <c r="C1341" s="5">
        <v>3.7349397590361447E-2</v>
      </c>
      <c r="D1341" s="5">
        <v>7.8E-2</v>
      </c>
      <c r="E1341" s="5">
        <v>2.3183925811437401E-2</v>
      </c>
      <c r="F1341" s="2" t="s">
        <v>2646</v>
      </c>
      <c r="G1341" s="2" t="s">
        <v>2647</v>
      </c>
    </row>
    <row r="1342" spans="1:7" ht="150" x14ac:dyDescent="0.25">
      <c r="A1342" s="4">
        <v>1341</v>
      </c>
      <c r="B1342" s="5">
        <v>0.48085106382978732</v>
      </c>
      <c r="C1342" s="5">
        <v>0.1746987951807229</v>
      </c>
      <c r="D1342" s="5">
        <v>0.42299999999999999</v>
      </c>
      <c r="E1342" s="5">
        <v>3.5548686244204009E-3</v>
      </c>
      <c r="F1342" s="2" t="s">
        <v>2648</v>
      </c>
      <c r="G1342" s="2" t="s">
        <v>2649</v>
      </c>
    </row>
    <row r="1343" spans="1:7" ht="240" x14ac:dyDescent="0.25">
      <c r="A1343" s="4">
        <v>1342</v>
      </c>
      <c r="B1343" s="5">
        <v>4.4680851063829789E-2</v>
      </c>
      <c r="C1343" s="5">
        <v>1.445783132530121E-2</v>
      </c>
      <c r="D1343" s="5">
        <v>6.0000000000000001E-3</v>
      </c>
      <c r="E1343" s="5">
        <v>1.437403400309119E-2</v>
      </c>
      <c r="F1343" s="2" t="s">
        <v>2650</v>
      </c>
      <c r="G1343" s="2" t="s">
        <v>2651</v>
      </c>
    </row>
    <row r="1344" spans="1:7" ht="285" x14ac:dyDescent="0.25">
      <c r="A1344" s="4">
        <v>1343</v>
      </c>
      <c r="B1344" s="5">
        <v>3.9361702127659583E-2</v>
      </c>
      <c r="C1344" s="5">
        <v>1.204819277108434E-2</v>
      </c>
      <c r="D1344" s="5">
        <v>6.0000000000000001E-3</v>
      </c>
      <c r="E1344" s="5">
        <v>1.2828438948995361E-2</v>
      </c>
      <c r="F1344" s="2" t="s">
        <v>2652</v>
      </c>
      <c r="G1344" s="2" t="s">
        <v>2653</v>
      </c>
    </row>
    <row r="1345" spans="1:7" ht="240" x14ac:dyDescent="0.25">
      <c r="A1345" s="4">
        <v>1344</v>
      </c>
      <c r="B1345" s="5">
        <v>2.9787234042553189E-2</v>
      </c>
      <c r="C1345" s="5">
        <v>8.4337349397590362E-3</v>
      </c>
      <c r="D1345" s="5">
        <v>5.0000000000000001E-3</v>
      </c>
      <c r="E1345" s="5">
        <v>9.7372488408037083E-3</v>
      </c>
      <c r="F1345" s="2" t="s">
        <v>2654</v>
      </c>
      <c r="G1345" s="2" t="s">
        <v>2655</v>
      </c>
    </row>
    <row r="1346" spans="1:7" ht="135" x14ac:dyDescent="0.25">
      <c r="A1346" s="4">
        <v>1345</v>
      </c>
      <c r="B1346" s="5">
        <v>0.27021276595744681</v>
      </c>
      <c r="C1346" s="5">
        <v>3.6144578313253017E-2</v>
      </c>
      <c r="D1346" s="5">
        <v>1.0999999999999999E-2</v>
      </c>
      <c r="E1346" s="5">
        <v>8.9799072642967548E-2</v>
      </c>
      <c r="F1346" s="2" t="s">
        <v>2656</v>
      </c>
      <c r="G1346" s="2" t="s">
        <v>2657</v>
      </c>
    </row>
    <row r="1347" spans="1:7" ht="270" x14ac:dyDescent="0.25">
      <c r="A1347" s="4">
        <v>1346</v>
      </c>
      <c r="B1347" s="5">
        <v>5.5319148936170223E-2</v>
      </c>
      <c r="C1347" s="5">
        <v>3.9759036144578312E-2</v>
      </c>
      <c r="D1347" s="5">
        <v>2.5000000000000001E-2</v>
      </c>
      <c r="E1347" s="5">
        <v>6.1823802163833066E-3</v>
      </c>
      <c r="F1347" s="2" t="s">
        <v>2658</v>
      </c>
      <c r="G1347" s="2" t="s">
        <v>2659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347"/>
  <sheetViews>
    <sheetView workbookViewId="0">
      <pane ySplit="1" topLeftCell="A179" activePane="bottomLeft" state="frozen"/>
      <selection pane="bottomLeft" activeCell="B182" sqref="B182:E182"/>
    </sheetView>
  </sheetViews>
  <sheetFormatPr defaultRowHeight="15" x14ac:dyDescent="0.25"/>
  <cols>
    <col min="1" max="1" width="6" customWidth="1"/>
    <col min="2" max="4" width="22" customWidth="1"/>
    <col min="5" max="5" width="23" customWidth="1"/>
    <col min="6" max="6" width="39" customWidth="1"/>
    <col min="7" max="7" width="50" customWidth="1"/>
    <col min="8" max="8" width="9" customWidth="1"/>
    <col min="9" max="9" width="18" customWidth="1"/>
    <col min="10" max="10" width="15" customWidth="1"/>
    <col min="11" max="11" width="14" customWidth="1"/>
    <col min="12" max="14" width="16" customWidth="1"/>
    <col min="15" max="15" width="15" customWidth="1"/>
    <col min="16" max="16" width="16" customWidth="1"/>
    <col min="17" max="17" width="15" customWidth="1"/>
    <col min="18" max="18" width="27" customWidth="1"/>
    <col min="19" max="19" width="26" customWidth="1"/>
    <col min="20" max="20" width="24" customWidth="1"/>
    <col min="21" max="21" width="18" customWidth="1"/>
    <col min="22" max="22" width="15" customWidth="1"/>
    <col min="23" max="23" width="23" customWidth="1"/>
    <col min="24" max="25" width="18" customWidth="1"/>
    <col min="26" max="26" width="15" customWidth="1"/>
    <col min="27" max="27" width="16" customWidth="1"/>
    <col min="28" max="28" width="23" customWidth="1"/>
  </cols>
  <sheetData>
    <row r="1" spans="1:28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2660</v>
      </c>
      <c r="I1" s="3" t="s">
        <v>2661</v>
      </c>
      <c r="J1" s="3" t="s">
        <v>2662</v>
      </c>
      <c r="K1" s="3" t="s">
        <v>2663</v>
      </c>
      <c r="L1" s="3" t="s">
        <v>2664</v>
      </c>
      <c r="M1" s="3" t="s">
        <v>2665</v>
      </c>
      <c r="N1" s="3" t="s">
        <v>2666</v>
      </c>
      <c r="O1" s="3" t="s">
        <v>2667</v>
      </c>
      <c r="P1" s="3" t="s">
        <v>2668</v>
      </c>
      <c r="Q1" s="3" t="s">
        <v>2669</v>
      </c>
      <c r="R1" s="3" t="s">
        <v>2670</v>
      </c>
      <c r="S1" s="3" t="s">
        <v>2671</v>
      </c>
      <c r="T1" s="3" t="s">
        <v>2672</v>
      </c>
      <c r="U1" s="3" t="s">
        <v>2673</v>
      </c>
      <c r="V1" s="3" t="s">
        <v>2674</v>
      </c>
      <c r="W1" s="3" t="s">
        <v>2675</v>
      </c>
      <c r="X1" s="3" t="s">
        <v>2676</v>
      </c>
      <c r="Y1" s="3" t="s">
        <v>2677</v>
      </c>
      <c r="Z1" s="3" t="s">
        <v>2678</v>
      </c>
      <c r="AA1" s="3" t="s">
        <v>2679</v>
      </c>
      <c r="AB1" s="3" t="s">
        <v>2680</v>
      </c>
    </row>
    <row r="2" spans="1:28" ht="90" x14ac:dyDescent="0.25">
      <c r="A2" s="2">
        <v>1</v>
      </c>
      <c r="B2" s="5">
        <v>0.2978723404255319</v>
      </c>
      <c r="C2" s="5">
        <v>0.1108433734939759</v>
      </c>
      <c r="D2" s="5">
        <v>0.28399999999999997</v>
      </c>
      <c r="E2" s="2">
        <v>0</v>
      </c>
      <c r="F2" s="2" t="s">
        <v>7</v>
      </c>
      <c r="G2" s="2" t="s">
        <v>8</v>
      </c>
      <c r="H2" s="2" t="s">
        <v>2681</v>
      </c>
      <c r="I2" s="2" t="s">
        <v>2682</v>
      </c>
      <c r="J2" s="2">
        <v>0</v>
      </c>
      <c r="K2" s="2">
        <v>0</v>
      </c>
      <c r="L2" s="2">
        <v>0</v>
      </c>
      <c r="M2" s="2">
        <v>0</v>
      </c>
      <c r="N2" s="5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5">
        <v>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45" x14ac:dyDescent="0.25">
      <c r="A3" s="2">
        <v>2</v>
      </c>
      <c r="B3" s="5">
        <v>0.54574468085106387</v>
      </c>
      <c r="C3" s="5">
        <v>0.28554216867469878</v>
      </c>
      <c r="D3" s="5">
        <v>0.37</v>
      </c>
      <c r="E3" s="5">
        <v>3.2921174652241113E-2</v>
      </c>
      <c r="F3" s="2" t="s">
        <v>9</v>
      </c>
      <c r="G3" s="2" t="s">
        <v>10</v>
      </c>
      <c r="H3" s="2" t="s">
        <v>2683</v>
      </c>
      <c r="I3" s="2" t="s">
        <v>2682</v>
      </c>
      <c r="J3" s="2">
        <v>0</v>
      </c>
      <c r="K3" s="2">
        <v>0</v>
      </c>
      <c r="L3" s="2">
        <v>0</v>
      </c>
      <c r="M3" s="5">
        <v>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5">
        <v>1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 spans="1:28" ht="45" x14ac:dyDescent="0.25">
      <c r="A4" s="2">
        <v>3</v>
      </c>
      <c r="B4" s="2">
        <v>0</v>
      </c>
      <c r="C4" s="2">
        <v>0</v>
      </c>
      <c r="D4" s="5">
        <v>2E-3</v>
      </c>
      <c r="E4" s="2">
        <v>0</v>
      </c>
      <c r="F4" s="2" t="s">
        <v>11</v>
      </c>
      <c r="G4" s="2" t="s">
        <v>12</v>
      </c>
      <c r="H4" s="2" t="s">
        <v>2681</v>
      </c>
      <c r="I4" s="2" t="s">
        <v>2682</v>
      </c>
      <c r="J4" s="2">
        <v>0</v>
      </c>
      <c r="K4" s="2">
        <v>0</v>
      </c>
      <c r="L4" s="2">
        <v>0</v>
      </c>
      <c r="M4" s="2">
        <v>0</v>
      </c>
      <c r="N4" s="5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5">
        <v>1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</row>
    <row r="5" spans="1:28" ht="60" x14ac:dyDescent="0.25">
      <c r="A5" s="2">
        <v>4</v>
      </c>
      <c r="B5" s="5">
        <v>4.7872340425531908E-2</v>
      </c>
      <c r="C5" s="5">
        <v>1.3253012048192771E-2</v>
      </c>
      <c r="D5" s="5">
        <v>4.0000000000000001E-3</v>
      </c>
      <c r="E5" s="5">
        <v>1.6692426584234931E-2</v>
      </c>
      <c r="F5" s="2" t="s">
        <v>13</v>
      </c>
      <c r="G5" s="2" t="s">
        <v>14</v>
      </c>
      <c r="H5" s="2" t="s">
        <v>2684</v>
      </c>
      <c r="I5" s="2" t="s">
        <v>2685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5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5">
        <v>1</v>
      </c>
      <c r="Y5" s="2">
        <v>0</v>
      </c>
      <c r="Z5" s="2">
        <v>0</v>
      </c>
      <c r="AA5" s="2">
        <v>0</v>
      </c>
      <c r="AB5" s="2">
        <v>0</v>
      </c>
    </row>
    <row r="6" spans="1:28" ht="30" x14ac:dyDescent="0.25">
      <c r="A6" s="2">
        <v>5</v>
      </c>
      <c r="B6" s="5">
        <v>3.9361702127659583E-2</v>
      </c>
      <c r="C6" s="5">
        <v>5.301204819277109E-2</v>
      </c>
      <c r="D6" s="5">
        <v>5.0000000000000001E-3</v>
      </c>
      <c r="E6" s="5">
        <v>5.8732612055641424E-3</v>
      </c>
      <c r="F6" s="2" t="s">
        <v>15</v>
      </c>
      <c r="G6" s="2" t="s">
        <v>16</v>
      </c>
      <c r="H6" s="2" t="s">
        <v>2684</v>
      </c>
      <c r="I6" s="2" t="s">
        <v>2685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5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5">
        <v>1</v>
      </c>
      <c r="Y6" s="2">
        <v>0</v>
      </c>
      <c r="Z6" s="2">
        <v>0</v>
      </c>
      <c r="AA6" s="2">
        <v>0</v>
      </c>
      <c r="AB6" s="2">
        <v>0</v>
      </c>
    </row>
    <row r="7" spans="1:28" ht="30" x14ac:dyDescent="0.25">
      <c r="A7" s="2">
        <v>6</v>
      </c>
      <c r="B7" s="5">
        <v>9.0425531914893623E-2</v>
      </c>
      <c r="C7" s="5">
        <v>1.084337349397591E-2</v>
      </c>
      <c r="D7" s="5">
        <v>6.5000000000000002E-2</v>
      </c>
      <c r="E7" s="5">
        <v>1.1901081916537871E-2</v>
      </c>
      <c r="F7" s="2" t="s">
        <v>17</v>
      </c>
      <c r="G7" s="2" t="s">
        <v>18</v>
      </c>
      <c r="H7" s="2" t="s">
        <v>2683</v>
      </c>
      <c r="I7" s="2" t="s">
        <v>2686</v>
      </c>
      <c r="J7" s="2">
        <v>0</v>
      </c>
      <c r="K7" s="2">
        <v>0</v>
      </c>
      <c r="L7" s="2">
        <v>0</v>
      </c>
      <c r="M7" s="5">
        <v>1</v>
      </c>
      <c r="N7" s="2">
        <v>0</v>
      </c>
      <c r="O7" s="2">
        <v>0</v>
      </c>
      <c r="P7" s="2">
        <v>0</v>
      </c>
      <c r="Q7" s="5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ht="60" x14ac:dyDescent="0.25">
      <c r="A8" s="2">
        <v>7</v>
      </c>
      <c r="B8" s="5">
        <v>0.10212765957446809</v>
      </c>
      <c r="C8" s="5">
        <v>4.457831325301205E-2</v>
      </c>
      <c r="D8" s="5">
        <v>6.0000000000000001E-3</v>
      </c>
      <c r="E8" s="5">
        <v>2.952086553323029E-2</v>
      </c>
      <c r="F8" s="2" t="s">
        <v>19</v>
      </c>
      <c r="G8" s="2" t="s">
        <v>20</v>
      </c>
      <c r="H8" s="2" t="s">
        <v>2683</v>
      </c>
      <c r="I8" s="2" t="s">
        <v>2687</v>
      </c>
      <c r="J8" s="2">
        <v>0</v>
      </c>
      <c r="K8" s="2">
        <v>0</v>
      </c>
      <c r="L8" s="2">
        <v>0</v>
      </c>
      <c r="M8" s="5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5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t="30" x14ac:dyDescent="0.25">
      <c r="A9" s="2">
        <v>8</v>
      </c>
      <c r="B9" s="5">
        <v>0.44042553191489359</v>
      </c>
      <c r="C9" s="5">
        <v>0.32048192771084338</v>
      </c>
      <c r="D9" s="5">
        <v>0.183</v>
      </c>
      <c r="E9" s="5">
        <v>6.383307573415764E-2</v>
      </c>
      <c r="F9" s="2" t="s">
        <v>21</v>
      </c>
      <c r="G9" s="2" t="s">
        <v>22</v>
      </c>
      <c r="H9" s="2" t="s">
        <v>2683</v>
      </c>
      <c r="I9" s="2" t="s">
        <v>2687</v>
      </c>
      <c r="J9" s="2">
        <v>0</v>
      </c>
      <c r="K9" s="2">
        <v>0</v>
      </c>
      <c r="L9" s="2">
        <v>0</v>
      </c>
      <c r="M9" s="5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5">
        <v>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60" x14ac:dyDescent="0.25">
      <c r="A10" s="2">
        <v>9</v>
      </c>
      <c r="B10" s="5">
        <v>7.9787234042553196E-2</v>
      </c>
      <c r="C10" s="5">
        <v>4.9397590361445781E-2</v>
      </c>
      <c r="D10" s="5">
        <v>2.1000000000000001E-2</v>
      </c>
      <c r="E10" s="5">
        <v>1.653786707882535E-2</v>
      </c>
      <c r="F10" s="2" t="s">
        <v>23</v>
      </c>
      <c r="G10" s="2" t="s">
        <v>24</v>
      </c>
      <c r="H10" s="2" t="s">
        <v>2683</v>
      </c>
      <c r="I10" s="2" t="s">
        <v>2687</v>
      </c>
      <c r="J10" s="2">
        <v>0</v>
      </c>
      <c r="K10" s="2">
        <v>0</v>
      </c>
      <c r="L10" s="2">
        <v>0</v>
      </c>
      <c r="M10" s="5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5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t="45" x14ac:dyDescent="0.25">
      <c r="A11" s="2">
        <v>10</v>
      </c>
      <c r="B11" s="5">
        <v>7.1276595744680857E-2</v>
      </c>
      <c r="C11" s="5">
        <v>6.0240963855421693E-2</v>
      </c>
      <c r="D11" s="5">
        <v>2.1000000000000001E-2</v>
      </c>
      <c r="E11" s="5">
        <v>1.2519319938176199E-2</v>
      </c>
      <c r="F11" s="2" t="s">
        <v>25</v>
      </c>
      <c r="G11" s="2" t="s">
        <v>26</v>
      </c>
      <c r="H11" s="2" t="s">
        <v>2683</v>
      </c>
      <c r="I11" s="2" t="s">
        <v>2687</v>
      </c>
      <c r="J11" s="2">
        <v>0</v>
      </c>
      <c r="K11" s="2">
        <v>0</v>
      </c>
      <c r="L11" s="2">
        <v>0</v>
      </c>
      <c r="M11" s="5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5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60" x14ac:dyDescent="0.25">
      <c r="A12" s="2">
        <v>11</v>
      </c>
      <c r="B12" s="5">
        <v>0.19574468085106381</v>
      </c>
      <c r="C12" s="5">
        <v>0.22650602409638559</v>
      </c>
      <c r="D12" s="5">
        <v>0.14000000000000001</v>
      </c>
      <c r="E12" s="2">
        <v>0</v>
      </c>
      <c r="F12" s="2" t="s">
        <v>27</v>
      </c>
      <c r="G12" s="2" t="s">
        <v>28</v>
      </c>
      <c r="H12" s="2" t="s">
        <v>2688</v>
      </c>
      <c r="I12" s="2" t="s">
        <v>2689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5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5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ht="45" x14ac:dyDescent="0.25">
      <c r="A13" s="2">
        <v>12</v>
      </c>
      <c r="B13" s="5">
        <v>0.18510638297872339</v>
      </c>
      <c r="C13" s="5">
        <v>0.236144578313253</v>
      </c>
      <c r="D13" s="5">
        <v>0.1</v>
      </c>
      <c r="E13" s="2">
        <v>0</v>
      </c>
      <c r="F13" s="2" t="s">
        <v>29</v>
      </c>
      <c r="G13" s="2" t="s">
        <v>30</v>
      </c>
      <c r="H13" s="2" t="s">
        <v>2688</v>
      </c>
      <c r="I13" s="2" t="s">
        <v>2689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5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5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t="45" x14ac:dyDescent="0.25">
      <c r="A14" s="2">
        <v>13</v>
      </c>
      <c r="B14" s="5">
        <v>0.2021276595744681</v>
      </c>
      <c r="C14" s="5">
        <v>0.2301204819277109</v>
      </c>
      <c r="D14" s="5">
        <v>0.12</v>
      </c>
      <c r="E14" s="2">
        <v>0</v>
      </c>
      <c r="F14" s="2" t="s">
        <v>31</v>
      </c>
      <c r="G14" s="2" t="s">
        <v>32</v>
      </c>
      <c r="H14" s="2" t="s">
        <v>2688</v>
      </c>
      <c r="I14" s="2" t="s">
        <v>2689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5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5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</row>
    <row r="15" spans="1:28" ht="30" x14ac:dyDescent="0.25">
      <c r="A15" s="2">
        <v>14</v>
      </c>
      <c r="B15" s="5">
        <v>0.1053191489361702</v>
      </c>
      <c r="C15" s="5">
        <v>5.5421686746987948E-2</v>
      </c>
      <c r="D15" s="5">
        <v>0.01</v>
      </c>
      <c r="E15" s="5">
        <v>2.782071097372488E-2</v>
      </c>
      <c r="F15" s="2" t="s">
        <v>33</v>
      </c>
      <c r="G15" s="2" t="s">
        <v>34</v>
      </c>
      <c r="H15" s="2" t="s">
        <v>2681</v>
      </c>
      <c r="I15" s="2" t="s">
        <v>2685</v>
      </c>
      <c r="J15" s="2">
        <v>0</v>
      </c>
      <c r="K15" s="2">
        <v>0</v>
      </c>
      <c r="L15" s="2">
        <v>0</v>
      </c>
      <c r="M15" s="2">
        <v>0</v>
      </c>
      <c r="N15" s="5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5">
        <v>1</v>
      </c>
      <c r="Y15" s="2">
        <v>0</v>
      </c>
      <c r="Z15" s="2">
        <v>0</v>
      </c>
      <c r="AA15" s="2">
        <v>0</v>
      </c>
      <c r="AB15" s="2">
        <v>0</v>
      </c>
    </row>
    <row r="16" spans="1:28" ht="30" x14ac:dyDescent="0.25">
      <c r="A16" s="2">
        <v>15</v>
      </c>
      <c r="B16" s="5">
        <v>2.6595744680851061E-2</v>
      </c>
      <c r="C16" s="5">
        <v>1.9277108433734941E-2</v>
      </c>
      <c r="D16" s="5">
        <v>2E-3</v>
      </c>
      <c r="E16" s="5">
        <v>8.1916537867078813E-3</v>
      </c>
      <c r="F16" s="2" t="s">
        <v>35</v>
      </c>
      <c r="G16" s="2" t="s">
        <v>36</v>
      </c>
      <c r="H16" s="2" t="s">
        <v>2684</v>
      </c>
      <c r="I16" s="2" t="s">
        <v>2685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5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5">
        <v>1</v>
      </c>
      <c r="Y16" s="2">
        <v>0</v>
      </c>
      <c r="Z16" s="2">
        <v>0</v>
      </c>
      <c r="AA16" s="2">
        <v>0</v>
      </c>
      <c r="AB16" s="2">
        <v>0</v>
      </c>
    </row>
    <row r="17" spans="1:28" ht="30" x14ac:dyDescent="0.25">
      <c r="A17" s="2">
        <v>16</v>
      </c>
      <c r="B17" s="5">
        <v>3.1914893617021267E-2</v>
      </c>
      <c r="C17" s="5">
        <v>6.024096385542169E-3</v>
      </c>
      <c r="D17" s="5">
        <v>2E-3</v>
      </c>
      <c r="E17" s="5">
        <v>1.0510046367851619E-2</v>
      </c>
      <c r="F17" s="2" t="s">
        <v>37</v>
      </c>
      <c r="G17" s="2" t="s">
        <v>38</v>
      </c>
      <c r="H17" s="2" t="s">
        <v>2688</v>
      </c>
      <c r="I17" s="2" t="s">
        <v>2686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5">
        <v>1</v>
      </c>
      <c r="P17" s="2">
        <v>0</v>
      </c>
      <c r="Q17" s="5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45" x14ac:dyDescent="0.25">
      <c r="A18" s="2">
        <v>17</v>
      </c>
      <c r="B18" s="5">
        <v>0.37659574468085111</v>
      </c>
      <c r="C18" s="5">
        <v>0.1975903614457831</v>
      </c>
      <c r="D18" s="5">
        <v>0.315</v>
      </c>
      <c r="E18" s="2">
        <v>0</v>
      </c>
      <c r="F18" s="2" t="s">
        <v>39</v>
      </c>
      <c r="G18" s="2" t="s">
        <v>40</v>
      </c>
      <c r="H18" s="2" t="s">
        <v>2681</v>
      </c>
      <c r="I18" s="2" t="s">
        <v>2682</v>
      </c>
      <c r="J18" s="2">
        <v>0</v>
      </c>
      <c r="K18" s="2">
        <v>0</v>
      </c>
      <c r="L18" s="2">
        <v>0</v>
      </c>
      <c r="M18" s="2">
        <v>0</v>
      </c>
      <c r="N18" s="5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5">
        <v>1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30" x14ac:dyDescent="0.25">
      <c r="A19" s="2">
        <v>18</v>
      </c>
      <c r="B19" s="5">
        <v>0.13404255319148939</v>
      </c>
      <c r="C19" s="5">
        <v>4.0963855421686748E-2</v>
      </c>
      <c r="D19" s="5">
        <v>7.9000000000000001E-2</v>
      </c>
      <c r="E19" s="5">
        <v>1.591962905718702E-2</v>
      </c>
      <c r="F19" s="2" t="s">
        <v>41</v>
      </c>
      <c r="G19" s="2" t="s">
        <v>42</v>
      </c>
      <c r="H19" s="2" t="s">
        <v>2684</v>
      </c>
      <c r="I19" s="2" t="s">
        <v>2685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5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5">
        <v>1</v>
      </c>
      <c r="Y19" s="2">
        <v>0</v>
      </c>
      <c r="Z19" s="2">
        <v>0</v>
      </c>
      <c r="AA19" s="2">
        <v>0</v>
      </c>
      <c r="AB19" s="2">
        <v>0</v>
      </c>
    </row>
    <row r="20" spans="1:28" ht="45" x14ac:dyDescent="0.25">
      <c r="A20" s="2">
        <v>19</v>
      </c>
      <c r="B20" s="5">
        <v>6.1702127659574467E-2</v>
      </c>
      <c r="C20" s="5">
        <v>3.6144578313253009E-3</v>
      </c>
      <c r="D20" s="5">
        <v>4.0000000000000001E-3</v>
      </c>
      <c r="E20" s="5">
        <v>2.302936630602782E-2</v>
      </c>
      <c r="F20" s="2" t="s">
        <v>43</v>
      </c>
      <c r="G20" s="2" t="s">
        <v>44</v>
      </c>
      <c r="H20" s="2" t="s">
        <v>2684</v>
      </c>
      <c r="I20" s="2" t="s">
        <v>2686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5">
        <v>1</v>
      </c>
      <c r="Q20" s="5">
        <v>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ht="30" x14ac:dyDescent="0.25">
      <c r="A21" s="2">
        <v>20</v>
      </c>
      <c r="B21" s="5">
        <v>6.063829787234043E-2</v>
      </c>
      <c r="C21" s="5">
        <v>6.024096385542169E-3</v>
      </c>
      <c r="D21" s="5">
        <v>4.0000000000000001E-3</v>
      </c>
      <c r="E21" s="5">
        <v>1.9783616692426589E-2</v>
      </c>
      <c r="F21" s="2" t="s">
        <v>45</v>
      </c>
      <c r="G21" s="2" t="s">
        <v>46</v>
      </c>
      <c r="H21" s="2" t="s">
        <v>2684</v>
      </c>
      <c r="I21" s="2" t="s">
        <v>2686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5">
        <v>1</v>
      </c>
      <c r="Q21" s="5"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t="45" x14ac:dyDescent="0.25">
      <c r="A22" s="2">
        <v>21</v>
      </c>
      <c r="B22" s="5">
        <v>3.9361702127659583E-2</v>
      </c>
      <c r="C22" s="5">
        <v>9.6385542168674707E-3</v>
      </c>
      <c r="D22" s="5">
        <v>5.0000000000000001E-3</v>
      </c>
      <c r="E22" s="5">
        <v>1.2828438948995361E-2</v>
      </c>
      <c r="F22" s="2" t="s">
        <v>47</v>
      </c>
      <c r="G22" s="2" t="s">
        <v>48</v>
      </c>
      <c r="H22" s="2" t="s">
        <v>2683</v>
      </c>
      <c r="I22" s="2" t="s">
        <v>2682</v>
      </c>
      <c r="J22" s="2">
        <v>0</v>
      </c>
      <c r="K22" s="2">
        <v>0</v>
      </c>
      <c r="L22" s="2">
        <v>0</v>
      </c>
      <c r="M22" s="5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5">
        <v>1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ht="45" x14ac:dyDescent="0.25">
      <c r="A23" s="2">
        <v>22</v>
      </c>
      <c r="B23" s="5">
        <v>0.1202127659574468</v>
      </c>
      <c r="C23" s="5">
        <v>1.084337349397591E-2</v>
      </c>
      <c r="D23" s="5">
        <v>7.2000000000000008E-2</v>
      </c>
      <c r="E23" s="5">
        <v>1.7310664605873261E-2</v>
      </c>
      <c r="F23" s="2" t="s">
        <v>49</v>
      </c>
      <c r="G23" s="2" t="s">
        <v>50</v>
      </c>
      <c r="H23" s="2" t="s">
        <v>2683</v>
      </c>
      <c r="I23" s="2" t="s">
        <v>2685</v>
      </c>
      <c r="J23" s="2">
        <v>0</v>
      </c>
      <c r="K23" s="2">
        <v>0</v>
      </c>
      <c r="L23" s="2">
        <v>0</v>
      </c>
      <c r="M23" s="5">
        <v>1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5">
        <v>1</v>
      </c>
      <c r="Y23" s="2">
        <v>0</v>
      </c>
      <c r="Z23" s="2">
        <v>0</v>
      </c>
      <c r="AA23" s="2">
        <v>0</v>
      </c>
      <c r="AB23" s="2">
        <v>0</v>
      </c>
    </row>
    <row r="24" spans="1:28" ht="60" x14ac:dyDescent="0.25">
      <c r="A24" s="2">
        <v>23</v>
      </c>
      <c r="B24" s="5">
        <v>0.1085106382978723</v>
      </c>
      <c r="C24" s="5">
        <v>1.204819277108434E-2</v>
      </c>
      <c r="D24" s="5">
        <v>2E-3</v>
      </c>
      <c r="E24" s="5">
        <v>3.7248840803709431E-2</v>
      </c>
      <c r="F24" s="2" t="s">
        <v>51</v>
      </c>
      <c r="G24" s="2" t="s">
        <v>52</v>
      </c>
      <c r="H24" s="2" t="s">
        <v>2688</v>
      </c>
      <c r="I24" s="2" t="s">
        <v>2690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5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5">
        <v>1</v>
      </c>
    </row>
    <row r="25" spans="1:28" ht="105" x14ac:dyDescent="0.25">
      <c r="A25" s="2">
        <v>24</v>
      </c>
      <c r="B25" s="5">
        <v>0.2946808510638298</v>
      </c>
      <c r="C25" s="5">
        <v>2.891566265060241E-2</v>
      </c>
      <c r="D25" s="5">
        <v>0.25</v>
      </c>
      <c r="E25" s="5">
        <v>1.653786707882535E-2</v>
      </c>
      <c r="F25" s="2" t="s">
        <v>53</v>
      </c>
      <c r="G25" s="2" t="s">
        <v>54</v>
      </c>
      <c r="H25" s="2" t="s">
        <v>2683</v>
      </c>
      <c r="I25" s="2" t="s">
        <v>2682</v>
      </c>
      <c r="J25" s="2">
        <v>0</v>
      </c>
      <c r="K25" s="2">
        <v>0</v>
      </c>
      <c r="L25" s="2">
        <v>0</v>
      </c>
      <c r="M25" s="5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5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t="30" x14ac:dyDescent="0.25">
      <c r="A26" s="2">
        <v>25</v>
      </c>
      <c r="B26" s="5">
        <v>7.9787234042553196E-2</v>
      </c>
      <c r="C26" s="5">
        <v>2.4096385542168681E-3</v>
      </c>
      <c r="D26" s="5">
        <v>1.0999999999999999E-2</v>
      </c>
      <c r="E26" s="5">
        <v>2.4884080370942811E-2</v>
      </c>
      <c r="F26" s="2" t="s">
        <v>55</v>
      </c>
      <c r="G26" s="2" t="s">
        <v>56</v>
      </c>
      <c r="H26" s="2" t="s">
        <v>2688</v>
      </c>
      <c r="I26" s="2" t="s">
        <v>2682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5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5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t="45" x14ac:dyDescent="0.25">
      <c r="A27" s="2">
        <v>26</v>
      </c>
      <c r="B27" s="5">
        <v>0.25425531914893618</v>
      </c>
      <c r="C27" s="5">
        <v>3.3734939759036138E-2</v>
      </c>
      <c r="D27" s="5">
        <v>6.0000000000000001E-3</v>
      </c>
      <c r="E27" s="5">
        <v>9.6599690880989172E-2</v>
      </c>
      <c r="F27" s="2" t="s">
        <v>57</v>
      </c>
      <c r="G27" s="2" t="s">
        <v>58</v>
      </c>
      <c r="H27" s="2" t="s">
        <v>2681</v>
      </c>
      <c r="I27" s="2" t="s">
        <v>2682</v>
      </c>
      <c r="J27" s="2">
        <v>0</v>
      </c>
      <c r="K27" s="2">
        <v>0</v>
      </c>
      <c r="L27" s="2">
        <v>0</v>
      </c>
      <c r="M27" s="2">
        <v>0</v>
      </c>
      <c r="N27" s="5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5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ht="30" x14ac:dyDescent="0.25">
      <c r="A28" s="2">
        <v>27</v>
      </c>
      <c r="B28" s="5">
        <v>0.14361702127659581</v>
      </c>
      <c r="C28" s="5">
        <v>9.6385542168674707E-3</v>
      </c>
      <c r="D28" s="5">
        <v>4.0000000000000001E-3</v>
      </c>
      <c r="E28" s="5">
        <v>4.9613601236476047E-2</v>
      </c>
      <c r="F28" s="2" t="s">
        <v>59</v>
      </c>
      <c r="G28" s="2" t="s">
        <v>60</v>
      </c>
      <c r="H28" s="2" t="s">
        <v>2688</v>
      </c>
      <c r="I28" s="2" t="s">
        <v>2682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5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5">
        <v>1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 spans="1:28" ht="30" x14ac:dyDescent="0.25">
      <c r="A29" s="2">
        <v>28</v>
      </c>
      <c r="B29" s="5">
        <v>0.27765957446808509</v>
      </c>
      <c r="C29" s="5">
        <v>1.084337349397591E-2</v>
      </c>
      <c r="D29" s="5">
        <v>1.6E-2</v>
      </c>
      <c r="E29" s="5">
        <v>9.7836166924265833E-2</v>
      </c>
      <c r="F29" s="2" t="s">
        <v>61</v>
      </c>
      <c r="G29" s="2" t="s">
        <v>62</v>
      </c>
      <c r="H29" s="2" t="s">
        <v>2688</v>
      </c>
      <c r="I29" s="2" t="s">
        <v>2682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5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5">
        <v>1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ht="45" x14ac:dyDescent="0.25">
      <c r="A30" s="2">
        <v>29</v>
      </c>
      <c r="B30" s="5">
        <v>0.1042553191489362</v>
      </c>
      <c r="C30" s="5">
        <v>4.6987951807228923E-2</v>
      </c>
      <c r="D30" s="5">
        <v>2.5999999999999999E-2</v>
      </c>
      <c r="E30" s="5">
        <v>2.2874806800618239E-2</v>
      </c>
      <c r="F30" s="2" t="s">
        <v>63</v>
      </c>
      <c r="G30" s="2" t="s">
        <v>64</v>
      </c>
      <c r="H30" s="2" t="s">
        <v>2681</v>
      </c>
      <c r="I30" s="2" t="s">
        <v>2685</v>
      </c>
      <c r="J30" s="2">
        <v>0</v>
      </c>
      <c r="K30" s="2">
        <v>0</v>
      </c>
      <c r="L30" s="2">
        <v>0</v>
      </c>
      <c r="M30" s="2">
        <v>0</v>
      </c>
      <c r="N30" s="5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5">
        <v>1</v>
      </c>
      <c r="Y30" s="2">
        <v>0</v>
      </c>
      <c r="Z30" s="2">
        <v>0</v>
      </c>
      <c r="AA30" s="2">
        <v>0</v>
      </c>
      <c r="AB30" s="2">
        <v>0</v>
      </c>
    </row>
    <row r="31" spans="1:28" ht="45" x14ac:dyDescent="0.25">
      <c r="A31" s="2">
        <v>30</v>
      </c>
      <c r="B31" s="5">
        <v>0.32127659574468093</v>
      </c>
      <c r="C31" s="5">
        <v>0.21927710843373491</v>
      </c>
      <c r="D31" s="5">
        <v>0.25</v>
      </c>
      <c r="E31" s="2">
        <v>0</v>
      </c>
      <c r="F31" s="2" t="s">
        <v>65</v>
      </c>
      <c r="G31" s="2" t="s">
        <v>66</v>
      </c>
      <c r="H31" s="2" t="s">
        <v>2688</v>
      </c>
      <c r="I31" s="2" t="s">
        <v>2689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5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5">
        <v>1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ht="45" x14ac:dyDescent="0.25">
      <c r="A32" s="2">
        <v>31</v>
      </c>
      <c r="B32" s="5">
        <v>0.31595744680851062</v>
      </c>
      <c r="C32" s="5">
        <v>0.43253012048192768</v>
      </c>
      <c r="D32" s="5">
        <v>0.152</v>
      </c>
      <c r="E32" s="5">
        <v>2.4729520865533232E-3</v>
      </c>
      <c r="F32" s="2" t="s">
        <v>67</v>
      </c>
      <c r="G32" s="2" t="s">
        <v>68</v>
      </c>
      <c r="H32" s="2" t="s">
        <v>2684</v>
      </c>
      <c r="I32" s="2" t="s">
        <v>2689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5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5">
        <v>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ht="90" x14ac:dyDescent="0.25">
      <c r="A33" s="2">
        <v>32</v>
      </c>
      <c r="B33" s="5">
        <v>0.28723404255319152</v>
      </c>
      <c r="C33" s="5">
        <v>0.38915662650602412</v>
      </c>
      <c r="D33" s="5">
        <v>0.112</v>
      </c>
      <c r="E33" s="5">
        <v>1.530139103554869E-2</v>
      </c>
      <c r="F33" s="2" t="s">
        <v>69</v>
      </c>
      <c r="G33" s="2" t="s">
        <v>70</v>
      </c>
      <c r="H33" s="2" t="s">
        <v>2684</v>
      </c>
      <c r="I33" s="2" t="s">
        <v>2689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5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5">
        <v>1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ht="45" x14ac:dyDescent="0.25">
      <c r="A34" s="2">
        <v>33</v>
      </c>
      <c r="B34" s="5">
        <v>7.9787234042553196E-2</v>
      </c>
      <c r="C34" s="5">
        <v>0.16626506024096391</v>
      </c>
      <c r="D34" s="5">
        <v>1.9E-2</v>
      </c>
      <c r="E34" s="5">
        <v>1.081916537867079E-3</v>
      </c>
      <c r="F34" s="2" t="s">
        <v>71</v>
      </c>
      <c r="G34" s="2" t="s">
        <v>72</v>
      </c>
      <c r="H34" s="2" t="s">
        <v>2688</v>
      </c>
      <c r="I34" s="2" t="s">
        <v>2689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5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5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ht="60" x14ac:dyDescent="0.25">
      <c r="A35" s="2">
        <v>34</v>
      </c>
      <c r="B35" s="5">
        <v>0.31382978723404248</v>
      </c>
      <c r="C35" s="5">
        <v>0.40963855421686751</v>
      </c>
      <c r="D35" s="5">
        <v>0.16</v>
      </c>
      <c r="E35" s="5">
        <v>2.3183925811437402E-3</v>
      </c>
      <c r="F35" s="2" t="s">
        <v>73</v>
      </c>
      <c r="G35" s="2" t="s">
        <v>74</v>
      </c>
      <c r="H35" s="2" t="s">
        <v>2684</v>
      </c>
      <c r="I35" s="2" t="s">
        <v>2689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5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5">
        <v>1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ht="45" x14ac:dyDescent="0.25">
      <c r="A36" s="2">
        <v>35</v>
      </c>
      <c r="B36" s="5">
        <v>0.3595744680851064</v>
      </c>
      <c r="C36" s="5">
        <v>0.42409638554216872</v>
      </c>
      <c r="D36" s="5">
        <v>0.20599999999999999</v>
      </c>
      <c r="E36" s="5">
        <v>6.1823802163833079E-4</v>
      </c>
      <c r="F36" s="2" t="s">
        <v>75</v>
      </c>
      <c r="G36" s="2" t="s">
        <v>76</v>
      </c>
      <c r="H36" s="2" t="s">
        <v>2684</v>
      </c>
      <c r="I36" s="2" t="s">
        <v>2689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5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5">
        <v>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ht="30" x14ac:dyDescent="0.25">
      <c r="A37" s="2">
        <v>36</v>
      </c>
      <c r="B37" s="5">
        <v>0.29255319148936171</v>
      </c>
      <c r="C37" s="5">
        <v>0.45060240963855419</v>
      </c>
      <c r="D37" s="5">
        <v>0.122</v>
      </c>
      <c r="E37" s="5">
        <v>2.0092735703245751E-3</v>
      </c>
      <c r="F37" s="2" t="s">
        <v>77</v>
      </c>
      <c r="G37" s="2" t="s">
        <v>78</v>
      </c>
      <c r="H37" s="2" t="s">
        <v>2684</v>
      </c>
      <c r="I37" s="2" t="s">
        <v>2689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5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5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ht="45" x14ac:dyDescent="0.25">
      <c r="A38" s="2">
        <v>37</v>
      </c>
      <c r="B38" s="5">
        <v>0.31702127659574469</v>
      </c>
      <c r="C38" s="5">
        <v>0.4120481927710844</v>
      </c>
      <c r="D38" s="5">
        <v>0.16800000000000001</v>
      </c>
      <c r="E38" s="5">
        <v>1.545595054095827E-4</v>
      </c>
      <c r="F38" s="2" t="s">
        <v>79</v>
      </c>
      <c r="G38" s="2" t="s">
        <v>80</v>
      </c>
      <c r="H38" s="2" t="s">
        <v>2684</v>
      </c>
      <c r="I38" s="2" t="s">
        <v>2689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5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5">
        <v>1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</row>
    <row r="39" spans="1:28" ht="45" x14ac:dyDescent="0.25">
      <c r="A39" s="2">
        <v>38</v>
      </c>
      <c r="B39" s="5">
        <v>0.30425531914893622</v>
      </c>
      <c r="C39" s="5">
        <v>0.38674698795180729</v>
      </c>
      <c r="D39" s="5">
        <v>0.161</v>
      </c>
      <c r="E39" s="5">
        <v>1.70015455950541E-3</v>
      </c>
      <c r="F39" s="2" t="s">
        <v>81</v>
      </c>
      <c r="G39" s="2" t="s">
        <v>82</v>
      </c>
      <c r="H39" s="2" t="s">
        <v>2684</v>
      </c>
      <c r="I39" s="2" t="s">
        <v>2689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5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5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ht="45" x14ac:dyDescent="0.25">
      <c r="A40" s="2">
        <v>39</v>
      </c>
      <c r="B40" s="5">
        <v>0.31382978723404248</v>
      </c>
      <c r="C40" s="5">
        <v>0.47228915662650611</v>
      </c>
      <c r="D40" s="5">
        <v>0.13600000000000001</v>
      </c>
      <c r="E40" s="5">
        <v>1.5455950540958271E-3</v>
      </c>
      <c r="F40" s="2" t="s">
        <v>83</v>
      </c>
      <c r="G40" s="2" t="s">
        <v>84</v>
      </c>
      <c r="H40" s="2" t="s">
        <v>2684</v>
      </c>
      <c r="I40" s="2" t="s">
        <v>2689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5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5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ht="90" x14ac:dyDescent="0.25">
      <c r="A41" s="2">
        <v>40</v>
      </c>
      <c r="B41" s="5">
        <v>0.30531914893617018</v>
      </c>
      <c r="C41" s="5">
        <v>0.37349397590361449</v>
      </c>
      <c r="D41" s="5">
        <v>0.157</v>
      </c>
      <c r="E41" s="5">
        <v>2.6275115919629061E-3</v>
      </c>
      <c r="F41" s="2" t="s">
        <v>85</v>
      </c>
      <c r="G41" s="2" t="s">
        <v>86</v>
      </c>
      <c r="H41" s="2" t="s">
        <v>2684</v>
      </c>
      <c r="I41" s="2" t="s">
        <v>2689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5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5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t="75" x14ac:dyDescent="0.25">
      <c r="A42" s="2">
        <v>41</v>
      </c>
      <c r="B42" s="5">
        <v>0.26170212765957451</v>
      </c>
      <c r="C42" s="5">
        <v>0.45662650602409638</v>
      </c>
      <c r="D42" s="5">
        <v>0.09</v>
      </c>
      <c r="E42" s="5">
        <v>1.081916537867079E-3</v>
      </c>
      <c r="F42" s="2" t="s">
        <v>87</v>
      </c>
      <c r="G42" s="2" t="s">
        <v>88</v>
      </c>
      <c r="H42" s="2" t="s">
        <v>2684</v>
      </c>
      <c r="I42" s="2" t="s">
        <v>2689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5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5">
        <v>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ht="60" x14ac:dyDescent="0.25">
      <c r="A43" s="2">
        <v>42</v>
      </c>
      <c r="B43" s="5">
        <v>0.26063829787234039</v>
      </c>
      <c r="C43" s="5">
        <v>0.39879518072289161</v>
      </c>
      <c r="D43" s="5">
        <v>0.114</v>
      </c>
      <c r="E43" s="5">
        <v>4.6367851622874798E-4</v>
      </c>
      <c r="F43" s="2" t="s">
        <v>89</v>
      </c>
      <c r="G43" s="2" t="s">
        <v>90</v>
      </c>
      <c r="H43" s="2" t="s">
        <v>2684</v>
      </c>
      <c r="I43" s="2" t="s">
        <v>2689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5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5">
        <v>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ht="60" x14ac:dyDescent="0.25">
      <c r="A44" s="2">
        <v>43</v>
      </c>
      <c r="B44" s="5">
        <v>0.31382978723404248</v>
      </c>
      <c r="C44" s="5">
        <v>0.45060240963855419</v>
      </c>
      <c r="D44" s="5">
        <v>0.14699999999999999</v>
      </c>
      <c r="E44" s="5">
        <v>9.2735703245749607E-4</v>
      </c>
      <c r="F44" s="2" t="s">
        <v>91</v>
      </c>
      <c r="G44" s="2" t="s">
        <v>92</v>
      </c>
      <c r="H44" s="2" t="s">
        <v>2684</v>
      </c>
      <c r="I44" s="2" t="s">
        <v>2689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5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5">
        <v>1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ht="45" x14ac:dyDescent="0.25">
      <c r="A45" s="2">
        <v>44</v>
      </c>
      <c r="B45" s="5">
        <v>0.25957446808510642</v>
      </c>
      <c r="C45" s="5">
        <v>0.44216867469879523</v>
      </c>
      <c r="D45" s="5">
        <v>9.1999999999999998E-2</v>
      </c>
      <c r="E45" s="5">
        <v>1.5455950540958271E-3</v>
      </c>
      <c r="F45" s="2" t="s">
        <v>93</v>
      </c>
      <c r="G45" s="2" t="s">
        <v>94</v>
      </c>
      <c r="H45" s="2" t="s">
        <v>2684</v>
      </c>
      <c r="I45" s="2" t="s">
        <v>2689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5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5">
        <v>1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t="60" x14ac:dyDescent="0.25">
      <c r="A46" s="2">
        <v>45</v>
      </c>
      <c r="B46" s="5">
        <v>0.30106382978723412</v>
      </c>
      <c r="C46" s="5">
        <v>0.43012048192771091</v>
      </c>
      <c r="D46" s="5">
        <v>0.14299999999999999</v>
      </c>
      <c r="E46" s="5">
        <v>7.7279752704791343E-4</v>
      </c>
      <c r="F46" s="2" t="s">
        <v>95</v>
      </c>
      <c r="G46" s="2" t="s">
        <v>96</v>
      </c>
      <c r="H46" s="2" t="s">
        <v>2684</v>
      </c>
      <c r="I46" s="2" t="s">
        <v>2689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5">
        <v>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5">
        <v>1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ht="45" x14ac:dyDescent="0.25">
      <c r="A47" s="2">
        <v>46</v>
      </c>
      <c r="B47" s="5">
        <v>0.27765957446808509</v>
      </c>
      <c r="C47" s="5">
        <v>0.33012048192771082</v>
      </c>
      <c r="D47" s="5">
        <v>0.161</v>
      </c>
      <c r="E47" s="5">
        <v>2.4729520865533232E-3</v>
      </c>
      <c r="F47" s="2" t="s">
        <v>97</v>
      </c>
      <c r="G47" s="2" t="s">
        <v>98</v>
      </c>
      <c r="H47" s="2" t="s">
        <v>2688</v>
      </c>
      <c r="I47" s="2" t="s">
        <v>2689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5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5">
        <v>1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ht="60" x14ac:dyDescent="0.25">
      <c r="A48" s="2">
        <v>47</v>
      </c>
      <c r="B48" s="5">
        <v>0.28085106382978731</v>
      </c>
      <c r="C48" s="5">
        <v>0.21927710843373491</v>
      </c>
      <c r="D48" s="5">
        <v>0.20100000000000001</v>
      </c>
      <c r="E48" s="5">
        <v>4.1731066460587328E-3</v>
      </c>
      <c r="F48" s="2" t="s">
        <v>99</v>
      </c>
      <c r="G48" s="2" t="s">
        <v>100</v>
      </c>
      <c r="H48" s="2" t="s">
        <v>2688</v>
      </c>
      <c r="I48" s="2" t="s">
        <v>2689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5">
        <v>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5">
        <v>1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ht="45" x14ac:dyDescent="0.25">
      <c r="A49" s="2">
        <v>48</v>
      </c>
      <c r="B49" s="5">
        <v>0.5031914893617021</v>
      </c>
      <c r="C49" s="5">
        <v>0.54457831325301209</v>
      </c>
      <c r="D49" s="5">
        <v>0.26300000000000001</v>
      </c>
      <c r="E49" s="5">
        <v>2.1483771251931991E-2</v>
      </c>
      <c r="F49" s="2" t="s">
        <v>101</v>
      </c>
      <c r="G49" s="2" t="s">
        <v>102</v>
      </c>
      <c r="H49" s="2" t="s">
        <v>2684</v>
      </c>
      <c r="I49" s="2" t="s">
        <v>2689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5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5">
        <v>1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ht="45" x14ac:dyDescent="0.25">
      <c r="A50" s="2">
        <v>49</v>
      </c>
      <c r="B50" s="5">
        <v>0.1202127659574468</v>
      </c>
      <c r="C50" s="5">
        <v>0.21204819277108439</v>
      </c>
      <c r="D50" s="5">
        <v>4.2000000000000003E-2</v>
      </c>
      <c r="E50" s="2">
        <v>0</v>
      </c>
      <c r="F50" s="2" t="s">
        <v>103</v>
      </c>
      <c r="G50" s="2" t="s">
        <v>104</v>
      </c>
      <c r="H50" s="2" t="s">
        <v>2688</v>
      </c>
      <c r="I50" s="2" t="s">
        <v>2682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5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5">
        <v>1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ht="30" x14ac:dyDescent="0.25">
      <c r="A51" s="2">
        <v>50</v>
      </c>
      <c r="B51" s="5">
        <v>0.48191489361702128</v>
      </c>
      <c r="C51" s="5">
        <v>0.1433734939759036</v>
      </c>
      <c r="D51" s="5">
        <v>0.45</v>
      </c>
      <c r="E51" s="2">
        <v>0</v>
      </c>
      <c r="F51" s="2" t="s">
        <v>105</v>
      </c>
      <c r="G51" s="2" t="s">
        <v>106</v>
      </c>
      <c r="H51" s="2" t="s">
        <v>2688</v>
      </c>
      <c r="I51" s="2" t="s">
        <v>2689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5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5">
        <v>1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ht="30" x14ac:dyDescent="0.25">
      <c r="A52" s="2">
        <v>51</v>
      </c>
      <c r="B52" s="5">
        <v>0.39468085106382977</v>
      </c>
      <c r="C52" s="5">
        <v>0.16987951807228921</v>
      </c>
      <c r="D52" s="5">
        <v>0.35</v>
      </c>
      <c r="E52" s="2">
        <v>0</v>
      </c>
      <c r="F52" s="2" t="s">
        <v>107</v>
      </c>
      <c r="G52" s="2" t="s">
        <v>108</v>
      </c>
      <c r="H52" s="2" t="s">
        <v>2688</v>
      </c>
      <c r="I52" s="2" t="s">
        <v>2689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5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5">
        <v>1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 spans="1:28" ht="30" x14ac:dyDescent="0.25">
      <c r="A53" s="2">
        <v>52</v>
      </c>
      <c r="B53" s="5">
        <v>0.1170212765957447</v>
      </c>
      <c r="C53" s="5">
        <v>0.19638554216867471</v>
      </c>
      <c r="D53" s="5">
        <v>4.5999999999999999E-2</v>
      </c>
      <c r="E53" s="5">
        <v>1.236476043276662E-3</v>
      </c>
      <c r="F53" s="2" t="s">
        <v>109</v>
      </c>
      <c r="G53" s="2" t="s">
        <v>110</v>
      </c>
      <c r="H53" s="2" t="s">
        <v>2681</v>
      </c>
      <c r="I53" s="2" t="s">
        <v>2682</v>
      </c>
      <c r="J53" s="2">
        <v>0</v>
      </c>
      <c r="K53" s="2">
        <v>0</v>
      </c>
      <c r="L53" s="2">
        <v>0</v>
      </c>
      <c r="M53" s="2">
        <v>0</v>
      </c>
      <c r="N53" s="5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5">
        <v>1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ht="60" x14ac:dyDescent="0.25">
      <c r="A54" s="2">
        <v>53</v>
      </c>
      <c r="B54" s="5">
        <v>0.13723404255319149</v>
      </c>
      <c r="C54" s="5">
        <v>0.23734939759036139</v>
      </c>
      <c r="D54" s="5">
        <v>4.8000000000000001E-2</v>
      </c>
      <c r="E54" s="5">
        <v>2.6275115919629061E-3</v>
      </c>
      <c r="F54" s="2" t="s">
        <v>111</v>
      </c>
      <c r="G54" s="2" t="s">
        <v>112</v>
      </c>
      <c r="H54" s="2" t="s">
        <v>2681</v>
      </c>
      <c r="I54" s="2" t="s">
        <v>2682</v>
      </c>
      <c r="J54" s="2">
        <v>0</v>
      </c>
      <c r="K54" s="2">
        <v>0</v>
      </c>
      <c r="L54" s="2">
        <v>0</v>
      </c>
      <c r="M54" s="2">
        <v>0</v>
      </c>
      <c r="N54" s="5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5">
        <v>1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 ht="45" x14ac:dyDescent="0.25">
      <c r="A55" s="2">
        <v>54</v>
      </c>
      <c r="B55" s="5">
        <v>0.52234042553191495</v>
      </c>
      <c r="C55" s="5">
        <v>0.29638554216867469</v>
      </c>
      <c r="D55" s="5">
        <v>0.16300000000000001</v>
      </c>
      <c r="E55" s="5">
        <v>3.0911901081916539E-4</v>
      </c>
      <c r="F55" s="2" t="s">
        <v>113</v>
      </c>
      <c r="G55" s="2" t="s">
        <v>114</v>
      </c>
      <c r="H55" s="2" t="s">
        <v>2681</v>
      </c>
      <c r="I55" s="2" t="s">
        <v>2682</v>
      </c>
      <c r="J55" s="2">
        <v>0</v>
      </c>
      <c r="K55" s="2">
        <v>0</v>
      </c>
      <c r="L55" s="2">
        <v>0</v>
      </c>
      <c r="M55" s="2">
        <v>0</v>
      </c>
      <c r="N55" s="5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5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</row>
    <row r="56" spans="1:28" ht="90" x14ac:dyDescent="0.25">
      <c r="A56" s="2">
        <v>55</v>
      </c>
      <c r="B56" s="5">
        <v>0.10946808510638301</v>
      </c>
      <c r="C56" s="5">
        <v>3.9759036144578312E-2</v>
      </c>
      <c r="D56" s="5">
        <v>2.7E-2</v>
      </c>
      <c r="E56" s="5">
        <v>2.5193199381761979E-2</v>
      </c>
      <c r="F56" s="2" t="s">
        <v>115</v>
      </c>
      <c r="G56" s="2" t="s">
        <v>116</v>
      </c>
      <c r="H56" s="2" t="s">
        <v>2681</v>
      </c>
      <c r="I56" s="2" t="s">
        <v>2682</v>
      </c>
      <c r="J56" s="2">
        <v>0</v>
      </c>
      <c r="K56" s="2">
        <v>0</v>
      </c>
      <c r="L56" s="2">
        <v>0</v>
      </c>
      <c r="M56" s="2">
        <v>0</v>
      </c>
      <c r="N56" s="5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5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ht="30" x14ac:dyDescent="0.25">
      <c r="A57" s="2">
        <v>56</v>
      </c>
      <c r="B57" s="5">
        <v>0.47872340425531917</v>
      </c>
      <c r="C57" s="5">
        <v>3.8554216867469883E-2</v>
      </c>
      <c r="D57" s="5">
        <v>0.13900000000000001</v>
      </c>
      <c r="E57" s="5">
        <v>0.1207109737248841</v>
      </c>
      <c r="F57" s="2" t="s">
        <v>117</v>
      </c>
      <c r="G57" s="2" t="s">
        <v>118</v>
      </c>
      <c r="H57" s="2" t="s">
        <v>2688</v>
      </c>
      <c r="I57" s="2" t="s">
        <v>2686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5">
        <v>1</v>
      </c>
      <c r="P57" s="2">
        <v>0</v>
      </c>
      <c r="Q57" s="5"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ht="45" x14ac:dyDescent="0.25">
      <c r="A58" s="2">
        <v>57</v>
      </c>
      <c r="B58" s="5">
        <v>0.48085106382978732</v>
      </c>
      <c r="C58" s="5">
        <v>1.566265060240964E-2</v>
      </c>
      <c r="D58" s="5">
        <v>0.13800000000000001</v>
      </c>
      <c r="E58" s="5">
        <v>0.1245749613601236</v>
      </c>
      <c r="F58" s="2" t="s">
        <v>119</v>
      </c>
      <c r="G58" s="2" t="s">
        <v>120</v>
      </c>
      <c r="H58" s="2" t="s">
        <v>2688</v>
      </c>
      <c r="I58" s="2" t="s">
        <v>2686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5">
        <v>1</v>
      </c>
      <c r="P58" s="2">
        <v>0</v>
      </c>
      <c r="Q58" s="5"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ht="45" x14ac:dyDescent="0.25">
      <c r="A59" s="2">
        <v>58</v>
      </c>
      <c r="B59" s="5">
        <v>0.56276595744680857</v>
      </c>
      <c r="C59" s="5">
        <v>3.8554216867469883E-2</v>
      </c>
      <c r="D59" s="5">
        <v>0.29099999999999998</v>
      </c>
      <c r="E59" s="5">
        <v>9.8299845440494596E-2</v>
      </c>
      <c r="F59" s="2" t="s">
        <v>121</v>
      </c>
      <c r="G59" s="2" t="s">
        <v>122</v>
      </c>
      <c r="H59" s="2" t="s">
        <v>2688</v>
      </c>
      <c r="I59" s="2" t="s">
        <v>2687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5">
        <v>1</v>
      </c>
      <c r="P59" s="2">
        <v>0</v>
      </c>
      <c r="Q59" s="2">
        <v>0</v>
      </c>
      <c r="R59" s="2">
        <v>0</v>
      </c>
      <c r="S59" s="5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 ht="75" x14ac:dyDescent="0.25">
      <c r="A60" s="2">
        <v>59</v>
      </c>
      <c r="B60" s="5">
        <v>0.55638297872340425</v>
      </c>
      <c r="C60" s="5">
        <v>3.8554216867469883E-2</v>
      </c>
      <c r="D60" s="5">
        <v>0.28199999999999997</v>
      </c>
      <c r="E60" s="5">
        <v>9.9227202472952095E-2</v>
      </c>
      <c r="F60" s="2" t="s">
        <v>123</v>
      </c>
      <c r="G60" s="2" t="s">
        <v>124</v>
      </c>
      <c r="H60" s="2" t="s">
        <v>2688</v>
      </c>
      <c r="I60" s="2" t="s">
        <v>2687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5">
        <v>1</v>
      </c>
      <c r="P60" s="2">
        <v>0</v>
      </c>
      <c r="Q60" s="2">
        <v>0</v>
      </c>
      <c r="R60" s="2">
        <v>0</v>
      </c>
      <c r="S60" s="5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</row>
    <row r="61" spans="1:28" ht="60" x14ac:dyDescent="0.25">
      <c r="A61" s="2">
        <v>60</v>
      </c>
      <c r="B61" s="5">
        <v>0.44255319148936167</v>
      </c>
      <c r="C61" s="5">
        <v>7.8313253012048195E-2</v>
      </c>
      <c r="D61" s="5">
        <v>9.4E-2</v>
      </c>
      <c r="E61" s="5">
        <v>0.1179289026275116</v>
      </c>
      <c r="F61" s="2" t="s">
        <v>125</v>
      </c>
      <c r="G61" s="2" t="s">
        <v>126</v>
      </c>
      <c r="H61" s="2" t="s">
        <v>2688</v>
      </c>
      <c r="I61" s="2" t="s">
        <v>2690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5">
        <v>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5">
        <v>1</v>
      </c>
    </row>
    <row r="62" spans="1:28" ht="45" x14ac:dyDescent="0.25">
      <c r="A62" s="2">
        <v>61</v>
      </c>
      <c r="B62" s="5">
        <v>0.40638297872340429</v>
      </c>
      <c r="C62" s="5">
        <v>3.6144578313253009E-3</v>
      </c>
      <c r="D62" s="5">
        <v>3.5000000000000003E-2</v>
      </c>
      <c r="E62" s="5">
        <v>0.13477588871715609</v>
      </c>
      <c r="F62" s="2" t="s">
        <v>127</v>
      </c>
      <c r="G62" s="2" t="s">
        <v>128</v>
      </c>
      <c r="H62" s="2" t="s">
        <v>2688</v>
      </c>
      <c r="I62" s="2" t="s">
        <v>2690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5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5">
        <v>1</v>
      </c>
    </row>
    <row r="63" spans="1:28" ht="30" x14ac:dyDescent="0.25">
      <c r="A63" s="2">
        <v>62</v>
      </c>
      <c r="B63" s="5">
        <v>0.13723404255319149</v>
      </c>
      <c r="C63" s="5">
        <v>2.289156626506024E-2</v>
      </c>
      <c r="D63" s="5">
        <v>6.6000000000000003E-2</v>
      </c>
      <c r="E63" s="5">
        <v>2.41112828438949E-2</v>
      </c>
      <c r="F63" s="2" t="s">
        <v>129</v>
      </c>
      <c r="G63" s="2" t="s">
        <v>130</v>
      </c>
      <c r="H63" s="2" t="s">
        <v>2681</v>
      </c>
      <c r="I63" s="2" t="s">
        <v>2682</v>
      </c>
      <c r="J63" s="2">
        <v>0</v>
      </c>
      <c r="K63" s="2">
        <v>0</v>
      </c>
      <c r="L63" s="2">
        <v>0</v>
      </c>
      <c r="M63" s="2">
        <v>0</v>
      </c>
      <c r="N63" s="5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5">
        <v>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ht="45" x14ac:dyDescent="0.25">
      <c r="A64" s="2">
        <v>63</v>
      </c>
      <c r="B64" s="5">
        <v>0.2893617021276596</v>
      </c>
      <c r="C64" s="5">
        <v>0.10481927710843369</v>
      </c>
      <c r="D64" s="5">
        <v>6.7000000000000004E-2</v>
      </c>
      <c r="E64" s="5">
        <v>6.8160741885625972E-2</v>
      </c>
      <c r="F64" s="2" t="s">
        <v>131</v>
      </c>
      <c r="G64" s="2" t="s">
        <v>132</v>
      </c>
      <c r="H64" s="2" t="s">
        <v>2683</v>
      </c>
      <c r="I64" s="2" t="s">
        <v>2691</v>
      </c>
      <c r="J64" s="2">
        <v>0</v>
      </c>
      <c r="K64" s="2">
        <v>0</v>
      </c>
      <c r="L64" s="2">
        <v>0</v>
      </c>
      <c r="M64" s="5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5">
        <v>1</v>
      </c>
      <c r="Z64" s="2">
        <v>0</v>
      </c>
      <c r="AA64" s="2">
        <v>0</v>
      </c>
      <c r="AB64" s="2">
        <v>0</v>
      </c>
    </row>
    <row r="65" spans="1:28" ht="45" x14ac:dyDescent="0.25">
      <c r="A65" s="2">
        <v>64</v>
      </c>
      <c r="B65" s="5">
        <v>8.085106382978724E-2</v>
      </c>
      <c r="C65" s="5">
        <v>4.9397590361445781E-2</v>
      </c>
      <c r="D65" s="5">
        <v>2.5000000000000001E-2</v>
      </c>
      <c r="E65" s="5">
        <v>1.4219474497681611E-2</v>
      </c>
      <c r="F65" s="2" t="s">
        <v>133</v>
      </c>
      <c r="G65" s="2" t="s">
        <v>134</v>
      </c>
      <c r="H65" s="2" t="s">
        <v>2681</v>
      </c>
      <c r="I65" s="2" t="s">
        <v>2682</v>
      </c>
      <c r="J65" s="2">
        <v>0</v>
      </c>
      <c r="K65" s="2">
        <v>0</v>
      </c>
      <c r="L65" s="2">
        <v>0</v>
      </c>
      <c r="M65" s="2">
        <v>0</v>
      </c>
      <c r="N65" s="5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5">
        <v>1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ht="30" x14ac:dyDescent="0.25">
      <c r="A66" s="2">
        <v>65</v>
      </c>
      <c r="B66" s="5">
        <v>2.8723404255319149E-2</v>
      </c>
      <c r="C66" s="5">
        <v>2.4096385542168679E-2</v>
      </c>
      <c r="D66" s="5">
        <v>2E-3</v>
      </c>
      <c r="E66" s="5">
        <v>6.4914992272024734E-3</v>
      </c>
      <c r="F66" s="2" t="s">
        <v>135</v>
      </c>
      <c r="G66" s="2" t="s">
        <v>136</v>
      </c>
      <c r="H66" s="2" t="s">
        <v>2683</v>
      </c>
      <c r="I66" s="2" t="s">
        <v>2685</v>
      </c>
      <c r="J66" s="2">
        <v>0</v>
      </c>
      <c r="K66" s="2">
        <v>0</v>
      </c>
      <c r="L66" s="2">
        <v>0</v>
      </c>
      <c r="M66" s="5">
        <v>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5">
        <v>1</v>
      </c>
      <c r="Y66" s="2">
        <v>0</v>
      </c>
      <c r="Z66" s="2">
        <v>0</v>
      </c>
      <c r="AA66" s="2">
        <v>0</v>
      </c>
      <c r="AB66" s="2">
        <v>0</v>
      </c>
    </row>
    <row r="67" spans="1:28" ht="45" x14ac:dyDescent="0.25">
      <c r="A67" s="2">
        <v>66</v>
      </c>
      <c r="B67" s="5">
        <v>0.2978723404255319</v>
      </c>
      <c r="C67" s="5">
        <v>9.8795180722891562E-2</v>
      </c>
      <c r="D67" s="5">
        <v>0.10199999999999999</v>
      </c>
      <c r="E67" s="5">
        <v>6.0278207109737247E-2</v>
      </c>
      <c r="F67" s="2" t="s">
        <v>137</v>
      </c>
      <c r="G67" s="2" t="s">
        <v>138</v>
      </c>
      <c r="H67" s="2" t="s">
        <v>2684</v>
      </c>
      <c r="I67" s="2" t="s">
        <v>2691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5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5">
        <v>1</v>
      </c>
      <c r="Z67" s="2">
        <v>0</v>
      </c>
      <c r="AA67" s="2">
        <v>0</v>
      </c>
      <c r="AB67" s="2">
        <v>0</v>
      </c>
    </row>
    <row r="68" spans="1:28" ht="30" x14ac:dyDescent="0.25">
      <c r="A68" s="2">
        <v>67</v>
      </c>
      <c r="B68" s="5">
        <v>1.3829787234042551E-2</v>
      </c>
      <c r="C68" s="5">
        <v>4.8192771084337354E-3</v>
      </c>
      <c r="D68" s="5">
        <v>2E-3</v>
      </c>
      <c r="E68" s="5">
        <v>4.6367851622874804E-3</v>
      </c>
      <c r="F68" s="2" t="s">
        <v>139</v>
      </c>
      <c r="G68" s="2" t="s">
        <v>140</v>
      </c>
      <c r="H68" s="2" t="s">
        <v>2688</v>
      </c>
      <c r="I68" s="2" t="s">
        <v>2682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5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5">
        <v>1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ht="60" x14ac:dyDescent="0.25">
      <c r="A69" s="2">
        <v>68</v>
      </c>
      <c r="B69" s="5">
        <v>0.2021276595744681</v>
      </c>
      <c r="C69" s="5">
        <v>3.9759036144578312E-2</v>
      </c>
      <c r="D69" s="5">
        <v>3.0000000000000001E-3</v>
      </c>
      <c r="E69" s="5">
        <v>6.7233384853168474E-2</v>
      </c>
      <c r="F69" s="2" t="s">
        <v>141</v>
      </c>
      <c r="G69" s="2" t="s">
        <v>142</v>
      </c>
      <c r="H69" s="2" t="s">
        <v>2683</v>
      </c>
      <c r="I69" s="2" t="s">
        <v>2691</v>
      </c>
      <c r="J69" s="2">
        <v>0</v>
      </c>
      <c r="K69" s="2">
        <v>0</v>
      </c>
      <c r="L69" s="2">
        <v>0</v>
      </c>
      <c r="M69" s="5">
        <v>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5">
        <v>1</v>
      </c>
      <c r="Z69" s="2">
        <v>0</v>
      </c>
      <c r="AA69" s="2">
        <v>0</v>
      </c>
      <c r="AB69" s="2">
        <v>0</v>
      </c>
    </row>
    <row r="70" spans="1:28" ht="30" x14ac:dyDescent="0.25">
      <c r="A70" s="2">
        <v>69</v>
      </c>
      <c r="B70" s="5">
        <v>0.16914893617021279</v>
      </c>
      <c r="C70" s="5">
        <v>3.7349397590361447E-2</v>
      </c>
      <c r="D70" s="5">
        <v>5.8000000000000003E-2</v>
      </c>
      <c r="E70" s="5">
        <v>3.6321483771251932E-2</v>
      </c>
      <c r="F70" s="2" t="s">
        <v>143</v>
      </c>
      <c r="G70" s="2" t="s">
        <v>144</v>
      </c>
      <c r="H70" s="2" t="s">
        <v>2683</v>
      </c>
      <c r="I70" s="2" t="s">
        <v>2682</v>
      </c>
      <c r="J70" s="2">
        <v>0</v>
      </c>
      <c r="K70" s="2">
        <v>0</v>
      </c>
      <c r="L70" s="2">
        <v>0</v>
      </c>
      <c r="M70" s="5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5">
        <v>1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ht="45" x14ac:dyDescent="0.25">
      <c r="A71" s="2">
        <v>70</v>
      </c>
      <c r="B71" s="5">
        <v>0.14574468085106379</v>
      </c>
      <c r="C71" s="5">
        <v>5.1807228915662647E-2</v>
      </c>
      <c r="D71" s="5">
        <v>4.8000000000000001E-2</v>
      </c>
      <c r="E71" s="5">
        <v>2.952086553323029E-2</v>
      </c>
      <c r="F71" s="2" t="s">
        <v>145</v>
      </c>
      <c r="G71" s="2" t="s">
        <v>146</v>
      </c>
      <c r="H71" s="2" t="s">
        <v>2688</v>
      </c>
      <c r="I71" s="2" t="s">
        <v>2682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5">
        <v>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5">
        <v>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ht="30" x14ac:dyDescent="0.25">
      <c r="A72" s="2">
        <v>71</v>
      </c>
      <c r="B72" s="5">
        <v>0.11382978723404261</v>
      </c>
      <c r="C72" s="5">
        <v>2.6506024096385541E-2</v>
      </c>
      <c r="D72" s="5">
        <v>2.1999999999999999E-2</v>
      </c>
      <c r="E72" s="5">
        <v>3.0293663060278211E-2</v>
      </c>
      <c r="F72" s="2" t="s">
        <v>147</v>
      </c>
      <c r="G72" s="2" t="s">
        <v>148</v>
      </c>
      <c r="H72" s="2" t="s">
        <v>2683</v>
      </c>
      <c r="I72" s="2" t="s">
        <v>2691</v>
      </c>
      <c r="J72" s="2">
        <v>0</v>
      </c>
      <c r="K72" s="2">
        <v>0</v>
      </c>
      <c r="L72" s="2">
        <v>0</v>
      </c>
      <c r="M72" s="5">
        <v>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5">
        <v>1</v>
      </c>
      <c r="Z72" s="2">
        <v>0</v>
      </c>
      <c r="AA72" s="2">
        <v>0</v>
      </c>
      <c r="AB72" s="2">
        <v>0</v>
      </c>
    </row>
    <row r="73" spans="1:28" ht="30" x14ac:dyDescent="0.25">
      <c r="A73" s="2">
        <v>72</v>
      </c>
      <c r="B73" s="5">
        <v>8.085106382978724E-2</v>
      </c>
      <c r="C73" s="5">
        <v>1.3253012048192771E-2</v>
      </c>
      <c r="D73" s="5">
        <v>9.0000000000000011E-3</v>
      </c>
      <c r="E73" s="5">
        <v>2.472952086553323E-2</v>
      </c>
      <c r="F73" s="2" t="s">
        <v>149</v>
      </c>
      <c r="G73" s="2" t="s">
        <v>150</v>
      </c>
      <c r="H73" s="2" t="s">
        <v>2688</v>
      </c>
      <c r="I73" s="2" t="s">
        <v>2690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5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5">
        <v>1</v>
      </c>
    </row>
    <row r="74" spans="1:28" ht="45" x14ac:dyDescent="0.25">
      <c r="A74" s="2">
        <v>73</v>
      </c>
      <c r="B74" s="5">
        <v>0.1170212765957447</v>
      </c>
      <c r="C74" s="5">
        <v>1.6867469879518069E-2</v>
      </c>
      <c r="D74" s="5">
        <v>1.0999999999999999E-2</v>
      </c>
      <c r="E74" s="5">
        <v>3.6166924265842337E-2</v>
      </c>
      <c r="F74" s="2" t="s">
        <v>151</v>
      </c>
      <c r="G74" s="2" t="s">
        <v>152</v>
      </c>
      <c r="H74" s="2" t="s">
        <v>2688</v>
      </c>
      <c r="I74" s="2" t="s">
        <v>2686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5">
        <v>1</v>
      </c>
      <c r="P74" s="2">
        <v>0</v>
      </c>
      <c r="Q74" s="5">
        <v>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ht="60" x14ac:dyDescent="0.25">
      <c r="A75" s="2">
        <v>74</v>
      </c>
      <c r="B75" s="5">
        <v>9.7872340425531917E-2</v>
      </c>
      <c r="C75" s="5">
        <v>1.445783132530121E-2</v>
      </c>
      <c r="D75" s="5">
        <v>3.0000000000000001E-3</v>
      </c>
      <c r="E75" s="5">
        <v>3.2457496136012363E-2</v>
      </c>
      <c r="F75" s="2" t="s">
        <v>153</v>
      </c>
      <c r="G75" s="2" t="s">
        <v>154</v>
      </c>
      <c r="H75" s="2" t="s">
        <v>2688</v>
      </c>
      <c r="I75" s="2" t="s">
        <v>2686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5">
        <v>1</v>
      </c>
      <c r="P75" s="2">
        <v>0</v>
      </c>
      <c r="Q75" s="5">
        <v>1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ht="45" x14ac:dyDescent="0.25">
      <c r="A76" s="2">
        <v>75</v>
      </c>
      <c r="B76" s="5">
        <v>9.4680851063829785E-2</v>
      </c>
      <c r="C76" s="5">
        <v>1.3253012048192771E-2</v>
      </c>
      <c r="D76" s="5">
        <v>1E-3</v>
      </c>
      <c r="E76" s="5">
        <v>3.2457496136012363E-2</v>
      </c>
      <c r="F76" s="2" t="s">
        <v>155</v>
      </c>
      <c r="G76" s="2" t="s">
        <v>156</v>
      </c>
      <c r="H76" s="2" t="s">
        <v>2688</v>
      </c>
      <c r="I76" s="2" t="s">
        <v>2686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5">
        <v>1</v>
      </c>
      <c r="P76" s="2">
        <v>0</v>
      </c>
      <c r="Q76" s="5">
        <v>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ht="45" x14ac:dyDescent="0.25">
      <c r="A77" s="2">
        <v>76</v>
      </c>
      <c r="B77" s="5">
        <v>0.19361702127659569</v>
      </c>
      <c r="C77" s="5">
        <v>2.891566265060241E-2</v>
      </c>
      <c r="D77" s="5">
        <v>4.0000000000000001E-3</v>
      </c>
      <c r="E77" s="5">
        <v>6.5224111282843902E-2</v>
      </c>
      <c r="F77" s="2" t="s">
        <v>157</v>
      </c>
      <c r="G77" s="2" t="s">
        <v>158</v>
      </c>
      <c r="H77" s="2" t="s">
        <v>2688</v>
      </c>
      <c r="I77" s="2" t="s">
        <v>2690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5">
        <v>1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5">
        <v>1</v>
      </c>
    </row>
    <row r="78" spans="1:28" ht="45" x14ac:dyDescent="0.25">
      <c r="A78" s="2">
        <v>77</v>
      </c>
      <c r="B78" s="5">
        <v>4.7872340425531908E-2</v>
      </c>
      <c r="C78" s="5">
        <v>1.6867469879518069E-2</v>
      </c>
      <c r="D78" s="5">
        <v>2E-3</v>
      </c>
      <c r="E78" s="5">
        <v>1.591962905718702E-2</v>
      </c>
      <c r="F78" s="2" t="s">
        <v>159</v>
      </c>
      <c r="G78" s="2" t="s">
        <v>160</v>
      </c>
      <c r="H78" s="2" t="s">
        <v>2683</v>
      </c>
      <c r="I78" s="2" t="s">
        <v>2692</v>
      </c>
      <c r="J78" s="2">
        <v>0</v>
      </c>
      <c r="K78" s="2">
        <v>0</v>
      </c>
      <c r="L78" s="2">
        <v>0</v>
      </c>
      <c r="M78" s="5">
        <v>1</v>
      </c>
      <c r="N78" s="2">
        <v>0</v>
      </c>
      <c r="O78" s="2">
        <v>0</v>
      </c>
      <c r="P78" s="2">
        <v>0</v>
      </c>
      <c r="Q78" s="2">
        <v>0</v>
      </c>
      <c r="R78" s="5">
        <v>1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ht="30" x14ac:dyDescent="0.25">
      <c r="A79" s="2">
        <v>78</v>
      </c>
      <c r="B79" s="5">
        <v>4.1489361702127657E-2</v>
      </c>
      <c r="C79" s="5">
        <v>1.8072289156626509E-2</v>
      </c>
      <c r="D79" s="5">
        <v>3.0000000000000001E-3</v>
      </c>
      <c r="E79" s="5">
        <v>3.0911901081916539E-4</v>
      </c>
      <c r="F79" s="2" t="s">
        <v>161</v>
      </c>
      <c r="G79" s="2" t="s">
        <v>162</v>
      </c>
      <c r="H79" s="2" t="s">
        <v>2683</v>
      </c>
      <c r="I79" s="2" t="s">
        <v>2692</v>
      </c>
      <c r="J79" s="2">
        <v>0</v>
      </c>
      <c r="K79" s="2">
        <v>0</v>
      </c>
      <c r="L79" s="2">
        <v>0</v>
      </c>
      <c r="M79" s="5">
        <v>1</v>
      </c>
      <c r="N79" s="2">
        <v>0</v>
      </c>
      <c r="O79" s="2">
        <v>0</v>
      </c>
      <c r="P79" s="2">
        <v>0</v>
      </c>
      <c r="Q79" s="2">
        <v>0</v>
      </c>
      <c r="R79" s="5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ht="45" x14ac:dyDescent="0.25">
      <c r="A80" s="2">
        <v>79</v>
      </c>
      <c r="B80" s="5">
        <v>0.10106382978723399</v>
      </c>
      <c r="C80" s="5">
        <v>5.4216867469879519E-2</v>
      </c>
      <c r="D80" s="5">
        <v>2E-3</v>
      </c>
      <c r="E80" s="5">
        <v>3.5703245749613602E-2</v>
      </c>
      <c r="F80" s="2" t="s">
        <v>163</v>
      </c>
      <c r="G80" s="2" t="s">
        <v>164</v>
      </c>
      <c r="H80" s="2" t="s">
        <v>2683</v>
      </c>
      <c r="I80" s="2" t="s">
        <v>2692</v>
      </c>
      <c r="J80" s="2">
        <v>0</v>
      </c>
      <c r="K80" s="2">
        <v>0</v>
      </c>
      <c r="L80" s="2">
        <v>0</v>
      </c>
      <c r="M80" s="5">
        <v>1</v>
      </c>
      <c r="N80" s="2">
        <v>0</v>
      </c>
      <c r="O80" s="2">
        <v>0</v>
      </c>
      <c r="P80" s="2">
        <v>0</v>
      </c>
      <c r="Q80" s="2">
        <v>0</v>
      </c>
      <c r="R80" s="5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ht="45" x14ac:dyDescent="0.25">
      <c r="A81" s="2">
        <v>80</v>
      </c>
      <c r="B81" s="5">
        <v>3.1914893617021267E-2</v>
      </c>
      <c r="C81" s="5">
        <v>1.566265060240964E-2</v>
      </c>
      <c r="D81" s="5">
        <v>6.9999999999999993E-3</v>
      </c>
      <c r="E81" s="5">
        <v>8.9644513137557957E-3</v>
      </c>
      <c r="F81" s="2" t="s">
        <v>165</v>
      </c>
      <c r="G81" s="2" t="s">
        <v>166</v>
      </c>
      <c r="H81" s="2" t="s">
        <v>2683</v>
      </c>
      <c r="I81" s="2" t="s">
        <v>2685</v>
      </c>
      <c r="J81" s="2">
        <v>0</v>
      </c>
      <c r="K81" s="2">
        <v>0</v>
      </c>
      <c r="L81" s="2">
        <v>0</v>
      </c>
      <c r="M81" s="5">
        <v>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5">
        <v>1</v>
      </c>
      <c r="Y81" s="2">
        <v>0</v>
      </c>
      <c r="Z81" s="2">
        <v>0</v>
      </c>
      <c r="AA81" s="2">
        <v>0</v>
      </c>
      <c r="AB81" s="2">
        <v>0</v>
      </c>
    </row>
    <row r="82" spans="1:28" ht="45" x14ac:dyDescent="0.25">
      <c r="A82" s="2">
        <v>81</v>
      </c>
      <c r="B82" s="5">
        <v>5.4255319148936172E-2</v>
      </c>
      <c r="C82" s="5">
        <v>5.5421686746987948E-2</v>
      </c>
      <c r="D82" s="5">
        <v>5.0000000000000001E-3</v>
      </c>
      <c r="E82" s="5">
        <v>1.5455950540958271E-2</v>
      </c>
      <c r="F82" s="2" t="s">
        <v>167</v>
      </c>
      <c r="G82" s="2" t="s">
        <v>168</v>
      </c>
      <c r="H82" s="2" t="s">
        <v>2683</v>
      </c>
      <c r="I82" s="2" t="s">
        <v>2685</v>
      </c>
      <c r="J82" s="2">
        <v>0</v>
      </c>
      <c r="K82" s="2">
        <v>0</v>
      </c>
      <c r="L82" s="2">
        <v>0</v>
      </c>
      <c r="M82" s="5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5">
        <v>1</v>
      </c>
      <c r="Y82" s="2">
        <v>0</v>
      </c>
      <c r="Z82" s="2">
        <v>0</v>
      </c>
      <c r="AA82" s="2">
        <v>0</v>
      </c>
      <c r="AB82" s="2">
        <v>0</v>
      </c>
    </row>
    <row r="83" spans="1:28" ht="45" x14ac:dyDescent="0.25">
      <c r="A83" s="2">
        <v>82</v>
      </c>
      <c r="B83" s="5">
        <v>4.3617021276595752E-2</v>
      </c>
      <c r="C83" s="5">
        <v>2.6506024096385541E-2</v>
      </c>
      <c r="D83" s="5">
        <v>8.0000000000000002E-3</v>
      </c>
      <c r="E83" s="5">
        <v>9.7372488408037083E-3</v>
      </c>
      <c r="F83" s="2" t="s">
        <v>169</v>
      </c>
      <c r="G83" s="2" t="s">
        <v>170</v>
      </c>
      <c r="H83" s="2" t="s">
        <v>2683</v>
      </c>
      <c r="I83" s="2" t="s">
        <v>2685</v>
      </c>
      <c r="J83" s="2">
        <v>0</v>
      </c>
      <c r="K83" s="2">
        <v>0</v>
      </c>
      <c r="L83" s="2">
        <v>0</v>
      </c>
      <c r="M83" s="5">
        <v>1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5">
        <v>1</v>
      </c>
      <c r="Y83" s="2">
        <v>0</v>
      </c>
      <c r="Z83" s="2">
        <v>0</v>
      </c>
      <c r="AA83" s="2">
        <v>0</v>
      </c>
      <c r="AB83" s="2">
        <v>0</v>
      </c>
    </row>
    <row r="84" spans="1:28" ht="45" x14ac:dyDescent="0.25">
      <c r="A84" s="2">
        <v>83</v>
      </c>
      <c r="B84" s="5">
        <v>2.4468085106382979E-2</v>
      </c>
      <c r="C84" s="5">
        <v>1.445783132530121E-2</v>
      </c>
      <c r="D84" s="5">
        <v>6.0000000000000001E-3</v>
      </c>
      <c r="E84" s="5">
        <v>5.7187017001545598E-3</v>
      </c>
      <c r="F84" s="2" t="s">
        <v>171</v>
      </c>
      <c r="G84" s="2" t="s">
        <v>172</v>
      </c>
      <c r="H84" s="2" t="s">
        <v>2683</v>
      </c>
      <c r="I84" s="2" t="s">
        <v>2685</v>
      </c>
      <c r="J84" s="2">
        <v>0</v>
      </c>
      <c r="K84" s="2">
        <v>0</v>
      </c>
      <c r="L84" s="2">
        <v>0</v>
      </c>
      <c r="M84" s="5">
        <v>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5">
        <v>1</v>
      </c>
      <c r="Y84" s="2">
        <v>0</v>
      </c>
      <c r="Z84" s="2">
        <v>0</v>
      </c>
      <c r="AA84" s="2">
        <v>0</v>
      </c>
      <c r="AB84" s="2">
        <v>0</v>
      </c>
    </row>
    <row r="85" spans="1:28" ht="30" x14ac:dyDescent="0.25">
      <c r="A85" s="2">
        <v>84</v>
      </c>
      <c r="B85" s="5">
        <v>3.8297872340425532E-2</v>
      </c>
      <c r="C85" s="5">
        <v>4.2168674698795178E-2</v>
      </c>
      <c r="D85" s="5">
        <v>5.0000000000000001E-3</v>
      </c>
      <c r="E85" s="5">
        <v>1.004636785162288E-2</v>
      </c>
      <c r="F85" s="2" t="s">
        <v>173</v>
      </c>
      <c r="G85" s="2" t="s">
        <v>174</v>
      </c>
      <c r="H85" s="2" t="s">
        <v>2683</v>
      </c>
      <c r="I85" s="2" t="s">
        <v>2685</v>
      </c>
      <c r="J85" s="2">
        <v>0</v>
      </c>
      <c r="K85" s="2">
        <v>0</v>
      </c>
      <c r="L85" s="2">
        <v>0</v>
      </c>
      <c r="M85" s="5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5">
        <v>1</v>
      </c>
      <c r="Y85" s="2">
        <v>0</v>
      </c>
      <c r="Z85" s="2">
        <v>0</v>
      </c>
      <c r="AA85" s="2">
        <v>0</v>
      </c>
      <c r="AB85" s="2">
        <v>0</v>
      </c>
    </row>
    <row r="86" spans="1:28" ht="45" x14ac:dyDescent="0.25">
      <c r="A86" s="2">
        <v>85</v>
      </c>
      <c r="B86" s="5">
        <v>0.1085106382978723</v>
      </c>
      <c r="C86" s="5">
        <v>4.457831325301205E-2</v>
      </c>
      <c r="D86" s="5">
        <v>6.7000000000000004E-2</v>
      </c>
      <c r="E86" s="5">
        <v>1.066460587326121E-2</v>
      </c>
      <c r="F86" s="2" t="s">
        <v>175</v>
      </c>
      <c r="G86" s="2" t="s">
        <v>176</v>
      </c>
      <c r="H86" s="2" t="s">
        <v>2683</v>
      </c>
      <c r="I86" s="2" t="s">
        <v>2685</v>
      </c>
      <c r="J86" s="2">
        <v>0</v>
      </c>
      <c r="K86" s="2">
        <v>0</v>
      </c>
      <c r="L86" s="2">
        <v>0</v>
      </c>
      <c r="M86" s="5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5">
        <v>1</v>
      </c>
      <c r="Y86" s="2">
        <v>0</v>
      </c>
      <c r="Z86" s="2">
        <v>0</v>
      </c>
      <c r="AA86" s="2">
        <v>0</v>
      </c>
      <c r="AB86" s="2">
        <v>0</v>
      </c>
    </row>
    <row r="87" spans="1:28" ht="60" x14ac:dyDescent="0.25">
      <c r="A87" s="2">
        <v>86</v>
      </c>
      <c r="B87" s="5">
        <v>5.1063829787234047E-2</v>
      </c>
      <c r="C87" s="5">
        <v>1.6867469879518069E-2</v>
      </c>
      <c r="D87" s="5">
        <v>4.2000000000000003E-2</v>
      </c>
      <c r="E87" s="5">
        <v>4.0185471406491502E-3</v>
      </c>
      <c r="F87" s="2" t="s">
        <v>177</v>
      </c>
      <c r="G87" s="2" t="s">
        <v>178</v>
      </c>
      <c r="H87" s="2" t="s">
        <v>2683</v>
      </c>
      <c r="I87" s="2" t="s">
        <v>2685</v>
      </c>
      <c r="J87" s="2">
        <v>0</v>
      </c>
      <c r="K87" s="2">
        <v>0</v>
      </c>
      <c r="L87" s="2">
        <v>0</v>
      </c>
      <c r="M87" s="5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5">
        <v>1</v>
      </c>
      <c r="Y87" s="2">
        <v>0</v>
      </c>
      <c r="Z87" s="2">
        <v>0</v>
      </c>
      <c r="AA87" s="2">
        <v>0</v>
      </c>
      <c r="AB87" s="2">
        <v>0</v>
      </c>
    </row>
    <row r="88" spans="1:28" ht="45" x14ac:dyDescent="0.25">
      <c r="A88" s="2">
        <v>87</v>
      </c>
      <c r="B88" s="5">
        <v>0.34680851063829787</v>
      </c>
      <c r="C88" s="5">
        <v>0.19277108433734941</v>
      </c>
      <c r="D88" s="5">
        <v>0.28599999999999998</v>
      </c>
      <c r="E88" s="2">
        <v>0</v>
      </c>
      <c r="F88" s="2" t="s">
        <v>179</v>
      </c>
      <c r="G88" s="2" t="s">
        <v>180</v>
      </c>
      <c r="H88" s="2" t="s">
        <v>2688</v>
      </c>
      <c r="I88" s="2" t="s">
        <v>2689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5">
        <v>1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5">
        <v>1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ht="30" x14ac:dyDescent="0.25">
      <c r="A89" s="2">
        <v>88</v>
      </c>
      <c r="B89" s="5">
        <v>0.32234042553191489</v>
      </c>
      <c r="C89" s="5">
        <v>0.136144578313253</v>
      </c>
      <c r="D89" s="5">
        <v>0.27</v>
      </c>
      <c r="E89" s="5">
        <v>5.7187017001545598E-3</v>
      </c>
      <c r="F89" s="2" t="s">
        <v>181</v>
      </c>
      <c r="G89" s="2" t="s">
        <v>182</v>
      </c>
      <c r="H89" s="2" t="s">
        <v>2688</v>
      </c>
      <c r="I89" s="2" t="s">
        <v>2689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5">
        <v>1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5">
        <v>1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</row>
    <row r="90" spans="1:28" ht="60" x14ac:dyDescent="0.25">
      <c r="A90" s="2">
        <v>89</v>
      </c>
      <c r="B90" s="5">
        <v>0.31914893617021278</v>
      </c>
      <c r="C90" s="5">
        <v>0.28915662650602408</v>
      </c>
      <c r="D90" s="5">
        <v>0.20699999999999999</v>
      </c>
      <c r="E90" s="5">
        <v>6.955177743431221E-3</v>
      </c>
      <c r="F90" s="2" t="s">
        <v>183</v>
      </c>
      <c r="G90" s="2" t="s">
        <v>184</v>
      </c>
      <c r="H90" s="2" t="s">
        <v>2684</v>
      </c>
      <c r="I90" s="2" t="s">
        <v>2689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5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5">
        <v>1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</row>
    <row r="91" spans="1:28" ht="30" x14ac:dyDescent="0.25">
      <c r="A91" s="2">
        <v>90</v>
      </c>
      <c r="B91" s="5">
        <v>6.9148936170212769E-2</v>
      </c>
      <c r="C91" s="5">
        <v>1.3253012048192771E-2</v>
      </c>
      <c r="D91" s="5">
        <v>5.1999999999999998E-2</v>
      </c>
      <c r="E91" s="5">
        <v>5.4095826893353939E-3</v>
      </c>
      <c r="F91" s="2" t="s">
        <v>185</v>
      </c>
      <c r="G91" s="2" t="s">
        <v>186</v>
      </c>
      <c r="H91" s="2" t="s">
        <v>2684</v>
      </c>
      <c r="I91" s="2" t="s">
        <v>2682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5">
        <v>1</v>
      </c>
      <c r="Q91" s="2">
        <v>0</v>
      </c>
      <c r="R91" s="2">
        <v>0</v>
      </c>
      <c r="S91" s="2">
        <v>0</v>
      </c>
      <c r="T91" s="2">
        <v>0</v>
      </c>
      <c r="U91" s="5">
        <v>1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 spans="1:28" ht="30" x14ac:dyDescent="0.25">
      <c r="A92" s="2">
        <v>91</v>
      </c>
      <c r="B92" s="5">
        <v>0.27446808510638299</v>
      </c>
      <c r="C92" s="5">
        <v>0.127710843373494</v>
      </c>
      <c r="D92" s="5">
        <v>9.5000000000000001E-2</v>
      </c>
      <c r="E92" s="5">
        <v>5.0231839258114371E-2</v>
      </c>
      <c r="F92" s="2" t="s">
        <v>187</v>
      </c>
      <c r="G92" s="2" t="s">
        <v>188</v>
      </c>
      <c r="H92" s="2" t="s">
        <v>2688</v>
      </c>
      <c r="I92" s="2" t="s">
        <v>2682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5">
        <v>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5">
        <v>1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45" x14ac:dyDescent="0.25">
      <c r="A93" s="2">
        <v>92</v>
      </c>
      <c r="B93" s="5">
        <v>0.16063829787234041</v>
      </c>
      <c r="C93" s="5">
        <v>0.10361445783132529</v>
      </c>
      <c r="D93" s="5">
        <v>3.1E-2</v>
      </c>
      <c r="E93" s="5">
        <v>3.4466769706336942E-2</v>
      </c>
      <c r="F93" s="2" t="s">
        <v>189</v>
      </c>
      <c r="G93" s="2" t="s">
        <v>190</v>
      </c>
      <c r="H93" s="2" t="s">
        <v>2688</v>
      </c>
      <c r="I93" s="2" t="s">
        <v>2682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5">
        <v>1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5">
        <v>1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 ht="45" x14ac:dyDescent="0.25">
      <c r="A94" s="2">
        <v>93</v>
      </c>
      <c r="B94" s="5">
        <v>0.1404255319148936</v>
      </c>
      <c r="C94" s="5">
        <v>0.1180722891566265</v>
      </c>
      <c r="D94" s="5">
        <v>1.0999999999999999E-2</v>
      </c>
      <c r="E94" s="5">
        <v>3.1993817619783607E-2</v>
      </c>
      <c r="F94" s="2" t="s">
        <v>191</v>
      </c>
      <c r="G94" s="2" t="s">
        <v>192</v>
      </c>
      <c r="H94" s="2" t="s">
        <v>2688</v>
      </c>
      <c r="I94" s="2" t="s">
        <v>2682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5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5">
        <v>1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</row>
    <row r="95" spans="1:28" ht="60" x14ac:dyDescent="0.25">
      <c r="A95" s="2">
        <v>94</v>
      </c>
      <c r="B95" s="5">
        <v>0.12340425531914891</v>
      </c>
      <c r="C95" s="5">
        <v>0.1433734939759036</v>
      </c>
      <c r="D95" s="5">
        <v>4.9000000000000002E-2</v>
      </c>
      <c r="E95" s="5">
        <v>9.4281298299845433E-3</v>
      </c>
      <c r="F95" s="2" t="s">
        <v>193</v>
      </c>
      <c r="G95" s="2" t="s">
        <v>194</v>
      </c>
      <c r="H95" s="2" t="s">
        <v>2681</v>
      </c>
      <c r="I95" s="2" t="s">
        <v>2682</v>
      </c>
      <c r="J95" s="2">
        <v>0</v>
      </c>
      <c r="K95" s="2">
        <v>0</v>
      </c>
      <c r="L95" s="2">
        <v>0</v>
      </c>
      <c r="M95" s="2">
        <v>0</v>
      </c>
      <c r="N95" s="5">
        <v>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5">
        <v>1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</row>
    <row r="96" spans="1:28" ht="45" x14ac:dyDescent="0.25">
      <c r="A96" s="2">
        <v>95</v>
      </c>
      <c r="B96" s="5">
        <v>8.2978723404255314E-2</v>
      </c>
      <c r="C96" s="5">
        <v>0.13734939759036149</v>
      </c>
      <c r="D96" s="5">
        <v>0.02</v>
      </c>
      <c r="E96" s="5">
        <v>5.5641421947449756E-3</v>
      </c>
      <c r="F96" s="2" t="s">
        <v>195</v>
      </c>
      <c r="G96" s="2" t="s">
        <v>196</v>
      </c>
      <c r="H96" s="2" t="s">
        <v>2688</v>
      </c>
      <c r="I96" s="2" t="s">
        <v>2682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5">
        <v>1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5">
        <v>1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 ht="45" x14ac:dyDescent="0.25">
      <c r="A97" s="2">
        <v>96</v>
      </c>
      <c r="B97" s="5">
        <v>0.13936170212765961</v>
      </c>
      <c r="C97" s="5">
        <v>0.2433734939759036</v>
      </c>
      <c r="D97" s="5">
        <v>4.2999999999999997E-2</v>
      </c>
      <c r="E97" s="5">
        <v>4.3276661514683153E-3</v>
      </c>
      <c r="F97" s="2" t="s">
        <v>197</v>
      </c>
      <c r="G97" s="2" t="s">
        <v>198</v>
      </c>
      <c r="H97" s="2" t="s">
        <v>2688</v>
      </c>
      <c r="I97" s="2" t="s">
        <v>2689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5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5">
        <v>1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 ht="90" x14ac:dyDescent="0.25">
      <c r="A98" s="2">
        <v>97</v>
      </c>
      <c r="B98" s="5">
        <v>3.8297872340425532E-2</v>
      </c>
      <c r="C98" s="5">
        <v>4.8192771084337354E-3</v>
      </c>
      <c r="D98" s="5">
        <v>4.0000000000000001E-3</v>
      </c>
      <c r="E98" s="5">
        <v>1.360123647604328E-2</v>
      </c>
      <c r="F98" s="2" t="s">
        <v>199</v>
      </c>
      <c r="G98" s="2" t="s">
        <v>200</v>
      </c>
      <c r="H98" s="2" t="s">
        <v>2684</v>
      </c>
      <c r="I98" s="2" t="s">
        <v>2686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5">
        <v>1</v>
      </c>
      <c r="Q98" s="5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 ht="45" x14ac:dyDescent="0.25">
      <c r="A99" s="2">
        <v>98</v>
      </c>
      <c r="B99" s="5">
        <v>0.1542553191489362</v>
      </c>
      <c r="C99" s="5">
        <v>1.445783132530121E-2</v>
      </c>
      <c r="D99" s="5">
        <v>4.0000000000000001E-3</v>
      </c>
      <c r="E99" s="5">
        <v>5.2859350850077293E-2</v>
      </c>
      <c r="F99" s="2" t="s">
        <v>201</v>
      </c>
      <c r="G99" s="2" t="s">
        <v>202</v>
      </c>
      <c r="H99" s="2" t="s">
        <v>2683</v>
      </c>
      <c r="I99" s="2" t="s">
        <v>2690</v>
      </c>
      <c r="J99" s="2">
        <v>0</v>
      </c>
      <c r="K99" s="2">
        <v>0</v>
      </c>
      <c r="L99" s="2">
        <v>0</v>
      </c>
      <c r="M99" s="5">
        <v>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5">
        <v>1</v>
      </c>
    </row>
    <row r="100" spans="1:28" ht="45" x14ac:dyDescent="0.25">
      <c r="A100" s="2">
        <v>99</v>
      </c>
      <c r="B100" s="5">
        <v>0.44361702127659569</v>
      </c>
      <c r="C100" s="5">
        <v>0.31204819277108431</v>
      </c>
      <c r="D100" s="5">
        <v>0.19400000000000001</v>
      </c>
      <c r="E100" s="5">
        <v>4.945904173106646E-2</v>
      </c>
      <c r="F100" s="2" t="s">
        <v>203</v>
      </c>
      <c r="G100" s="2" t="s">
        <v>204</v>
      </c>
      <c r="H100" s="2" t="s">
        <v>2684</v>
      </c>
      <c r="I100" s="2" t="s">
        <v>2682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5">
        <v>1</v>
      </c>
      <c r="Q100" s="2">
        <v>0</v>
      </c>
      <c r="R100" s="2">
        <v>0</v>
      </c>
      <c r="S100" s="2">
        <v>0</v>
      </c>
      <c r="T100" s="2">
        <v>0</v>
      </c>
      <c r="U100" s="5">
        <v>1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ht="90" x14ac:dyDescent="0.25">
      <c r="A101" s="2">
        <v>100</v>
      </c>
      <c r="B101" s="5">
        <v>7.4468085106382975E-2</v>
      </c>
      <c r="C101" s="5">
        <v>0.17590361445783129</v>
      </c>
      <c r="D101" s="5">
        <v>8.0000000000000002E-3</v>
      </c>
      <c r="E101" s="5">
        <v>1.5455950540958271E-3</v>
      </c>
      <c r="F101" s="2" t="s">
        <v>205</v>
      </c>
      <c r="G101" s="2" t="s">
        <v>206</v>
      </c>
      <c r="H101" s="2" t="s">
        <v>2681</v>
      </c>
      <c r="I101" s="2" t="s">
        <v>2682</v>
      </c>
      <c r="J101" s="2">
        <v>0</v>
      </c>
      <c r="K101" s="2">
        <v>0</v>
      </c>
      <c r="L101" s="2">
        <v>0</v>
      </c>
      <c r="M101" s="2">
        <v>0</v>
      </c>
      <c r="N101" s="5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5">
        <v>1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ht="30" x14ac:dyDescent="0.25">
      <c r="A102" s="2">
        <v>101</v>
      </c>
      <c r="B102" s="5">
        <v>9.8936170212765961E-2</v>
      </c>
      <c r="C102" s="5">
        <v>0.1542168674698795</v>
      </c>
      <c r="D102" s="5">
        <v>1.4999999999999999E-2</v>
      </c>
      <c r="E102" s="5">
        <v>9.4281298299845433E-3</v>
      </c>
      <c r="F102" s="2" t="s">
        <v>207</v>
      </c>
      <c r="G102" s="2" t="s">
        <v>208</v>
      </c>
      <c r="H102" s="2" t="s">
        <v>2681</v>
      </c>
      <c r="I102" s="2" t="s">
        <v>2682</v>
      </c>
      <c r="J102" s="2">
        <v>0</v>
      </c>
      <c r="K102" s="2">
        <v>0</v>
      </c>
      <c r="L102" s="2">
        <v>0</v>
      </c>
      <c r="M102" s="2">
        <v>0</v>
      </c>
      <c r="N102" s="5">
        <v>1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5">
        <v>1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 ht="45" x14ac:dyDescent="0.25">
      <c r="A103" s="2">
        <v>102</v>
      </c>
      <c r="B103" s="5">
        <v>5.8510638297872342E-2</v>
      </c>
      <c r="C103" s="5">
        <v>1.6867469879518069E-2</v>
      </c>
      <c r="D103" s="5">
        <v>2E-3</v>
      </c>
      <c r="E103" s="5">
        <v>1.9783616692426589E-2</v>
      </c>
      <c r="F103" s="2" t="s">
        <v>209</v>
      </c>
      <c r="G103" s="2" t="s">
        <v>210</v>
      </c>
      <c r="H103" s="2" t="s">
        <v>2684</v>
      </c>
      <c r="I103" s="2" t="s">
        <v>2690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5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5">
        <v>1</v>
      </c>
    </row>
    <row r="104" spans="1:28" ht="30" x14ac:dyDescent="0.25">
      <c r="A104" s="2">
        <v>103</v>
      </c>
      <c r="B104" s="5">
        <v>0.1042553191489362</v>
      </c>
      <c r="C104" s="5">
        <v>1.9277108433734941E-2</v>
      </c>
      <c r="D104" s="5">
        <v>6.9999999999999993E-3</v>
      </c>
      <c r="E104" s="5">
        <v>3.2302936630602783E-2</v>
      </c>
      <c r="F104" s="2" t="s">
        <v>211</v>
      </c>
      <c r="G104" s="2" t="s">
        <v>212</v>
      </c>
      <c r="H104" s="2" t="s">
        <v>2688</v>
      </c>
      <c r="I104" s="2" t="s">
        <v>2690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5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5">
        <v>1</v>
      </c>
    </row>
    <row r="105" spans="1:28" ht="30" x14ac:dyDescent="0.25">
      <c r="A105" s="2">
        <v>104</v>
      </c>
      <c r="B105" s="5">
        <v>7.5531914893617019E-2</v>
      </c>
      <c r="C105" s="5">
        <v>2.7710843373493971E-2</v>
      </c>
      <c r="D105" s="5">
        <v>3.0000000000000001E-3</v>
      </c>
      <c r="E105" s="5">
        <v>2.3802163833075731E-2</v>
      </c>
      <c r="F105" s="2" t="s">
        <v>213</v>
      </c>
      <c r="G105" s="2" t="s">
        <v>214</v>
      </c>
      <c r="H105" s="2" t="s">
        <v>2683</v>
      </c>
      <c r="I105" s="2" t="s">
        <v>2690</v>
      </c>
      <c r="J105" s="2">
        <v>0</v>
      </c>
      <c r="K105" s="2">
        <v>0</v>
      </c>
      <c r="L105" s="2">
        <v>0</v>
      </c>
      <c r="M105" s="5">
        <v>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5">
        <v>1</v>
      </c>
    </row>
    <row r="106" spans="1:28" ht="60" x14ac:dyDescent="0.25">
      <c r="A106" s="2">
        <v>105</v>
      </c>
      <c r="B106" s="5">
        <v>0.37234042553191488</v>
      </c>
      <c r="C106" s="5">
        <v>3.2530120481927723E-2</v>
      </c>
      <c r="D106" s="5">
        <v>1.0999999999999999E-2</v>
      </c>
      <c r="E106" s="5">
        <v>0.12720247295208659</v>
      </c>
      <c r="F106" s="2" t="s">
        <v>215</v>
      </c>
      <c r="G106" s="2" t="s">
        <v>216</v>
      </c>
      <c r="H106" s="2" t="s">
        <v>2688</v>
      </c>
      <c r="I106" s="2" t="s">
        <v>2691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5">
        <v>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5">
        <v>1</v>
      </c>
      <c r="Z106" s="2">
        <v>0</v>
      </c>
      <c r="AA106" s="2">
        <v>0</v>
      </c>
      <c r="AB106" s="2">
        <v>0</v>
      </c>
    </row>
    <row r="107" spans="1:28" ht="45" x14ac:dyDescent="0.25">
      <c r="A107" s="2">
        <v>106</v>
      </c>
      <c r="B107" s="5">
        <v>0.38723404255319149</v>
      </c>
      <c r="C107" s="5">
        <v>4.0963855421686748E-2</v>
      </c>
      <c r="D107" s="5">
        <v>6.9999999999999993E-3</v>
      </c>
      <c r="E107" s="5">
        <v>0.13338485316846979</v>
      </c>
      <c r="F107" s="2" t="s">
        <v>217</v>
      </c>
      <c r="G107" s="2" t="s">
        <v>218</v>
      </c>
      <c r="H107" s="2" t="s">
        <v>2688</v>
      </c>
      <c r="I107" s="2" t="s">
        <v>2691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5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5">
        <v>1</v>
      </c>
      <c r="Z107" s="2">
        <v>0</v>
      </c>
      <c r="AA107" s="2">
        <v>0</v>
      </c>
      <c r="AB107" s="2">
        <v>0</v>
      </c>
    </row>
    <row r="108" spans="1:28" ht="60" x14ac:dyDescent="0.25">
      <c r="A108" s="2">
        <v>107</v>
      </c>
      <c r="B108" s="5">
        <v>0.38297872340425532</v>
      </c>
      <c r="C108" s="5">
        <v>8.1927710843373497E-2</v>
      </c>
      <c r="D108" s="5">
        <v>6.9999999999999993E-3</v>
      </c>
      <c r="E108" s="5">
        <v>0.1219474497681607</v>
      </c>
      <c r="F108" s="2" t="s">
        <v>219</v>
      </c>
      <c r="G108" s="2" t="s">
        <v>220</v>
      </c>
      <c r="H108" s="2" t="s">
        <v>2688</v>
      </c>
      <c r="I108" s="2" t="s">
        <v>2691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5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5">
        <v>1</v>
      </c>
      <c r="Z108" s="2">
        <v>0</v>
      </c>
      <c r="AA108" s="2">
        <v>0</v>
      </c>
      <c r="AB108" s="2">
        <v>0</v>
      </c>
    </row>
    <row r="109" spans="1:28" ht="30" x14ac:dyDescent="0.25">
      <c r="A109" s="2">
        <v>108</v>
      </c>
      <c r="B109" s="5">
        <v>0.1893617021276596</v>
      </c>
      <c r="C109" s="5">
        <v>2.5301204819277109E-2</v>
      </c>
      <c r="D109" s="5">
        <v>1E-3</v>
      </c>
      <c r="E109" s="5">
        <v>6.2751159196290568E-2</v>
      </c>
      <c r="F109" s="2" t="s">
        <v>221</v>
      </c>
      <c r="G109" s="2" t="s">
        <v>222</v>
      </c>
      <c r="H109" s="2" t="s">
        <v>2683</v>
      </c>
      <c r="I109" s="2" t="s">
        <v>2691</v>
      </c>
      <c r="J109" s="2">
        <v>0</v>
      </c>
      <c r="K109" s="2">
        <v>0</v>
      </c>
      <c r="L109" s="2">
        <v>0</v>
      </c>
      <c r="M109" s="5">
        <v>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5">
        <v>1</v>
      </c>
      <c r="Z109" s="2">
        <v>0</v>
      </c>
      <c r="AA109" s="2">
        <v>0</v>
      </c>
      <c r="AB109" s="2">
        <v>0</v>
      </c>
    </row>
    <row r="110" spans="1:28" ht="45" x14ac:dyDescent="0.25">
      <c r="A110" s="2">
        <v>109</v>
      </c>
      <c r="B110" s="5">
        <v>0.37978723404255321</v>
      </c>
      <c r="C110" s="5">
        <v>0.10120481927710839</v>
      </c>
      <c r="D110" s="5">
        <v>1.7000000000000001E-2</v>
      </c>
      <c r="E110" s="5">
        <v>0.11916537867078821</v>
      </c>
      <c r="F110" s="2" t="s">
        <v>223</v>
      </c>
      <c r="G110" s="2" t="s">
        <v>224</v>
      </c>
      <c r="H110" s="2" t="s">
        <v>2688</v>
      </c>
      <c r="I110" s="2" t="s">
        <v>2691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5">
        <v>1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5">
        <v>1</v>
      </c>
      <c r="Z110" s="2">
        <v>0</v>
      </c>
      <c r="AA110" s="2">
        <v>0</v>
      </c>
      <c r="AB110" s="2">
        <v>0</v>
      </c>
    </row>
    <row r="111" spans="1:28" ht="45" x14ac:dyDescent="0.25">
      <c r="A111" s="2">
        <v>110</v>
      </c>
      <c r="B111" s="5">
        <v>0.39255319148936169</v>
      </c>
      <c r="C111" s="5">
        <v>0.1144578313253012</v>
      </c>
      <c r="D111" s="5">
        <v>1.4E-2</v>
      </c>
      <c r="E111" s="5">
        <v>0.11916537867078821</v>
      </c>
      <c r="F111" s="2" t="s">
        <v>225</v>
      </c>
      <c r="G111" s="2" t="s">
        <v>226</v>
      </c>
      <c r="H111" s="2" t="s">
        <v>2688</v>
      </c>
      <c r="I111" s="2" t="s">
        <v>2691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5">
        <v>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5">
        <v>1</v>
      </c>
      <c r="Z111" s="2">
        <v>0</v>
      </c>
      <c r="AA111" s="2">
        <v>0</v>
      </c>
      <c r="AB111" s="2">
        <v>0</v>
      </c>
    </row>
    <row r="112" spans="1:28" ht="30" x14ac:dyDescent="0.25">
      <c r="A112" s="2">
        <v>111</v>
      </c>
      <c r="B112" s="5">
        <v>0.37978723404255321</v>
      </c>
      <c r="C112" s="5">
        <v>0.10120481927710839</v>
      </c>
      <c r="D112" s="5">
        <v>1.7000000000000001E-2</v>
      </c>
      <c r="E112" s="5">
        <v>0.11916537867078821</v>
      </c>
      <c r="F112" s="2" t="s">
        <v>227</v>
      </c>
      <c r="G112" s="2" t="s">
        <v>228</v>
      </c>
      <c r="H112" s="2" t="s">
        <v>2688</v>
      </c>
      <c r="I112" s="2" t="s">
        <v>2691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5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5">
        <v>1</v>
      </c>
      <c r="Z112" s="2">
        <v>0</v>
      </c>
      <c r="AA112" s="2">
        <v>0</v>
      </c>
      <c r="AB112" s="2">
        <v>0</v>
      </c>
    </row>
    <row r="113" spans="1:28" ht="30" x14ac:dyDescent="0.25">
      <c r="A113" s="2">
        <v>112</v>
      </c>
      <c r="B113" s="5">
        <v>0.37340425531914889</v>
      </c>
      <c r="C113" s="5">
        <v>9.6385542168674704E-2</v>
      </c>
      <c r="D113" s="5">
        <v>1.2999999999999999E-2</v>
      </c>
      <c r="E113" s="5">
        <v>0.1188562596599691</v>
      </c>
      <c r="F113" s="2" t="s">
        <v>229</v>
      </c>
      <c r="G113" s="2" t="s">
        <v>230</v>
      </c>
      <c r="H113" s="2" t="s">
        <v>2688</v>
      </c>
      <c r="I113" s="2" t="s">
        <v>2691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5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5">
        <v>1</v>
      </c>
      <c r="Z113" s="2">
        <v>0</v>
      </c>
      <c r="AA113" s="2">
        <v>0</v>
      </c>
      <c r="AB113" s="2">
        <v>0</v>
      </c>
    </row>
    <row r="114" spans="1:28" ht="45" x14ac:dyDescent="0.25">
      <c r="A114" s="2">
        <v>113</v>
      </c>
      <c r="B114" s="5">
        <v>0.38085106382978717</v>
      </c>
      <c r="C114" s="5">
        <v>6.6265060240963861E-2</v>
      </c>
      <c r="D114" s="5">
        <v>1E-3</v>
      </c>
      <c r="E114" s="5">
        <v>0.12782071097372491</v>
      </c>
      <c r="F114" s="2" t="s">
        <v>231</v>
      </c>
      <c r="G114" s="2" t="s">
        <v>232</v>
      </c>
      <c r="H114" s="2" t="s">
        <v>2688</v>
      </c>
      <c r="I114" s="2" t="s">
        <v>2691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5">
        <v>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5">
        <v>1</v>
      </c>
      <c r="Z114" s="2">
        <v>0</v>
      </c>
      <c r="AA114" s="2">
        <v>0</v>
      </c>
      <c r="AB114" s="2">
        <v>0</v>
      </c>
    </row>
    <row r="115" spans="1:28" ht="45" x14ac:dyDescent="0.25">
      <c r="A115" s="2">
        <v>114</v>
      </c>
      <c r="B115" s="5">
        <v>0.32659574468085112</v>
      </c>
      <c r="C115" s="5">
        <v>5.7831325301204821E-2</v>
      </c>
      <c r="D115" s="5">
        <v>1E-3</v>
      </c>
      <c r="E115" s="5">
        <v>0.1109737248840804</v>
      </c>
      <c r="F115" s="2" t="s">
        <v>233</v>
      </c>
      <c r="G115" s="2" t="s">
        <v>234</v>
      </c>
      <c r="H115" s="2" t="s">
        <v>2688</v>
      </c>
      <c r="I115" s="2" t="s">
        <v>2691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5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5">
        <v>1</v>
      </c>
      <c r="Z115" s="2">
        <v>0</v>
      </c>
      <c r="AA115" s="2">
        <v>0</v>
      </c>
      <c r="AB115" s="2">
        <v>0</v>
      </c>
    </row>
    <row r="116" spans="1:28" ht="30" x14ac:dyDescent="0.25">
      <c r="A116" s="2">
        <v>115</v>
      </c>
      <c r="B116" s="5">
        <v>0.37872340425531908</v>
      </c>
      <c r="C116" s="5">
        <v>8.4337349397590369E-2</v>
      </c>
      <c r="D116" s="5">
        <v>6.9999999999999993E-3</v>
      </c>
      <c r="E116" s="5">
        <v>0.12055641421947449</v>
      </c>
      <c r="F116" s="2" t="s">
        <v>235</v>
      </c>
      <c r="G116" s="2" t="s">
        <v>236</v>
      </c>
      <c r="H116" s="2" t="s">
        <v>2683</v>
      </c>
      <c r="I116" s="2" t="s">
        <v>2691</v>
      </c>
      <c r="J116" s="2">
        <v>0</v>
      </c>
      <c r="K116" s="2">
        <v>0</v>
      </c>
      <c r="L116" s="2">
        <v>0</v>
      </c>
      <c r="M116" s="5">
        <v>1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5">
        <v>1</v>
      </c>
      <c r="Z116" s="2">
        <v>0</v>
      </c>
      <c r="AA116" s="2">
        <v>0</v>
      </c>
      <c r="AB116" s="2">
        <v>0</v>
      </c>
    </row>
    <row r="117" spans="1:28" ht="75" x14ac:dyDescent="0.25">
      <c r="A117" s="2">
        <v>116</v>
      </c>
      <c r="B117" s="5">
        <v>0.1925531914893617</v>
      </c>
      <c r="C117" s="5">
        <v>4.8192771084337352E-2</v>
      </c>
      <c r="D117" s="5">
        <v>1.2E-2</v>
      </c>
      <c r="E117" s="5">
        <v>5.7650695517774339E-2</v>
      </c>
      <c r="F117" s="2" t="s">
        <v>237</v>
      </c>
      <c r="G117" s="2" t="s">
        <v>238</v>
      </c>
      <c r="H117" s="2" t="s">
        <v>2683</v>
      </c>
      <c r="I117" s="2" t="s">
        <v>2691</v>
      </c>
      <c r="J117" s="2">
        <v>0</v>
      </c>
      <c r="K117" s="2">
        <v>0</v>
      </c>
      <c r="L117" s="2">
        <v>0</v>
      </c>
      <c r="M117" s="5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5">
        <v>1</v>
      </c>
      <c r="Z117" s="2">
        <v>0</v>
      </c>
      <c r="AA117" s="2">
        <v>0</v>
      </c>
      <c r="AB117" s="2">
        <v>0</v>
      </c>
    </row>
    <row r="118" spans="1:28" ht="45" x14ac:dyDescent="0.25">
      <c r="A118" s="2">
        <v>117</v>
      </c>
      <c r="B118" s="5">
        <v>0.1765957446808511</v>
      </c>
      <c r="C118" s="5">
        <v>4.5783132530120479E-2</v>
      </c>
      <c r="D118" s="5">
        <v>0.01</v>
      </c>
      <c r="E118" s="5">
        <v>5.316846986089644E-2</v>
      </c>
      <c r="F118" s="2" t="s">
        <v>239</v>
      </c>
      <c r="G118" s="2" t="s">
        <v>240</v>
      </c>
      <c r="H118" s="2" t="s">
        <v>2683</v>
      </c>
      <c r="I118" s="2" t="s">
        <v>2691</v>
      </c>
      <c r="J118" s="2">
        <v>0</v>
      </c>
      <c r="K118" s="2">
        <v>0</v>
      </c>
      <c r="L118" s="2">
        <v>0</v>
      </c>
      <c r="M118" s="5">
        <v>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5">
        <v>1</v>
      </c>
      <c r="Z118" s="2">
        <v>0</v>
      </c>
      <c r="AA118" s="2">
        <v>0</v>
      </c>
      <c r="AB118" s="2">
        <v>0</v>
      </c>
    </row>
    <row r="119" spans="1:28" ht="45" x14ac:dyDescent="0.25">
      <c r="A119" s="2">
        <v>118</v>
      </c>
      <c r="B119" s="5">
        <v>0.38297872340425532</v>
      </c>
      <c r="C119" s="5">
        <v>9.6385542168674704E-2</v>
      </c>
      <c r="D119" s="5">
        <v>2.3E-2</v>
      </c>
      <c r="E119" s="5">
        <v>0.1151468315301391</v>
      </c>
      <c r="F119" s="2" t="s">
        <v>241</v>
      </c>
      <c r="G119" s="2" t="s">
        <v>242</v>
      </c>
      <c r="H119" s="2" t="s">
        <v>2683</v>
      </c>
      <c r="I119" s="2" t="s">
        <v>2691</v>
      </c>
      <c r="J119" s="2">
        <v>0</v>
      </c>
      <c r="K119" s="2">
        <v>0</v>
      </c>
      <c r="L119" s="2">
        <v>0</v>
      </c>
      <c r="M119" s="5">
        <v>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5">
        <v>1</v>
      </c>
      <c r="Z119" s="2">
        <v>0</v>
      </c>
      <c r="AA119" s="2">
        <v>0</v>
      </c>
      <c r="AB119" s="2">
        <v>0</v>
      </c>
    </row>
    <row r="120" spans="1:28" ht="30" x14ac:dyDescent="0.25">
      <c r="A120" s="2">
        <v>119</v>
      </c>
      <c r="B120" s="5">
        <v>0.38297872340425532</v>
      </c>
      <c r="C120" s="5">
        <v>9.6385542168674704E-2</v>
      </c>
      <c r="D120" s="5">
        <v>2.3E-2</v>
      </c>
      <c r="E120" s="5">
        <v>0.1151468315301391</v>
      </c>
      <c r="F120" s="2" t="s">
        <v>243</v>
      </c>
      <c r="G120" s="2" t="s">
        <v>236</v>
      </c>
      <c r="H120" s="2" t="s">
        <v>2683</v>
      </c>
      <c r="I120" s="2" t="s">
        <v>2691</v>
      </c>
      <c r="J120" s="2">
        <v>0</v>
      </c>
      <c r="K120" s="2">
        <v>0</v>
      </c>
      <c r="L120" s="2">
        <v>0</v>
      </c>
      <c r="M120" s="5">
        <v>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5">
        <v>1</v>
      </c>
      <c r="Z120" s="2">
        <v>0</v>
      </c>
      <c r="AA120" s="2">
        <v>0</v>
      </c>
      <c r="AB120" s="2">
        <v>0</v>
      </c>
    </row>
    <row r="121" spans="1:28" ht="75" x14ac:dyDescent="0.25">
      <c r="A121" s="2">
        <v>120</v>
      </c>
      <c r="B121" s="5">
        <v>0.3851063829787234</v>
      </c>
      <c r="C121" s="5">
        <v>8.0722891566265068E-2</v>
      </c>
      <c r="D121" s="5">
        <v>6.9999999999999993E-3</v>
      </c>
      <c r="E121" s="5">
        <v>0.1227202472952087</v>
      </c>
      <c r="F121" s="2" t="s">
        <v>244</v>
      </c>
      <c r="G121" s="2" t="s">
        <v>245</v>
      </c>
      <c r="H121" s="2" t="s">
        <v>2683</v>
      </c>
      <c r="I121" s="2" t="s">
        <v>2691</v>
      </c>
      <c r="J121" s="2">
        <v>0</v>
      </c>
      <c r="K121" s="2">
        <v>0</v>
      </c>
      <c r="L121" s="2">
        <v>0</v>
      </c>
      <c r="M121" s="5">
        <v>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5">
        <v>1</v>
      </c>
      <c r="Z121" s="2">
        <v>0</v>
      </c>
      <c r="AA121" s="2">
        <v>0</v>
      </c>
      <c r="AB121" s="2">
        <v>0</v>
      </c>
    </row>
    <row r="122" spans="1:28" ht="75" x14ac:dyDescent="0.25">
      <c r="A122" s="2">
        <v>121</v>
      </c>
      <c r="B122" s="5">
        <v>0.17340425531914891</v>
      </c>
      <c r="C122" s="5">
        <v>3.6144578313253017E-2</v>
      </c>
      <c r="D122" s="5">
        <v>4.0000000000000001E-3</v>
      </c>
      <c r="E122" s="5">
        <v>5.5177743431221032E-2</v>
      </c>
      <c r="F122" s="2" t="s">
        <v>246</v>
      </c>
      <c r="G122" s="2" t="s">
        <v>247</v>
      </c>
      <c r="H122" s="2" t="s">
        <v>2683</v>
      </c>
      <c r="I122" s="2" t="s">
        <v>2691</v>
      </c>
      <c r="J122" s="2">
        <v>0</v>
      </c>
      <c r="K122" s="2">
        <v>0</v>
      </c>
      <c r="L122" s="2">
        <v>0</v>
      </c>
      <c r="M122" s="5">
        <v>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5">
        <v>1</v>
      </c>
      <c r="Z122" s="2">
        <v>0</v>
      </c>
      <c r="AA122" s="2">
        <v>0</v>
      </c>
      <c r="AB122" s="2">
        <v>0</v>
      </c>
    </row>
    <row r="123" spans="1:28" ht="30" x14ac:dyDescent="0.25">
      <c r="A123" s="2">
        <v>122</v>
      </c>
      <c r="B123" s="5">
        <v>0.18297872340425531</v>
      </c>
      <c r="C123" s="5">
        <v>3.6144578313253017E-2</v>
      </c>
      <c r="D123" s="5">
        <v>5.0000000000000001E-3</v>
      </c>
      <c r="E123" s="5">
        <v>5.7959814528593508E-2</v>
      </c>
      <c r="F123" s="2" t="s">
        <v>248</v>
      </c>
      <c r="G123" s="2" t="s">
        <v>249</v>
      </c>
      <c r="H123" s="2" t="s">
        <v>2683</v>
      </c>
      <c r="I123" s="2" t="s">
        <v>2691</v>
      </c>
      <c r="J123" s="2">
        <v>0</v>
      </c>
      <c r="K123" s="2">
        <v>0</v>
      </c>
      <c r="L123" s="2">
        <v>0</v>
      </c>
      <c r="M123" s="5">
        <v>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5">
        <v>1</v>
      </c>
      <c r="Z123" s="2">
        <v>0</v>
      </c>
      <c r="AA123" s="2">
        <v>0</v>
      </c>
      <c r="AB123" s="2">
        <v>0</v>
      </c>
    </row>
    <row r="124" spans="1:28" ht="45" x14ac:dyDescent="0.25">
      <c r="A124" s="2">
        <v>123</v>
      </c>
      <c r="B124" s="5">
        <v>0.38404255319148939</v>
      </c>
      <c r="C124" s="5">
        <v>8.91566265060241E-2</v>
      </c>
      <c r="D124" s="5">
        <v>8.0000000000000002E-3</v>
      </c>
      <c r="E124" s="5">
        <v>0.1211746522411128</v>
      </c>
      <c r="F124" s="2" t="s">
        <v>250</v>
      </c>
      <c r="G124" s="2" t="s">
        <v>251</v>
      </c>
      <c r="H124" s="2" t="s">
        <v>2683</v>
      </c>
      <c r="I124" s="2" t="s">
        <v>2691</v>
      </c>
      <c r="J124" s="2">
        <v>0</v>
      </c>
      <c r="K124" s="2">
        <v>0</v>
      </c>
      <c r="L124" s="2">
        <v>0</v>
      </c>
      <c r="M124" s="5">
        <v>1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5">
        <v>1</v>
      </c>
      <c r="Z124" s="2">
        <v>0</v>
      </c>
      <c r="AA124" s="2">
        <v>0</v>
      </c>
      <c r="AB124" s="2">
        <v>0</v>
      </c>
    </row>
    <row r="125" spans="1:28" ht="30" x14ac:dyDescent="0.25">
      <c r="A125" s="2">
        <v>124</v>
      </c>
      <c r="B125" s="5">
        <v>0.38404255319148939</v>
      </c>
      <c r="C125" s="5">
        <v>8.91566265060241E-2</v>
      </c>
      <c r="D125" s="5">
        <v>8.0000000000000002E-3</v>
      </c>
      <c r="E125" s="5">
        <v>0.1211746522411128</v>
      </c>
      <c r="F125" s="2" t="s">
        <v>252</v>
      </c>
      <c r="G125" s="2" t="s">
        <v>253</v>
      </c>
      <c r="H125" s="2" t="s">
        <v>2683</v>
      </c>
      <c r="I125" s="2" t="s">
        <v>2691</v>
      </c>
      <c r="J125" s="2">
        <v>0</v>
      </c>
      <c r="K125" s="2">
        <v>0</v>
      </c>
      <c r="L125" s="2">
        <v>0</v>
      </c>
      <c r="M125" s="5">
        <v>1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5">
        <v>1</v>
      </c>
      <c r="Z125" s="2">
        <v>0</v>
      </c>
      <c r="AA125" s="2">
        <v>0</v>
      </c>
      <c r="AB125" s="2">
        <v>0</v>
      </c>
    </row>
    <row r="126" spans="1:28" ht="30" x14ac:dyDescent="0.25">
      <c r="A126" s="2">
        <v>125</v>
      </c>
      <c r="B126" s="5">
        <v>0.4</v>
      </c>
      <c r="C126" s="5">
        <v>9.036144578313253E-2</v>
      </c>
      <c r="D126" s="5">
        <v>3.7999999999999999E-2</v>
      </c>
      <c r="E126" s="5">
        <v>0.12055641421947449</v>
      </c>
      <c r="F126" s="2" t="s">
        <v>254</v>
      </c>
      <c r="G126" s="2" t="s">
        <v>255</v>
      </c>
      <c r="H126" s="2" t="s">
        <v>2688</v>
      </c>
      <c r="I126" s="2" t="s">
        <v>2692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5">
        <v>1</v>
      </c>
      <c r="P126" s="2">
        <v>0</v>
      </c>
      <c r="Q126" s="2">
        <v>0</v>
      </c>
      <c r="R126" s="5">
        <v>1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</row>
    <row r="127" spans="1:28" ht="30" x14ac:dyDescent="0.25">
      <c r="A127" s="2">
        <v>126</v>
      </c>
      <c r="B127" s="5">
        <v>0.36063829787234042</v>
      </c>
      <c r="C127" s="5">
        <v>9.2771084337349402E-2</v>
      </c>
      <c r="D127" s="5">
        <v>4.3999999999999997E-2</v>
      </c>
      <c r="E127" s="5">
        <v>0.1128284389489954</v>
      </c>
      <c r="F127" s="2" t="s">
        <v>256</v>
      </c>
      <c r="G127" s="2" t="s">
        <v>257</v>
      </c>
      <c r="H127" s="2" t="s">
        <v>2688</v>
      </c>
      <c r="I127" s="2" t="s">
        <v>2691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5">
        <v>1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5">
        <v>1</v>
      </c>
      <c r="Z127" s="2">
        <v>0</v>
      </c>
      <c r="AA127" s="2">
        <v>0</v>
      </c>
      <c r="AB127" s="2">
        <v>0</v>
      </c>
    </row>
    <row r="128" spans="1:28" ht="30" x14ac:dyDescent="0.25">
      <c r="A128" s="2">
        <v>127</v>
      </c>
      <c r="B128" s="5">
        <v>0.3851063829787234</v>
      </c>
      <c r="C128" s="5">
        <v>9.2771084337349402E-2</v>
      </c>
      <c r="D128" s="5">
        <v>4.3999999999999997E-2</v>
      </c>
      <c r="E128" s="5">
        <v>0.1128284389489954</v>
      </c>
      <c r="F128" s="2" t="s">
        <v>258</v>
      </c>
      <c r="G128" s="2" t="s">
        <v>259</v>
      </c>
      <c r="H128" s="2" t="s">
        <v>2688</v>
      </c>
      <c r="I128" s="2" t="s">
        <v>2691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5">
        <v>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5">
        <v>1</v>
      </c>
      <c r="Z128" s="2">
        <v>0</v>
      </c>
      <c r="AA128" s="2">
        <v>0</v>
      </c>
      <c r="AB128" s="2">
        <v>0</v>
      </c>
    </row>
    <row r="129" spans="1:28" ht="45" x14ac:dyDescent="0.25">
      <c r="A129" s="2">
        <v>128</v>
      </c>
      <c r="B129" s="5">
        <v>0.3819148936170213</v>
      </c>
      <c r="C129" s="5">
        <v>9.036144578313253E-2</v>
      </c>
      <c r="D129" s="5">
        <v>9.0000000000000011E-3</v>
      </c>
      <c r="E129" s="5">
        <v>0.1199381761978362</v>
      </c>
      <c r="F129" s="2" t="s">
        <v>260</v>
      </c>
      <c r="G129" s="2" t="s">
        <v>261</v>
      </c>
      <c r="H129" s="2" t="s">
        <v>2688</v>
      </c>
      <c r="I129" s="2" t="s">
        <v>2691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5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5">
        <v>1</v>
      </c>
      <c r="Z129" s="2">
        <v>0</v>
      </c>
      <c r="AA129" s="2">
        <v>0</v>
      </c>
      <c r="AB129" s="2">
        <v>0</v>
      </c>
    </row>
    <row r="130" spans="1:28" ht="30" x14ac:dyDescent="0.25">
      <c r="A130" s="2">
        <v>129</v>
      </c>
      <c r="B130" s="5">
        <v>0.38723404255319149</v>
      </c>
      <c r="C130" s="5">
        <v>8.1927710843373497E-2</v>
      </c>
      <c r="D130" s="5">
        <v>6.0000000000000001E-3</v>
      </c>
      <c r="E130" s="5">
        <v>0.1238021638330757</v>
      </c>
      <c r="F130" s="2" t="s">
        <v>262</v>
      </c>
      <c r="G130" s="2" t="s">
        <v>263</v>
      </c>
      <c r="H130" s="2" t="s">
        <v>2688</v>
      </c>
      <c r="I130" s="2" t="s">
        <v>2691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5">
        <v>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5">
        <v>1</v>
      </c>
      <c r="Z130" s="2">
        <v>0</v>
      </c>
      <c r="AA130" s="2">
        <v>0</v>
      </c>
      <c r="AB130" s="2">
        <v>0</v>
      </c>
    </row>
    <row r="131" spans="1:28" ht="60" x14ac:dyDescent="0.25">
      <c r="A131" s="2">
        <v>130</v>
      </c>
      <c r="B131" s="5">
        <v>0.37553191489361698</v>
      </c>
      <c r="C131" s="5">
        <v>8.1927710843373497E-2</v>
      </c>
      <c r="D131" s="5">
        <v>6.0000000000000001E-3</v>
      </c>
      <c r="E131" s="5">
        <v>0.12364760432766619</v>
      </c>
      <c r="F131" s="2" t="s">
        <v>264</v>
      </c>
      <c r="G131" s="2" t="s">
        <v>265</v>
      </c>
      <c r="H131" s="2" t="s">
        <v>2688</v>
      </c>
      <c r="I131" s="2" t="s">
        <v>2691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5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5">
        <v>1</v>
      </c>
      <c r="Z131" s="2">
        <v>0</v>
      </c>
      <c r="AA131" s="2">
        <v>0</v>
      </c>
      <c r="AB131" s="2">
        <v>0</v>
      </c>
    </row>
    <row r="132" spans="1:28" ht="30" x14ac:dyDescent="0.25">
      <c r="A132" s="2">
        <v>131</v>
      </c>
      <c r="B132" s="5">
        <v>0.35638297872340419</v>
      </c>
      <c r="C132" s="5">
        <v>8.91566265060241E-2</v>
      </c>
      <c r="D132" s="5">
        <v>1.9E-2</v>
      </c>
      <c r="E132" s="5">
        <v>0.117774343122102</v>
      </c>
      <c r="F132" s="2" t="s">
        <v>266</v>
      </c>
      <c r="G132" s="2" t="s">
        <v>267</v>
      </c>
      <c r="H132" s="2" t="s">
        <v>2688</v>
      </c>
      <c r="I132" s="2" t="s">
        <v>2691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5">
        <v>1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5">
        <v>1</v>
      </c>
      <c r="Z132" s="2">
        <v>0</v>
      </c>
      <c r="AA132" s="2">
        <v>0</v>
      </c>
      <c r="AB132" s="2">
        <v>0</v>
      </c>
    </row>
    <row r="133" spans="1:28" ht="60" x14ac:dyDescent="0.25">
      <c r="A133" s="2">
        <v>132</v>
      </c>
      <c r="B133" s="5">
        <v>0.38617021276595748</v>
      </c>
      <c r="C133" s="5">
        <v>9.1566265060240959E-2</v>
      </c>
      <c r="D133" s="5">
        <v>1.0999999999999999E-2</v>
      </c>
      <c r="E133" s="5">
        <v>0.1210200927357032</v>
      </c>
      <c r="F133" s="2" t="s">
        <v>268</v>
      </c>
      <c r="G133" s="2" t="s">
        <v>269</v>
      </c>
      <c r="H133" s="2" t="s">
        <v>2688</v>
      </c>
      <c r="I133" s="2" t="s">
        <v>2691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5">
        <v>1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5">
        <v>1</v>
      </c>
      <c r="Z133" s="2">
        <v>0</v>
      </c>
      <c r="AA133" s="2">
        <v>0</v>
      </c>
      <c r="AB133" s="2">
        <v>0</v>
      </c>
    </row>
    <row r="134" spans="1:28" ht="45" x14ac:dyDescent="0.25">
      <c r="A134" s="2">
        <v>133</v>
      </c>
      <c r="B134" s="5">
        <v>0.36595744680851072</v>
      </c>
      <c r="C134" s="5">
        <v>1.3253012048192771E-2</v>
      </c>
      <c r="D134" s="5">
        <v>2E-3</v>
      </c>
      <c r="E134" s="5">
        <v>4.3740340030911901E-2</v>
      </c>
      <c r="F134" s="2" t="s">
        <v>270</v>
      </c>
      <c r="G134" s="2" t="s">
        <v>271</v>
      </c>
      <c r="H134" s="2" t="s">
        <v>2688</v>
      </c>
      <c r="I134" s="2" t="s">
        <v>2691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5">
        <v>1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5">
        <v>1</v>
      </c>
      <c r="Z134" s="2">
        <v>0</v>
      </c>
      <c r="AA134" s="2">
        <v>0</v>
      </c>
      <c r="AB134" s="2">
        <v>0</v>
      </c>
    </row>
    <row r="135" spans="1:28" ht="30" x14ac:dyDescent="0.25">
      <c r="A135" s="2">
        <v>134</v>
      </c>
      <c r="B135" s="5">
        <v>0.37659574468085111</v>
      </c>
      <c r="C135" s="5">
        <v>9.3975903614457831E-2</v>
      </c>
      <c r="D135" s="5">
        <v>4.0000000000000001E-3</v>
      </c>
      <c r="E135" s="5">
        <v>0.12349304482225661</v>
      </c>
      <c r="F135" s="2" t="s">
        <v>272</v>
      </c>
      <c r="G135" s="2" t="s">
        <v>273</v>
      </c>
      <c r="H135" s="2" t="s">
        <v>2688</v>
      </c>
      <c r="I135" s="2" t="s">
        <v>2691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5">
        <v>1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5">
        <v>1</v>
      </c>
      <c r="Z135" s="2">
        <v>0</v>
      </c>
      <c r="AA135" s="2">
        <v>0</v>
      </c>
      <c r="AB135" s="2">
        <v>0</v>
      </c>
    </row>
    <row r="136" spans="1:28" ht="45" x14ac:dyDescent="0.25">
      <c r="A136" s="2">
        <v>135</v>
      </c>
      <c r="B136" s="5">
        <v>0.37446808510638302</v>
      </c>
      <c r="C136" s="5">
        <v>8.7951807228915671E-2</v>
      </c>
      <c r="D136" s="5">
        <v>9.0000000000000011E-3</v>
      </c>
      <c r="E136" s="5">
        <v>0.117774343122102</v>
      </c>
      <c r="F136" s="2" t="s">
        <v>274</v>
      </c>
      <c r="G136" s="2" t="s">
        <v>275</v>
      </c>
      <c r="H136" s="2" t="s">
        <v>2688</v>
      </c>
      <c r="I136" s="2" t="s">
        <v>2691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5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5">
        <v>1</v>
      </c>
      <c r="Z136" s="2">
        <v>0</v>
      </c>
      <c r="AA136" s="2">
        <v>0</v>
      </c>
      <c r="AB136" s="2">
        <v>0</v>
      </c>
    </row>
    <row r="137" spans="1:28" ht="45" x14ac:dyDescent="0.25">
      <c r="A137" s="2">
        <v>136</v>
      </c>
      <c r="B137" s="5">
        <v>0.1542553191489362</v>
      </c>
      <c r="C137" s="5">
        <v>0.19638554216867471</v>
      </c>
      <c r="D137" s="5">
        <v>7.0000000000000007E-2</v>
      </c>
      <c r="E137" s="5">
        <v>6.33693972179289E-3</v>
      </c>
      <c r="F137" s="2" t="s">
        <v>276</v>
      </c>
      <c r="G137" s="2" t="s">
        <v>277</v>
      </c>
      <c r="H137" s="2" t="s">
        <v>2683</v>
      </c>
      <c r="I137" s="2" t="s">
        <v>2682</v>
      </c>
      <c r="J137" s="2">
        <v>0</v>
      </c>
      <c r="K137" s="2">
        <v>0</v>
      </c>
      <c r="L137" s="2">
        <v>0</v>
      </c>
      <c r="M137" s="5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5">
        <v>1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ht="30" x14ac:dyDescent="0.25">
      <c r="A138" s="2">
        <v>137</v>
      </c>
      <c r="B138" s="5">
        <v>0.38297872340425532</v>
      </c>
      <c r="C138" s="5">
        <v>5.6626506024096392E-2</v>
      </c>
      <c r="D138" s="5">
        <v>1E-3</v>
      </c>
      <c r="E138" s="5">
        <v>0.12689335394126741</v>
      </c>
      <c r="F138" s="2" t="s">
        <v>278</v>
      </c>
      <c r="G138" s="2" t="s">
        <v>279</v>
      </c>
      <c r="H138" s="2" t="s">
        <v>2683</v>
      </c>
      <c r="I138" s="2" t="s">
        <v>2691</v>
      </c>
      <c r="J138" s="2">
        <v>0</v>
      </c>
      <c r="K138" s="2">
        <v>0</v>
      </c>
      <c r="L138" s="2">
        <v>0</v>
      </c>
      <c r="M138" s="5">
        <v>1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5">
        <v>1</v>
      </c>
      <c r="Z138" s="2">
        <v>0</v>
      </c>
      <c r="AA138" s="2">
        <v>0</v>
      </c>
      <c r="AB138" s="2">
        <v>0</v>
      </c>
    </row>
    <row r="139" spans="1:28" ht="60" x14ac:dyDescent="0.25">
      <c r="A139" s="2">
        <v>138</v>
      </c>
      <c r="B139" s="5">
        <v>0.1638297872340426</v>
      </c>
      <c r="C139" s="5">
        <v>3.6144578313253017E-2</v>
      </c>
      <c r="D139" s="5">
        <v>4.4999999999999998E-2</v>
      </c>
      <c r="E139" s="5">
        <v>3.9412673879443583E-2</v>
      </c>
      <c r="F139" s="2" t="s">
        <v>280</v>
      </c>
      <c r="G139" s="2" t="s">
        <v>281</v>
      </c>
      <c r="H139" s="2" t="s">
        <v>2684</v>
      </c>
      <c r="I139" s="2" t="s">
        <v>2691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5">
        <v>1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5">
        <v>1</v>
      </c>
      <c r="Z139" s="2">
        <v>0</v>
      </c>
      <c r="AA139" s="2">
        <v>0</v>
      </c>
      <c r="AB139" s="2">
        <v>0</v>
      </c>
    </row>
    <row r="140" spans="1:28" ht="45" x14ac:dyDescent="0.25">
      <c r="A140" s="2">
        <v>139</v>
      </c>
      <c r="B140" s="5">
        <v>0.40531914893617021</v>
      </c>
      <c r="C140" s="5">
        <v>7.3493975903614464E-2</v>
      </c>
      <c r="D140" s="5">
        <v>3.9E-2</v>
      </c>
      <c r="E140" s="5">
        <v>0.1241112828438949</v>
      </c>
      <c r="F140" s="2" t="s">
        <v>282</v>
      </c>
      <c r="G140" s="2" t="s">
        <v>283</v>
      </c>
      <c r="H140" s="2" t="s">
        <v>2684</v>
      </c>
      <c r="I140" s="2" t="s">
        <v>2691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5">
        <v>1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5">
        <v>1</v>
      </c>
      <c r="Z140" s="2">
        <v>0</v>
      </c>
      <c r="AA140" s="2">
        <v>0</v>
      </c>
      <c r="AB140" s="2">
        <v>0</v>
      </c>
    </row>
    <row r="141" spans="1:28" ht="45" x14ac:dyDescent="0.25">
      <c r="A141" s="2">
        <v>140</v>
      </c>
      <c r="B141" s="5">
        <v>0.37659574468085111</v>
      </c>
      <c r="C141" s="5">
        <v>6.024096385542169E-3</v>
      </c>
      <c r="D141" s="5">
        <v>3.0000000000000001E-3</v>
      </c>
      <c r="E141" s="5">
        <v>0.1350850077279753</v>
      </c>
      <c r="F141" s="2" t="s">
        <v>284</v>
      </c>
      <c r="G141" s="2" t="s">
        <v>285</v>
      </c>
      <c r="H141" s="2" t="s">
        <v>2683</v>
      </c>
      <c r="I141" s="2" t="s">
        <v>2691</v>
      </c>
      <c r="J141" s="2">
        <v>0</v>
      </c>
      <c r="K141" s="2">
        <v>0</v>
      </c>
      <c r="L141" s="2">
        <v>0</v>
      </c>
      <c r="M141" s="5">
        <v>1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5">
        <v>1</v>
      </c>
      <c r="Z141" s="2">
        <v>0</v>
      </c>
      <c r="AA141" s="2">
        <v>0</v>
      </c>
      <c r="AB141" s="2">
        <v>0</v>
      </c>
    </row>
    <row r="142" spans="1:28" ht="45" x14ac:dyDescent="0.25">
      <c r="A142" s="2">
        <v>141</v>
      </c>
      <c r="B142" s="5">
        <v>0.37021276595744679</v>
      </c>
      <c r="C142" s="5">
        <v>5.6626506024096392E-2</v>
      </c>
      <c r="D142" s="5">
        <v>1E-3</v>
      </c>
      <c r="E142" s="5">
        <v>0.12689335394126741</v>
      </c>
      <c r="F142" s="2" t="s">
        <v>286</v>
      </c>
      <c r="G142" s="2" t="s">
        <v>287</v>
      </c>
      <c r="H142" s="2" t="s">
        <v>2683</v>
      </c>
      <c r="I142" s="2" t="s">
        <v>2691</v>
      </c>
      <c r="J142" s="2">
        <v>0</v>
      </c>
      <c r="K142" s="2">
        <v>0</v>
      </c>
      <c r="L142" s="2">
        <v>0</v>
      </c>
      <c r="M142" s="5">
        <v>1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5">
        <v>1</v>
      </c>
      <c r="Z142" s="2">
        <v>0</v>
      </c>
      <c r="AA142" s="2">
        <v>0</v>
      </c>
      <c r="AB142" s="2">
        <v>0</v>
      </c>
    </row>
    <row r="143" spans="1:28" ht="60" x14ac:dyDescent="0.25">
      <c r="A143" s="2">
        <v>142</v>
      </c>
      <c r="B143" s="5">
        <v>0.59787234042553195</v>
      </c>
      <c r="C143" s="5">
        <v>0.25542168674698801</v>
      </c>
      <c r="D143" s="5">
        <v>0.49600000000000011</v>
      </c>
      <c r="E143" s="5">
        <v>3.6476043276661513E-2</v>
      </c>
      <c r="F143" s="2" t="s">
        <v>288</v>
      </c>
      <c r="G143" s="2" t="s">
        <v>289</v>
      </c>
      <c r="H143" s="2" t="s">
        <v>2688</v>
      </c>
      <c r="I143" s="2" t="s">
        <v>2690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5">
        <v>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5">
        <v>1</v>
      </c>
    </row>
    <row r="144" spans="1:28" ht="30" x14ac:dyDescent="0.25">
      <c r="A144" s="2">
        <v>143</v>
      </c>
      <c r="B144" s="5">
        <v>0.66914893617021276</v>
      </c>
      <c r="C144" s="5">
        <v>0.25903614457831331</v>
      </c>
      <c r="D144" s="5">
        <v>0.56600000000000006</v>
      </c>
      <c r="E144" s="5">
        <v>3.060278207109737E-2</v>
      </c>
      <c r="F144" s="2" t="s">
        <v>290</v>
      </c>
      <c r="G144" s="2" t="s">
        <v>291</v>
      </c>
      <c r="H144" s="2" t="s">
        <v>2684</v>
      </c>
      <c r="I144" s="2" t="s">
        <v>2690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5">
        <v>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5">
        <v>1</v>
      </c>
    </row>
    <row r="145" spans="1:28" ht="45" x14ac:dyDescent="0.25">
      <c r="A145" s="2">
        <v>144</v>
      </c>
      <c r="B145" s="5">
        <v>0.27872340425531922</v>
      </c>
      <c r="C145" s="5">
        <v>2.7710843373493971E-2</v>
      </c>
      <c r="D145" s="5">
        <v>5.4000000000000013E-2</v>
      </c>
      <c r="E145" s="5">
        <v>7.8979907264296753E-2</v>
      </c>
      <c r="F145" s="2" t="s">
        <v>292</v>
      </c>
      <c r="G145" s="2" t="s">
        <v>293</v>
      </c>
      <c r="H145" s="2" t="s">
        <v>2683</v>
      </c>
      <c r="I145" s="2" t="s">
        <v>2690</v>
      </c>
      <c r="J145" s="2">
        <v>0</v>
      </c>
      <c r="K145" s="2">
        <v>0</v>
      </c>
      <c r="L145" s="2">
        <v>0</v>
      </c>
      <c r="M145" s="5">
        <v>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5">
        <v>1</v>
      </c>
    </row>
    <row r="146" spans="1:28" ht="30" x14ac:dyDescent="0.25">
      <c r="A146" s="2">
        <v>145</v>
      </c>
      <c r="B146" s="5">
        <v>0.2117021276595745</v>
      </c>
      <c r="C146" s="5">
        <v>2.5301204819277109E-2</v>
      </c>
      <c r="D146" s="5">
        <v>1.4999999999999999E-2</v>
      </c>
      <c r="E146" s="5">
        <v>6.8624420401854708E-2</v>
      </c>
      <c r="F146" s="2" t="s">
        <v>294</v>
      </c>
      <c r="G146" s="2" t="s">
        <v>295</v>
      </c>
      <c r="H146" s="2" t="s">
        <v>2683</v>
      </c>
      <c r="I146" s="2" t="s">
        <v>2691</v>
      </c>
      <c r="J146" s="2">
        <v>0</v>
      </c>
      <c r="K146" s="2">
        <v>0</v>
      </c>
      <c r="L146" s="2">
        <v>0</v>
      </c>
      <c r="M146" s="5">
        <v>1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5">
        <v>1</v>
      </c>
      <c r="Z146" s="2">
        <v>0</v>
      </c>
      <c r="AA146" s="2">
        <v>0</v>
      </c>
      <c r="AB146" s="2">
        <v>0</v>
      </c>
    </row>
    <row r="147" spans="1:28" ht="30" x14ac:dyDescent="0.25">
      <c r="A147" s="2">
        <v>146</v>
      </c>
      <c r="B147" s="5">
        <v>0.24010638297872339</v>
      </c>
      <c r="C147" s="5">
        <v>3.6144578313253017E-2</v>
      </c>
      <c r="D147" s="5">
        <v>3.0000000000000001E-3</v>
      </c>
      <c r="E147" s="5">
        <v>8.1761978361669235E-2</v>
      </c>
      <c r="F147" s="2" t="s">
        <v>296</v>
      </c>
      <c r="G147" s="2" t="s">
        <v>297</v>
      </c>
      <c r="H147" s="2" t="s">
        <v>2683</v>
      </c>
      <c r="I147" s="2" t="s">
        <v>2691</v>
      </c>
      <c r="J147" s="2">
        <v>0</v>
      </c>
      <c r="K147" s="2">
        <v>0</v>
      </c>
      <c r="L147" s="2">
        <v>0</v>
      </c>
      <c r="M147" s="5">
        <v>1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5">
        <v>1</v>
      </c>
      <c r="Z147" s="2">
        <v>0</v>
      </c>
      <c r="AA147" s="2">
        <v>0</v>
      </c>
      <c r="AB147" s="2">
        <v>0</v>
      </c>
    </row>
    <row r="148" spans="1:28" ht="90" x14ac:dyDescent="0.25">
      <c r="A148" s="2">
        <v>147</v>
      </c>
      <c r="B148" s="5">
        <v>5.1063829787234047E-2</v>
      </c>
      <c r="C148" s="5">
        <v>7.2289156626506026E-3</v>
      </c>
      <c r="D148" s="2">
        <v>0</v>
      </c>
      <c r="E148" s="5">
        <v>6.8006182380216376E-3</v>
      </c>
      <c r="F148" s="2" t="s">
        <v>298</v>
      </c>
      <c r="G148" s="2" t="s">
        <v>299</v>
      </c>
      <c r="H148" s="2" t="s">
        <v>2681</v>
      </c>
      <c r="I148" s="2" t="s">
        <v>2682</v>
      </c>
      <c r="J148" s="2">
        <v>0</v>
      </c>
      <c r="K148" s="2">
        <v>0</v>
      </c>
      <c r="L148" s="2">
        <v>0</v>
      </c>
      <c r="M148" s="2">
        <v>0</v>
      </c>
      <c r="N148" s="5">
        <v>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5">
        <v>1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ht="45" x14ac:dyDescent="0.25">
      <c r="A149" s="2">
        <v>148</v>
      </c>
      <c r="B149" s="5">
        <v>0.48723404255319153</v>
      </c>
      <c r="C149" s="5">
        <v>8.313253012048194E-2</v>
      </c>
      <c r="D149" s="5">
        <v>0.14399999999999999</v>
      </c>
      <c r="E149" s="5">
        <v>0.1160741885625966</v>
      </c>
      <c r="F149" s="2" t="s">
        <v>300</v>
      </c>
      <c r="G149" s="2" t="s">
        <v>301</v>
      </c>
      <c r="H149" s="2" t="s">
        <v>2684</v>
      </c>
      <c r="I149" s="2" t="s">
        <v>2691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5">
        <v>1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5">
        <v>1</v>
      </c>
      <c r="Z149" s="2">
        <v>0</v>
      </c>
      <c r="AA149" s="2">
        <v>0</v>
      </c>
      <c r="AB149" s="2">
        <v>0</v>
      </c>
    </row>
    <row r="150" spans="1:28" ht="45" x14ac:dyDescent="0.25">
      <c r="A150" s="2">
        <v>149</v>
      </c>
      <c r="B150" s="5">
        <v>4.4680851063829789E-2</v>
      </c>
      <c r="C150" s="5">
        <v>1.9277108433734941E-2</v>
      </c>
      <c r="D150" s="5">
        <v>1E-3</v>
      </c>
      <c r="E150" s="5">
        <v>1.4837712519319941E-2</v>
      </c>
      <c r="F150" s="2" t="s">
        <v>302</v>
      </c>
      <c r="G150" s="2" t="s">
        <v>303</v>
      </c>
      <c r="H150" s="2" t="s">
        <v>2688</v>
      </c>
      <c r="I150" s="2" t="s">
        <v>2682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5">
        <v>1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5">
        <v>1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  <row r="151" spans="1:28" ht="45" x14ac:dyDescent="0.25">
      <c r="A151" s="2">
        <v>150</v>
      </c>
      <c r="B151" s="5">
        <v>5.4255319148936172E-2</v>
      </c>
      <c r="C151" s="5">
        <v>3.6144578313253009E-3</v>
      </c>
      <c r="D151" s="5">
        <v>1E-3</v>
      </c>
      <c r="E151" s="5">
        <v>1.8701700154559509E-2</v>
      </c>
      <c r="F151" s="2" t="s">
        <v>304</v>
      </c>
      <c r="G151" s="2" t="s">
        <v>305</v>
      </c>
      <c r="H151" s="2" t="s">
        <v>2684</v>
      </c>
      <c r="I151" s="2" t="s">
        <v>2682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5">
        <v>1</v>
      </c>
      <c r="Q151" s="2">
        <v>0</v>
      </c>
      <c r="R151" s="2">
        <v>0</v>
      </c>
      <c r="S151" s="2">
        <v>0</v>
      </c>
      <c r="T151" s="2">
        <v>0</v>
      </c>
      <c r="U151" s="5">
        <v>1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 spans="1:28" ht="45" x14ac:dyDescent="0.25">
      <c r="A152" s="2">
        <v>151</v>
      </c>
      <c r="B152" s="5">
        <v>4.5744680851063833E-2</v>
      </c>
      <c r="C152" s="5">
        <v>3.1325301204819279E-2</v>
      </c>
      <c r="D152" s="2">
        <v>0</v>
      </c>
      <c r="E152" s="5">
        <v>1.7928902627511591E-2</v>
      </c>
      <c r="F152" s="2" t="s">
        <v>306</v>
      </c>
      <c r="G152" s="2" t="s">
        <v>307</v>
      </c>
      <c r="H152" s="2" t="s">
        <v>2683</v>
      </c>
      <c r="I152" s="2" t="s">
        <v>2686</v>
      </c>
      <c r="J152" s="2">
        <v>0</v>
      </c>
      <c r="K152" s="2">
        <v>0</v>
      </c>
      <c r="L152" s="2">
        <v>0</v>
      </c>
      <c r="M152" s="5">
        <v>1</v>
      </c>
      <c r="N152" s="2">
        <v>0</v>
      </c>
      <c r="O152" s="2">
        <v>0</v>
      </c>
      <c r="P152" s="2">
        <v>0</v>
      </c>
      <c r="Q152" s="5">
        <v>1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</row>
    <row r="153" spans="1:28" ht="45" x14ac:dyDescent="0.25">
      <c r="A153" s="2">
        <v>152</v>
      </c>
      <c r="B153" s="5">
        <v>0.26063829787234039</v>
      </c>
      <c r="C153" s="5">
        <v>4.0963855421686748E-2</v>
      </c>
      <c r="D153" s="2">
        <v>0</v>
      </c>
      <c r="E153" s="5">
        <v>0.1023183925811437</v>
      </c>
      <c r="F153" s="2" t="s">
        <v>308</v>
      </c>
      <c r="G153" s="2" t="s">
        <v>309</v>
      </c>
      <c r="H153" s="2" t="s">
        <v>2683</v>
      </c>
      <c r="I153" s="2" t="s">
        <v>2686</v>
      </c>
      <c r="J153" s="2">
        <v>0</v>
      </c>
      <c r="K153" s="2">
        <v>0</v>
      </c>
      <c r="L153" s="2">
        <v>0</v>
      </c>
      <c r="M153" s="5">
        <v>1</v>
      </c>
      <c r="N153" s="2">
        <v>0</v>
      </c>
      <c r="O153" s="2">
        <v>0</v>
      </c>
      <c r="P153" s="2">
        <v>0</v>
      </c>
      <c r="Q153" s="5">
        <v>1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 spans="1:28" ht="30" x14ac:dyDescent="0.25">
      <c r="A154" s="2">
        <v>153</v>
      </c>
      <c r="B154" s="5">
        <v>0.12659574468085111</v>
      </c>
      <c r="C154" s="5">
        <v>5.301204819277109E-2</v>
      </c>
      <c r="D154" s="5">
        <v>3.5000000000000003E-2</v>
      </c>
      <c r="E154" s="5">
        <v>2.828438948995363E-2</v>
      </c>
      <c r="F154" s="2" t="s">
        <v>310</v>
      </c>
      <c r="G154" s="2" t="s">
        <v>311</v>
      </c>
      <c r="H154" s="2" t="s">
        <v>2688</v>
      </c>
      <c r="I154" s="2" t="s">
        <v>2687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5">
        <v>1</v>
      </c>
      <c r="P154" s="2">
        <v>0</v>
      </c>
      <c r="Q154" s="2">
        <v>0</v>
      </c>
      <c r="R154" s="2">
        <v>0</v>
      </c>
      <c r="S154" s="5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 spans="1:28" ht="45" x14ac:dyDescent="0.25">
      <c r="A155" s="2">
        <v>154</v>
      </c>
      <c r="B155" s="5">
        <v>2.4468085106382979E-2</v>
      </c>
      <c r="C155" s="5">
        <v>1.204819277108434E-2</v>
      </c>
      <c r="D155" s="5">
        <v>8.0000000000000002E-3</v>
      </c>
      <c r="E155" s="5">
        <v>1.1128284389489949E-2</v>
      </c>
      <c r="F155" s="2" t="s">
        <v>312</v>
      </c>
      <c r="G155" s="2" t="s">
        <v>313</v>
      </c>
      <c r="H155" s="2" t="s">
        <v>2688</v>
      </c>
      <c r="I155" s="2" t="s">
        <v>2682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5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5">
        <v>1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 spans="1:28" ht="30" x14ac:dyDescent="0.25">
      <c r="A156" s="2">
        <v>155</v>
      </c>
      <c r="B156" s="5">
        <v>2.3404255319148939E-2</v>
      </c>
      <c r="C156" s="5">
        <v>1.204819277108434E-2</v>
      </c>
      <c r="D156" s="5">
        <v>3.0000000000000001E-3</v>
      </c>
      <c r="E156" s="5">
        <v>7.2642967542503869E-3</v>
      </c>
      <c r="F156" s="2" t="s">
        <v>314</v>
      </c>
      <c r="G156" s="2" t="s">
        <v>315</v>
      </c>
      <c r="H156" s="2" t="s">
        <v>2688</v>
      </c>
      <c r="I156" s="2" t="s">
        <v>2682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5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5">
        <v>1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 spans="1:28" ht="30" x14ac:dyDescent="0.25">
      <c r="A157" s="2">
        <v>156</v>
      </c>
      <c r="B157" s="5">
        <v>0.1978723404255319</v>
      </c>
      <c r="C157" s="5">
        <v>0.14096385542168671</v>
      </c>
      <c r="D157" s="5">
        <v>9.6999999999999989E-2</v>
      </c>
      <c r="E157" s="5">
        <v>2.009273570324575E-2</v>
      </c>
      <c r="F157" s="2" t="s">
        <v>316</v>
      </c>
      <c r="G157" s="2" t="s">
        <v>317</v>
      </c>
      <c r="H157" s="2" t="s">
        <v>2683</v>
      </c>
      <c r="I157" s="2" t="s">
        <v>2687</v>
      </c>
      <c r="J157" s="2">
        <v>0</v>
      </c>
      <c r="K157" s="2">
        <v>0</v>
      </c>
      <c r="L157" s="2">
        <v>0</v>
      </c>
      <c r="M157" s="5">
        <v>1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5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</row>
    <row r="158" spans="1:28" ht="30" x14ac:dyDescent="0.25">
      <c r="A158" s="2">
        <v>157</v>
      </c>
      <c r="B158" s="5">
        <v>0.26489361702127662</v>
      </c>
      <c r="C158" s="5">
        <v>4.0963855421686748E-2</v>
      </c>
      <c r="D158" s="5">
        <v>4.0000000000000001E-3</v>
      </c>
      <c r="E158" s="5">
        <v>8.964451313755796E-2</v>
      </c>
      <c r="F158" s="2" t="s">
        <v>318</v>
      </c>
      <c r="G158" s="2" t="s">
        <v>319</v>
      </c>
      <c r="H158" s="2" t="s">
        <v>2688</v>
      </c>
      <c r="I158" s="2" t="s">
        <v>2691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5">
        <v>1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5">
        <v>1</v>
      </c>
      <c r="Z158" s="2">
        <v>0</v>
      </c>
      <c r="AA158" s="2">
        <v>0</v>
      </c>
      <c r="AB158" s="2">
        <v>0</v>
      </c>
    </row>
    <row r="159" spans="1:28" ht="45" x14ac:dyDescent="0.25">
      <c r="A159" s="2">
        <v>158</v>
      </c>
      <c r="B159" s="5">
        <v>0.42553191489361702</v>
      </c>
      <c r="C159" s="5">
        <v>4.8192771084337352E-2</v>
      </c>
      <c r="D159" s="5">
        <v>6.9999999999999993E-3</v>
      </c>
      <c r="E159" s="5">
        <v>0.1472952086553323</v>
      </c>
      <c r="F159" s="2" t="s">
        <v>320</v>
      </c>
      <c r="G159" s="2" t="s">
        <v>321</v>
      </c>
      <c r="H159" s="2" t="s">
        <v>2681</v>
      </c>
      <c r="I159" s="2" t="s">
        <v>2682</v>
      </c>
      <c r="J159" s="2">
        <v>0</v>
      </c>
      <c r="K159" s="2">
        <v>0</v>
      </c>
      <c r="L159" s="2">
        <v>0</v>
      </c>
      <c r="M159" s="2">
        <v>0</v>
      </c>
      <c r="N159" s="5">
        <v>1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5">
        <v>1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</row>
    <row r="160" spans="1:28" ht="45" x14ac:dyDescent="0.25">
      <c r="A160" s="2">
        <v>159</v>
      </c>
      <c r="B160" s="5">
        <v>0.15</v>
      </c>
      <c r="C160" s="5">
        <v>0.18433734939759039</v>
      </c>
      <c r="D160" s="5">
        <v>3.3000000000000002E-2</v>
      </c>
      <c r="E160" s="5">
        <v>1.947449768160742E-2</v>
      </c>
      <c r="F160" s="2" t="s">
        <v>322</v>
      </c>
      <c r="G160" s="2" t="s">
        <v>323</v>
      </c>
      <c r="H160" s="2" t="s">
        <v>2683</v>
      </c>
      <c r="I160" s="2" t="s">
        <v>2682</v>
      </c>
      <c r="J160" s="2">
        <v>0</v>
      </c>
      <c r="K160" s="2">
        <v>0</v>
      </c>
      <c r="L160" s="2">
        <v>0</v>
      </c>
      <c r="M160" s="5">
        <v>1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5">
        <v>1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</row>
    <row r="161" spans="1:28" ht="30" x14ac:dyDescent="0.25">
      <c r="A161" s="2">
        <v>160</v>
      </c>
      <c r="B161" s="5">
        <v>2.4468085106382979E-2</v>
      </c>
      <c r="C161" s="5">
        <v>9.6385542168674707E-3</v>
      </c>
      <c r="D161" s="5">
        <v>2E-3</v>
      </c>
      <c r="E161" s="5">
        <v>8.0370942812983005E-3</v>
      </c>
      <c r="F161" s="2" t="s">
        <v>324</v>
      </c>
      <c r="G161" s="2" t="s">
        <v>325</v>
      </c>
      <c r="H161" s="2" t="s">
        <v>2683</v>
      </c>
      <c r="I161" s="2" t="s">
        <v>2686</v>
      </c>
      <c r="J161" s="2">
        <v>0</v>
      </c>
      <c r="K161" s="2">
        <v>0</v>
      </c>
      <c r="L161" s="2">
        <v>0</v>
      </c>
      <c r="M161" s="5">
        <v>1</v>
      </c>
      <c r="N161" s="2">
        <v>0</v>
      </c>
      <c r="O161" s="2">
        <v>0</v>
      </c>
      <c r="P161" s="2">
        <v>0</v>
      </c>
      <c r="Q161" s="5">
        <v>1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</row>
    <row r="162" spans="1:28" ht="45" x14ac:dyDescent="0.25">
      <c r="A162" s="2">
        <v>161</v>
      </c>
      <c r="B162" s="5">
        <v>0.1170212765957447</v>
      </c>
      <c r="C162" s="5">
        <v>1.6867469879518069E-2</v>
      </c>
      <c r="D162" s="5">
        <v>2.1000000000000001E-2</v>
      </c>
      <c r="E162" s="5">
        <v>3.3075734157650687E-2</v>
      </c>
      <c r="F162" s="2" t="s">
        <v>326</v>
      </c>
      <c r="G162" s="2" t="s">
        <v>327</v>
      </c>
      <c r="H162" s="2" t="s">
        <v>2684</v>
      </c>
      <c r="I162" s="2" t="s">
        <v>2686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5">
        <v>1</v>
      </c>
      <c r="Q162" s="5">
        <v>1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ht="30" x14ac:dyDescent="0.25">
      <c r="A163" s="2">
        <v>162</v>
      </c>
      <c r="B163" s="5">
        <v>4.042553191489362E-2</v>
      </c>
      <c r="C163" s="5">
        <v>1.8072289156626509E-2</v>
      </c>
      <c r="D163" s="5">
        <v>2E-3</v>
      </c>
      <c r="E163" s="5">
        <v>1.15919629057187E-2</v>
      </c>
      <c r="F163" s="2" t="s">
        <v>328</v>
      </c>
      <c r="G163" s="2" t="s">
        <v>329</v>
      </c>
      <c r="H163" s="2" t="s">
        <v>2683</v>
      </c>
      <c r="I163" s="2" t="s">
        <v>2685</v>
      </c>
      <c r="J163" s="2">
        <v>0</v>
      </c>
      <c r="K163" s="2">
        <v>0</v>
      </c>
      <c r="L163" s="2">
        <v>0</v>
      </c>
      <c r="M163" s="5">
        <v>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5">
        <v>1</v>
      </c>
      <c r="Y163" s="2">
        <v>0</v>
      </c>
      <c r="Z163" s="2">
        <v>0</v>
      </c>
      <c r="AA163" s="2">
        <v>0</v>
      </c>
      <c r="AB163" s="2">
        <v>0</v>
      </c>
    </row>
    <row r="164" spans="1:28" ht="45" x14ac:dyDescent="0.25">
      <c r="A164" s="2">
        <v>163</v>
      </c>
      <c r="B164" s="5">
        <v>0.28085106382978731</v>
      </c>
      <c r="C164" s="5">
        <v>4.8192771084337352E-2</v>
      </c>
      <c r="D164" s="5">
        <v>1.0999999999999999E-2</v>
      </c>
      <c r="E164" s="5">
        <v>9.2117465224111281E-2</v>
      </c>
      <c r="F164" s="2" t="s">
        <v>330</v>
      </c>
      <c r="G164" s="2" t="s">
        <v>331</v>
      </c>
      <c r="H164" s="2" t="s">
        <v>2684</v>
      </c>
      <c r="I164" s="2" t="s">
        <v>2686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5">
        <v>1</v>
      </c>
      <c r="Q164" s="5">
        <v>1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</row>
    <row r="165" spans="1:28" ht="60" x14ac:dyDescent="0.25">
      <c r="A165" s="2">
        <v>164</v>
      </c>
      <c r="B165" s="5">
        <v>4.1489361702127657E-2</v>
      </c>
      <c r="C165" s="5">
        <v>8.4337349397590362E-3</v>
      </c>
      <c r="D165" s="5">
        <v>2E-3</v>
      </c>
      <c r="E165" s="5">
        <v>1.499227202472952E-2</v>
      </c>
      <c r="F165" s="2" t="s">
        <v>332</v>
      </c>
      <c r="G165" s="2" t="s">
        <v>333</v>
      </c>
      <c r="H165" s="2" t="s">
        <v>2683</v>
      </c>
      <c r="I165" s="2" t="s">
        <v>2693</v>
      </c>
      <c r="J165" s="2">
        <v>0</v>
      </c>
      <c r="K165" s="2">
        <v>0</v>
      </c>
      <c r="L165" s="2">
        <v>0</v>
      </c>
      <c r="M165" s="5">
        <v>1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5">
        <v>1</v>
      </c>
      <c r="AA165" s="2">
        <v>0</v>
      </c>
      <c r="AB165" s="2">
        <v>0</v>
      </c>
    </row>
    <row r="166" spans="1:28" ht="30" x14ac:dyDescent="0.25">
      <c r="A166" s="2">
        <v>165</v>
      </c>
      <c r="B166" s="5">
        <v>9.2553191489361697E-2</v>
      </c>
      <c r="C166" s="5">
        <v>3.1325301204819279E-2</v>
      </c>
      <c r="D166" s="5">
        <v>2.7E-2</v>
      </c>
      <c r="E166" s="5">
        <v>2.0247295208655331E-2</v>
      </c>
      <c r="F166" s="2" t="s">
        <v>334</v>
      </c>
      <c r="G166" s="2" t="s">
        <v>335</v>
      </c>
      <c r="H166" s="2" t="s">
        <v>2688</v>
      </c>
      <c r="I166" s="2" t="s">
        <v>2686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5">
        <v>1</v>
      </c>
      <c r="P166" s="2">
        <v>0</v>
      </c>
      <c r="Q166" s="5">
        <v>1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</row>
    <row r="167" spans="1:28" ht="60" x14ac:dyDescent="0.25">
      <c r="A167" s="2">
        <v>166</v>
      </c>
      <c r="B167" s="5">
        <v>7.5531914893617019E-2</v>
      </c>
      <c r="C167" s="5">
        <v>2.0481927710843371E-2</v>
      </c>
      <c r="D167" s="5">
        <v>3.1E-2</v>
      </c>
      <c r="E167" s="5">
        <v>1.4064914992272019E-2</v>
      </c>
      <c r="F167" s="2" t="s">
        <v>336</v>
      </c>
      <c r="G167" s="2" t="s">
        <v>337</v>
      </c>
      <c r="H167" s="2" t="s">
        <v>2683</v>
      </c>
      <c r="I167" s="2" t="s">
        <v>2686</v>
      </c>
      <c r="J167" s="2">
        <v>0</v>
      </c>
      <c r="K167" s="2">
        <v>0</v>
      </c>
      <c r="L167" s="2">
        <v>0</v>
      </c>
      <c r="M167" s="5">
        <v>1</v>
      </c>
      <c r="N167" s="2">
        <v>0</v>
      </c>
      <c r="O167" s="2">
        <v>0</v>
      </c>
      <c r="P167" s="2">
        <v>0</v>
      </c>
      <c r="Q167" s="5">
        <v>1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</row>
    <row r="168" spans="1:28" ht="30" x14ac:dyDescent="0.25">
      <c r="A168" s="2">
        <v>167</v>
      </c>
      <c r="B168" s="5">
        <v>5.9574468085106393E-2</v>
      </c>
      <c r="C168" s="5">
        <v>9.6385542168674707E-3</v>
      </c>
      <c r="D168" s="5">
        <v>0.01</v>
      </c>
      <c r="E168" s="5">
        <v>1.6846986089644508E-2</v>
      </c>
      <c r="F168" s="2" t="s">
        <v>338</v>
      </c>
      <c r="G168" s="2" t="s">
        <v>339</v>
      </c>
      <c r="H168" s="2" t="s">
        <v>2683</v>
      </c>
      <c r="I168" s="2" t="s">
        <v>2686</v>
      </c>
      <c r="J168" s="2">
        <v>0</v>
      </c>
      <c r="K168" s="2">
        <v>0</v>
      </c>
      <c r="L168" s="2">
        <v>0</v>
      </c>
      <c r="M168" s="5">
        <v>1</v>
      </c>
      <c r="N168" s="2">
        <v>0</v>
      </c>
      <c r="O168" s="2">
        <v>0</v>
      </c>
      <c r="P168" s="2">
        <v>0</v>
      </c>
      <c r="Q168" s="5">
        <v>1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</row>
    <row r="169" spans="1:28" ht="45" x14ac:dyDescent="0.25">
      <c r="A169" s="2">
        <v>168</v>
      </c>
      <c r="B169" s="5">
        <v>5.8510638297872342E-2</v>
      </c>
      <c r="C169" s="5">
        <v>1.445783132530121E-2</v>
      </c>
      <c r="D169" s="5">
        <v>1E-3</v>
      </c>
      <c r="E169" s="5">
        <v>1.885625965996909E-2</v>
      </c>
      <c r="F169" s="2" t="s">
        <v>340</v>
      </c>
      <c r="G169" s="2" t="s">
        <v>341</v>
      </c>
      <c r="H169" s="2" t="s">
        <v>2683</v>
      </c>
      <c r="I169" s="2" t="s">
        <v>2686</v>
      </c>
      <c r="J169" s="2">
        <v>0</v>
      </c>
      <c r="K169" s="2">
        <v>0</v>
      </c>
      <c r="L169" s="2">
        <v>0</v>
      </c>
      <c r="M169" s="5">
        <v>1</v>
      </c>
      <c r="N169" s="2">
        <v>0</v>
      </c>
      <c r="O169" s="2">
        <v>0</v>
      </c>
      <c r="P169" s="2">
        <v>0</v>
      </c>
      <c r="Q169" s="5">
        <v>1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</row>
    <row r="170" spans="1:28" ht="60" x14ac:dyDescent="0.25">
      <c r="A170" s="2">
        <v>169</v>
      </c>
      <c r="B170" s="5">
        <v>0.1074468085106383</v>
      </c>
      <c r="C170" s="5">
        <v>2.0481927710843371E-2</v>
      </c>
      <c r="D170" s="5">
        <v>6.0000000000000001E-3</v>
      </c>
      <c r="E170" s="5">
        <v>3.8948995363214833E-2</v>
      </c>
      <c r="F170" s="2" t="s">
        <v>342</v>
      </c>
      <c r="G170" s="2" t="s">
        <v>343</v>
      </c>
      <c r="H170" s="2" t="s">
        <v>2683</v>
      </c>
      <c r="I170" s="2" t="s">
        <v>2686</v>
      </c>
      <c r="J170" s="2">
        <v>0</v>
      </c>
      <c r="K170" s="2">
        <v>0</v>
      </c>
      <c r="L170" s="2">
        <v>0</v>
      </c>
      <c r="M170" s="5">
        <v>1</v>
      </c>
      <c r="N170" s="2">
        <v>0</v>
      </c>
      <c r="O170" s="2">
        <v>0</v>
      </c>
      <c r="P170" s="2">
        <v>0</v>
      </c>
      <c r="Q170" s="5">
        <v>1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</row>
    <row r="171" spans="1:28" ht="45" x14ac:dyDescent="0.25">
      <c r="A171" s="2">
        <v>170</v>
      </c>
      <c r="B171" s="5">
        <v>8.2978723404255314E-2</v>
      </c>
      <c r="C171" s="5">
        <v>7.2289156626506026E-3</v>
      </c>
      <c r="D171" s="5">
        <v>3.0000000000000001E-3</v>
      </c>
      <c r="E171" s="5">
        <v>2.8129829984544049E-2</v>
      </c>
      <c r="F171" s="2" t="s">
        <v>344</v>
      </c>
      <c r="G171" s="2" t="s">
        <v>345</v>
      </c>
      <c r="H171" s="2" t="s">
        <v>2688</v>
      </c>
      <c r="I171" s="2" t="s">
        <v>2686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5">
        <v>1</v>
      </c>
      <c r="P171" s="2">
        <v>0</v>
      </c>
      <c r="Q171" s="5">
        <v>1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</row>
    <row r="172" spans="1:28" ht="30" x14ac:dyDescent="0.25">
      <c r="A172" s="2">
        <v>171</v>
      </c>
      <c r="B172" s="5">
        <v>0.1202127659574468</v>
      </c>
      <c r="C172" s="5">
        <v>9.6385542168674707E-3</v>
      </c>
      <c r="D172" s="5">
        <v>3.0000000000000001E-3</v>
      </c>
      <c r="E172" s="5">
        <v>4.1421947449768161E-2</v>
      </c>
      <c r="F172" s="2" t="s">
        <v>346</v>
      </c>
      <c r="G172" s="2" t="s">
        <v>347</v>
      </c>
      <c r="H172" s="2" t="s">
        <v>2688</v>
      </c>
      <c r="I172" s="2" t="s">
        <v>2686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5">
        <v>1</v>
      </c>
      <c r="P172" s="2">
        <v>0</v>
      </c>
      <c r="Q172" s="5">
        <v>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</row>
    <row r="173" spans="1:28" ht="45" x14ac:dyDescent="0.25">
      <c r="A173" s="2">
        <v>172</v>
      </c>
      <c r="B173" s="5">
        <v>3.085106382978723E-2</v>
      </c>
      <c r="C173" s="5">
        <v>2.5301204819277109E-2</v>
      </c>
      <c r="D173" s="5">
        <v>6.9999999999999993E-3</v>
      </c>
      <c r="E173" s="5">
        <v>5.5641421947449756E-3</v>
      </c>
      <c r="F173" s="2" t="s">
        <v>348</v>
      </c>
      <c r="G173" s="2" t="s">
        <v>349</v>
      </c>
      <c r="H173" s="2" t="s">
        <v>2688</v>
      </c>
      <c r="I173" s="2" t="s">
        <v>2686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5">
        <v>1</v>
      </c>
      <c r="P173" s="2">
        <v>0</v>
      </c>
      <c r="Q173" s="5">
        <v>1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</row>
    <row r="174" spans="1:28" ht="30" x14ac:dyDescent="0.25">
      <c r="A174" s="2">
        <v>173</v>
      </c>
      <c r="B174" s="5">
        <v>7.1276595744680857E-2</v>
      </c>
      <c r="C174" s="5">
        <v>4.8192771084337354E-3</v>
      </c>
      <c r="D174" s="5">
        <v>2E-3</v>
      </c>
      <c r="E174" s="5">
        <v>2.4574961360123649E-2</v>
      </c>
      <c r="F174" s="2" t="s">
        <v>350</v>
      </c>
      <c r="G174" s="2" t="s">
        <v>351</v>
      </c>
      <c r="H174" s="2" t="s">
        <v>2683</v>
      </c>
      <c r="I174" s="2" t="s">
        <v>2686</v>
      </c>
      <c r="J174" s="2">
        <v>0</v>
      </c>
      <c r="K174" s="2">
        <v>0</v>
      </c>
      <c r="L174" s="2">
        <v>0</v>
      </c>
      <c r="M174" s="5">
        <v>1</v>
      </c>
      <c r="N174" s="2">
        <v>0</v>
      </c>
      <c r="O174" s="2">
        <v>0</v>
      </c>
      <c r="P174" s="2">
        <v>0</v>
      </c>
      <c r="Q174" s="5">
        <v>1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</row>
    <row r="175" spans="1:28" ht="30" x14ac:dyDescent="0.25">
      <c r="A175" s="2">
        <v>174</v>
      </c>
      <c r="B175" s="5">
        <v>0.38829787234042562</v>
      </c>
      <c r="C175" s="5">
        <v>0.59759036144578315</v>
      </c>
      <c r="D175" s="5">
        <v>4.8000000000000001E-2</v>
      </c>
      <c r="E175" s="5">
        <v>4.7604327666151469E-2</v>
      </c>
      <c r="F175" s="2" t="s">
        <v>352</v>
      </c>
      <c r="G175" s="2" t="s">
        <v>353</v>
      </c>
      <c r="H175" s="2" t="s">
        <v>2688</v>
      </c>
      <c r="I175" s="2" t="s">
        <v>2689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5">
        <v>1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5">
        <v>1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</row>
    <row r="176" spans="1:28" ht="45" x14ac:dyDescent="0.25">
      <c r="A176" s="2">
        <v>175</v>
      </c>
      <c r="B176" s="5">
        <v>6.3829787234042548E-2</v>
      </c>
      <c r="C176" s="5">
        <v>1.204819277108434E-2</v>
      </c>
      <c r="D176" s="5">
        <v>0.6</v>
      </c>
      <c r="E176" s="5">
        <v>2.009273570324575E-2</v>
      </c>
      <c r="F176" s="2" t="s">
        <v>354</v>
      </c>
      <c r="G176" s="2" t="s">
        <v>355</v>
      </c>
      <c r="H176" s="2" t="s">
        <v>2683</v>
      </c>
      <c r="I176" s="2" t="s">
        <v>2691</v>
      </c>
      <c r="J176" s="2">
        <v>0</v>
      </c>
      <c r="K176" s="2">
        <v>0</v>
      </c>
      <c r="L176" s="2">
        <v>0</v>
      </c>
      <c r="M176" s="5">
        <v>1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5">
        <v>1</v>
      </c>
      <c r="Z176" s="2">
        <v>0</v>
      </c>
      <c r="AA176" s="2">
        <v>0</v>
      </c>
      <c r="AB176" s="2">
        <v>0</v>
      </c>
    </row>
    <row r="177" spans="1:28" ht="45" x14ac:dyDescent="0.25">
      <c r="A177" s="2">
        <v>176</v>
      </c>
      <c r="B177" s="5">
        <v>0.17765957446808511</v>
      </c>
      <c r="C177" s="5">
        <v>2.4096385542168681E-3</v>
      </c>
      <c r="D177" s="5">
        <v>0.04</v>
      </c>
      <c r="E177" s="5">
        <v>5.1004636785162288E-2</v>
      </c>
      <c r="F177" s="2" t="s">
        <v>356</v>
      </c>
      <c r="G177" s="2" t="s">
        <v>357</v>
      </c>
      <c r="H177" s="2" t="s">
        <v>2683</v>
      </c>
      <c r="I177" s="2" t="s">
        <v>2691</v>
      </c>
      <c r="J177" s="2">
        <v>0</v>
      </c>
      <c r="K177" s="2">
        <v>0</v>
      </c>
      <c r="L177" s="2">
        <v>0</v>
      </c>
      <c r="M177" s="5">
        <v>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5">
        <v>1</v>
      </c>
      <c r="Z177" s="2">
        <v>0</v>
      </c>
      <c r="AA177" s="2">
        <v>0</v>
      </c>
      <c r="AB177" s="2">
        <v>0</v>
      </c>
    </row>
    <row r="178" spans="1:28" ht="45" x14ac:dyDescent="0.25">
      <c r="A178" s="2">
        <v>177</v>
      </c>
      <c r="B178" s="5">
        <v>0.1659574468085106</v>
      </c>
      <c r="C178" s="5">
        <v>2.7710843373493971E-2</v>
      </c>
      <c r="D178" s="5">
        <v>2E-3</v>
      </c>
      <c r="E178" s="5">
        <v>2.41112828438949E-2</v>
      </c>
      <c r="F178" s="2" t="s">
        <v>358</v>
      </c>
      <c r="G178" s="2" t="s">
        <v>359</v>
      </c>
      <c r="H178" s="2" t="s">
        <v>2683</v>
      </c>
      <c r="I178" s="2" t="s">
        <v>2691</v>
      </c>
      <c r="J178" s="2">
        <v>0</v>
      </c>
      <c r="K178" s="2">
        <v>0</v>
      </c>
      <c r="L178" s="2">
        <v>0</v>
      </c>
      <c r="M178" s="5">
        <v>1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5">
        <v>1</v>
      </c>
      <c r="Z178" s="2">
        <v>0</v>
      </c>
      <c r="AA178" s="2">
        <v>0</v>
      </c>
      <c r="AB178" s="2">
        <v>0</v>
      </c>
    </row>
    <row r="179" spans="1:28" ht="45" x14ac:dyDescent="0.25">
      <c r="A179" s="2">
        <v>178</v>
      </c>
      <c r="B179" s="5">
        <v>7.6595744680851063E-2</v>
      </c>
      <c r="C179" s="5">
        <v>0.13734939759036149</v>
      </c>
      <c r="D179" s="5">
        <v>4.9000000000000002E-2</v>
      </c>
      <c r="E179" s="5">
        <v>2.1638330757341581E-3</v>
      </c>
      <c r="F179" s="2" t="s">
        <v>360</v>
      </c>
      <c r="G179" s="2" t="s">
        <v>361</v>
      </c>
      <c r="H179" s="2" t="s">
        <v>2681</v>
      </c>
      <c r="I179" s="2" t="s">
        <v>2682</v>
      </c>
      <c r="J179" s="2">
        <v>0</v>
      </c>
      <c r="K179" s="2">
        <v>0</v>
      </c>
      <c r="L179" s="2">
        <v>0</v>
      </c>
      <c r="M179" s="2">
        <v>0</v>
      </c>
      <c r="N179" s="5">
        <v>1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5">
        <v>1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</row>
    <row r="180" spans="1:28" ht="30" x14ac:dyDescent="0.25">
      <c r="A180" s="2">
        <v>179</v>
      </c>
      <c r="B180" s="5">
        <v>0.22553191489361701</v>
      </c>
      <c r="C180" s="5">
        <v>0.20361445783132531</v>
      </c>
      <c r="D180" s="5">
        <v>2E-3</v>
      </c>
      <c r="E180" s="5">
        <v>7.3570324574961363E-2</v>
      </c>
      <c r="F180" s="2" t="s">
        <v>362</v>
      </c>
      <c r="G180" s="2" t="s">
        <v>363</v>
      </c>
      <c r="H180" s="2" t="s">
        <v>2681</v>
      </c>
      <c r="I180" s="2" t="s">
        <v>2682</v>
      </c>
      <c r="J180" s="2">
        <v>0</v>
      </c>
      <c r="K180" s="2">
        <v>0</v>
      </c>
      <c r="L180" s="2">
        <v>0</v>
      </c>
      <c r="M180" s="2">
        <v>0</v>
      </c>
      <c r="N180" s="5">
        <v>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5">
        <v>1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</row>
    <row r="181" spans="1:28" ht="30" x14ac:dyDescent="0.25">
      <c r="A181" s="2">
        <v>180</v>
      </c>
      <c r="B181" s="5">
        <v>0.25212765957446809</v>
      </c>
      <c r="C181" s="5">
        <v>0.17710843373493981</v>
      </c>
      <c r="D181" s="5">
        <v>2E-3</v>
      </c>
      <c r="E181" s="5">
        <v>8.6553323029366303E-2</v>
      </c>
      <c r="F181" s="2" t="s">
        <v>364</v>
      </c>
      <c r="G181" s="2" t="s">
        <v>365</v>
      </c>
      <c r="H181" s="2" t="s">
        <v>2681</v>
      </c>
      <c r="I181" s="2" t="s">
        <v>2682</v>
      </c>
      <c r="J181" s="2">
        <v>0</v>
      </c>
      <c r="K181" s="2">
        <v>0</v>
      </c>
      <c r="L181" s="2">
        <v>0</v>
      </c>
      <c r="M181" s="2">
        <v>0</v>
      </c>
      <c r="N181" s="5">
        <v>1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5">
        <v>1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</row>
    <row r="182" spans="1:28" ht="30" x14ac:dyDescent="0.25">
      <c r="A182" s="2">
        <v>181</v>
      </c>
      <c r="B182" s="5">
        <v>3.7234042553191488E-2</v>
      </c>
      <c r="C182" s="5">
        <v>2.891566265060241E-2</v>
      </c>
      <c r="D182" s="5">
        <v>2E-3</v>
      </c>
      <c r="E182" s="5">
        <v>1.1901081916537871E-2</v>
      </c>
      <c r="F182" s="2" t="s">
        <v>366</v>
      </c>
      <c r="G182" s="2" t="s">
        <v>367</v>
      </c>
      <c r="H182" s="2" t="s">
        <v>2684</v>
      </c>
      <c r="I182" s="2" t="s">
        <v>2682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5">
        <v>1</v>
      </c>
      <c r="Q182" s="2">
        <v>0</v>
      </c>
      <c r="R182" s="2">
        <v>0</v>
      </c>
      <c r="S182" s="2">
        <v>0</v>
      </c>
      <c r="T182" s="2">
        <v>0</v>
      </c>
      <c r="U182" s="5">
        <v>1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</row>
    <row r="183" spans="1:28" ht="45" x14ac:dyDescent="0.25">
      <c r="A183" s="2">
        <v>182</v>
      </c>
      <c r="B183" s="5">
        <v>6.3829787234042548E-2</v>
      </c>
      <c r="C183" s="5">
        <v>6.1445783132530123E-2</v>
      </c>
      <c r="D183" s="5">
        <v>5.0000000000000001E-3</v>
      </c>
      <c r="E183" s="5">
        <v>1.3137557959814529E-2</v>
      </c>
      <c r="F183" s="2" t="s">
        <v>368</v>
      </c>
      <c r="G183" s="2" t="s">
        <v>369</v>
      </c>
      <c r="H183" s="2" t="s">
        <v>2684</v>
      </c>
      <c r="I183" s="2" t="s">
        <v>2682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5">
        <v>1</v>
      </c>
      <c r="Q183" s="2">
        <v>0</v>
      </c>
      <c r="R183" s="2">
        <v>0</v>
      </c>
      <c r="S183" s="2">
        <v>0</v>
      </c>
      <c r="T183" s="2">
        <v>0</v>
      </c>
      <c r="U183" s="5">
        <v>1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</row>
    <row r="184" spans="1:28" ht="60" x14ac:dyDescent="0.25">
      <c r="A184" s="2">
        <v>183</v>
      </c>
      <c r="B184" s="5">
        <v>3.1914893617021267E-2</v>
      </c>
      <c r="C184" s="5">
        <v>2.6506024096385541E-2</v>
      </c>
      <c r="D184" s="5">
        <v>2E-3</v>
      </c>
      <c r="E184" s="5">
        <v>9.8918083462132926E-3</v>
      </c>
      <c r="F184" s="2" t="s">
        <v>370</v>
      </c>
      <c r="G184" s="2" t="s">
        <v>371</v>
      </c>
      <c r="H184" s="2" t="s">
        <v>2683</v>
      </c>
      <c r="I184" s="2" t="s">
        <v>2682</v>
      </c>
      <c r="J184" s="2">
        <v>0</v>
      </c>
      <c r="K184" s="2">
        <v>0</v>
      </c>
      <c r="L184" s="2">
        <v>0</v>
      </c>
      <c r="M184" s="5">
        <v>1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5">
        <v>1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</row>
    <row r="185" spans="1:28" ht="60" x14ac:dyDescent="0.25">
      <c r="A185" s="2">
        <v>184</v>
      </c>
      <c r="B185" s="5">
        <v>4.7872340425531908E-2</v>
      </c>
      <c r="C185" s="5">
        <v>3.1325301204819279E-2</v>
      </c>
      <c r="D185" s="5">
        <v>3.0000000000000001E-3</v>
      </c>
      <c r="E185" s="5">
        <v>1.2519319938176199E-2</v>
      </c>
      <c r="F185" s="2" t="s">
        <v>372</v>
      </c>
      <c r="G185" s="2" t="s">
        <v>373</v>
      </c>
      <c r="H185" s="2" t="s">
        <v>2683</v>
      </c>
      <c r="I185" s="2" t="s">
        <v>2686</v>
      </c>
      <c r="J185" s="2">
        <v>0</v>
      </c>
      <c r="K185" s="2">
        <v>0</v>
      </c>
      <c r="L185" s="2">
        <v>0</v>
      </c>
      <c r="M185" s="5">
        <v>1</v>
      </c>
      <c r="N185" s="2">
        <v>0</v>
      </c>
      <c r="O185" s="2">
        <v>0</v>
      </c>
      <c r="P185" s="2">
        <v>0</v>
      </c>
      <c r="Q185" s="5">
        <v>1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</row>
    <row r="186" spans="1:28" ht="45" x14ac:dyDescent="0.25">
      <c r="A186" s="2">
        <v>185</v>
      </c>
      <c r="B186" s="5">
        <v>4.4680851063829789E-2</v>
      </c>
      <c r="C186" s="5">
        <v>2.4096385542168679E-2</v>
      </c>
      <c r="D186" s="5">
        <v>1.0999999999999999E-2</v>
      </c>
      <c r="E186" s="5">
        <v>9.4281298299845433E-3</v>
      </c>
      <c r="F186" s="2" t="s">
        <v>374</v>
      </c>
      <c r="G186" s="2" t="s">
        <v>375</v>
      </c>
      <c r="H186" s="2" t="s">
        <v>2683</v>
      </c>
      <c r="I186" s="2" t="s">
        <v>2682</v>
      </c>
      <c r="J186" s="2">
        <v>0</v>
      </c>
      <c r="K186" s="2">
        <v>0</v>
      </c>
      <c r="L186" s="2">
        <v>0</v>
      </c>
      <c r="M186" s="5">
        <v>1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5">
        <v>1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</row>
    <row r="187" spans="1:28" ht="45" x14ac:dyDescent="0.25">
      <c r="A187" s="2">
        <v>186</v>
      </c>
      <c r="B187" s="5">
        <v>0.35425531914893621</v>
      </c>
      <c r="C187" s="5">
        <v>0.3530120481927711</v>
      </c>
      <c r="D187" s="5">
        <v>3.3000000000000002E-2</v>
      </c>
      <c r="E187" s="5">
        <v>7.7279752704791344E-2</v>
      </c>
      <c r="F187" s="2" t="s">
        <v>376</v>
      </c>
      <c r="G187" s="2" t="s">
        <v>377</v>
      </c>
      <c r="H187" s="2" t="s">
        <v>2688</v>
      </c>
      <c r="I187" s="2" t="s">
        <v>2687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5">
        <v>1</v>
      </c>
      <c r="P187" s="2">
        <v>0</v>
      </c>
      <c r="Q187" s="2">
        <v>0</v>
      </c>
      <c r="R187" s="2">
        <v>0</v>
      </c>
      <c r="S187" s="5">
        <v>1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</row>
    <row r="188" spans="1:28" ht="45" x14ac:dyDescent="0.25">
      <c r="A188" s="2">
        <v>187</v>
      </c>
      <c r="B188" s="5">
        <v>0.35744680851063831</v>
      </c>
      <c r="C188" s="5">
        <v>0.45060240963855419</v>
      </c>
      <c r="D188" s="5">
        <v>0.13</v>
      </c>
      <c r="E188" s="5">
        <v>4.714064914992272E-2</v>
      </c>
      <c r="F188" s="2" t="s">
        <v>378</v>
      </c>
      <c r="G188" s="2" t="s">
        <v>379</v>
      </c>
      <c r="H188" s="2" t="s">
        <v>2688</v>
      </c>
      <c r="I188" s="2" t="s">
        <v>2687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5">
        <v>1</v>
      </c>
      <c r="P188" s="2">
        <v>0</v>
      </c>
      <c r="Q188" s="2">
        <v>0</v>
      </c>
      <c r="R188" s="2">
        <v>0</v>
      </c>
      <c r="S188" s="5">
        <v>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28" ht="45" x14ac:dyDescent="0.25">
      <c r="A189" s="2">
        <v>188</v>
      </c>
      <c r="B189" s="5">
        <v>0.39148936170212773</v>
      </c>
      <c r="C189" s="5">
        <v>0.27710843373493982</v>
      </c>
      <c r="D189" s="5">
        <v>0.15</v>
      </c>
      <c r="E189" s="5">
        <v>6.1823802163833083E-2</v>
      </c>
      <c r="F189" s="2" t="s">
        <v>380</v>
      </c>
      <c r="G189" s="2" t="s">
        <v>381</v>
      </c>
      <c r="H189" s="2" t="s">
        <v>2688</v>
      </c>
      <c r="I189" s="2" t="s">
        <v>2686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5">
        <v>1</v>
      </c>
      <c r="P189" s="2">
        <v>0</v>
      </c>
      <c r="Q189" s="5">
        <v>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28" ht="45" x14ac:dyDescent="0.25">
      <c r="A190" s="2">
        <v>189</v>
      </c>
      <c r="B190" s="5">
        <v>0.11276595744680851</v>
      </c>
      <c r="C190" s="5">
        <v>5.301204819277109E-2</v>
      </c>
      <c r="D190" s="5">
        <v>6.3E-2</v>
      </c>
      <c r="E190" s="5">
        <v>1.2210200927357031E-2</v>
      </c>
      <c r="F190" s="2" t="s">
        <v>382</v>
      </c>
      <c r="G190" s="2" t="s">
        <v>383</v>
      </c>
      <c r="H190" s="2" t="s">
        <v>2683</v>
      </c>
      <c r="I190" s="2" t="s">
        <v>2682</v>
      </c>
      <c r="J190" s="2">
        <v>0</v>
      </c>
      <c r="K190" s="2">
        <v>0</v>
      </c>
      <c r="L190" s="2">
        <v>0</v>
      </c>
      <c r="M190" s="5">
        <v>1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5">
        <v>1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</row>
    <row r="191" spans="1:28" ht="45" x14ac:dyDescent="0.25">
      <c r="A191" s="2">
        <v>190</v>
      </c>
      <c r="B191" s="5">
        <v>0.15</v>
      </c>
      <c r="C191" s="5">
        <v>5.301204819277109E-2</v>
      </c>
      <c r="D191" s="5">
        <v>0.10199999999999999</v>
      </c>
      <c r="E191" s="5">
        <v>1.236476043276661E-2</v>
      </c>
      <c r="F191" s="2" t="s">
        <v>384</v>
      </c>
      <c r="G191" s="2" t="s">
        <v>385</v>
      </c>
      <c r="H191" s="2" t="s">
        <v>2683</v>
      </c>
      <c r="I191" s="2" t="s">
        <v>2685</v>
      </c>
      <c r="J191" s="2">
        <v>0</v>
      </c>
      <c r="K191" s="2">
        <v>0</v>
      </c>
      <c r="L191" s="2">
        <v>0</v>
      </c>
      <c r="M191" s="5">
        <v>1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5">
        <v>1</v>
      </c>
      <c r="Y191" s="2">
        <v>0</v>
      </c>
      <c r="Z191" s="2">
        <v>0</v>
      </c>
      <c r="AA191" s="2">
        <v>0</v>
      </c>
      <c r="AB191" s="2">
        <v>0</v>
      </c>
    </row>
    <row r="192" spans="1:28" ht="30" x14ac:dyDescent="0.25">
      <c r="A192" s="2">
        <v>191</v>
      </c>
      <c r="B192" s="5">
        <v>0.13372340425531909</v>
      </c>
      <c r="C192" s="5">
        <v>3.9759036144578312E-2</v>
      </c>
      <c r="D192" s="5">
        <v>1.9E-2</v>
      </c>
      <c r="E192" s="5">
        <v>3.6939721792890262E-2</v>
      </c>
      <c r="F192" s="2" t="s">
        <v>386</v>
      </c>
      <c r="G192" s="2" t="s">
        <v>387</v>
      </c>
      <c r="H192" s="2" t="s">
        <v>2681</v>
      </c>
      <c r="I192" s="2" t="s">
        <v>2682</v>
      </c>
      <c r="J192" s="2">
        <v>0</v>
      </c>
      <c r="K192" s="2">
        <v>0</v>
      </c>
      <c r="L192" s="2">
        <v>0</v>
      </c>
      <c r="M192" s="2">
        <v>0</v>
      </c>
      <c r="N192" s="5">
        <v>1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5">
        <v>1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 spans="1:28" ht="30" x14ac:dyDescent="0.25">
      <c r="A193" s="2">
        <v>192</v>
      </c>
      <c r="B193" s="5">
        <v>0.29893617021276597</v>
      </c>
      <c r="C193" s="5">
        <v>0.45180722891566272</v>
      </c>
      <c r="D193" s="5">
        <v>3.0000000000000001E-3</v>
      </c>
      <c r="E193" s="5">
        <v>4.9613601236476047E-2</v>
      </c>
      <c r="F193" s="2" t="s">
        <v>388</v>
      </c>
      <c r="G193" s="2" t="s">
        <v>389</v>
      </c>
      <c r="H193" s="2" t="s">
        <v>2681</v>
      </c>
      <c r="I193" s="2" t="s">
        <v>2682</v>
      </c>
      <c r="J193" s="2">
        <v>0</v>
      </c>
      <c r="K193" s="2">
        <v>0</v>
      </c>
      <c r="L193" s="2">
        <v>0</v>
      </c>
      <c r="M193" s="2">
        <v>0</v>
      </c>
      <c r="N193" s="5">
        <v>1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5">
        <v>1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28" ht="45" x14ac:dyDescent="0.25">
      <c r="A194" s="2">
        <v>193</v>
      </c>
      <c r="B194" s="5">
        <v>4.042553191489362E-2</v>
      </c>
      <c r="C194" s="5">
        <v>1.9277108433734941E-2</v>
      </c>
      <c r="D194" s="5">
        <v>8.0000000000000002E-3</v>
      </c>
      <c r="E194" s="5">
        <v>9.7372488408037083E-3</v>
      </c>
      <c r="F194" s="2" t="s">
        <v>390</v>
      </c>
      <c r="G194" s="2" t="s">
        <v>391</v>
      </c>
      <c r="H194" s="2" t="s">
        <v>2684</v>
      </c>
      <c r="I194" s="2" t="s">
        <v>2682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5">
        <v>1</v>
      </c>
      <c r="Q194" s="2">
        <v>0</v>
      </c>
      <c r="R194" s="2">
        <v>0</v>
      </c>
      <c r="S194" s="2">
        <v>0</v>
      </c>
      <c r="T194" s="2">
        <v>0</v>
      </c>
      <c r="U194" s="5">
        <v>1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 spans="1:28" ht="30" x14ac:dyDescent="0.25">
      <c r="A195" s="2">
        <v>194</v>
      </c>
      <c r="B195" s="5">
        <v>2.7659574468085112E-2</v>
      </c>
      <c r="C195" s="5">
        <v>8.4337349397590362E-3</v>
      </c>
      <c r="D195" s="5">
        <v>3.0000000000000001E-3</v>
      </c>
      <c r="E195" s="5">
        <v>8.0370942812983005E-3</v>
      </c>
      <c r="F195" s="2" t="s">
        <v>392</v>
      </c>
      <c r="G195" s="2" t="s">
        <v>393</v>
      </c>
      <c r="H195" s="2" t="s">
        <v>2684</v>
      </c>
      <c r="I195" s="2" t="s">
        <v>2682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5">
        <v>1</v>
      </c>
      <c r="Q195" s="2">
        <v>0</v>
      </c>
      <c r="R195" s="2">
        <v>0</v>
      </c>
      <c r="S195" s="2">
        <v>0</v>
      </c>
      <c r="T195" s="2">
        <v>0</v>
      </c>
      <c r="U195" s="5">
        <v>1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</row>
    <row r="196" spans="1:28" ht="45" x14ac:dyDescent="0.25">
      <c r="A196" s="2">
        <v>195</v>
      </c>
      <c r="B196" s="5">
        <v>0.3904255319148936</v>
      </c>
      <c r="C196" s="5">
        <v>0.19156626506024099</v>
      </c>
      <c r="D196" s="5">
        <v>6.2000000000000013E-2</v>
      </c>
      <c r="E196" s="5">
        <v>9.55177743431221E-2</v>
      </c>
      <c r="F196" s="2" t="s">
        <v>394</v>
      </c>
      <c r="G196" s="2" t="s">
        <v>395</v>
      </c>
      <c r="H196" s="2" t="s">
        <v>2684</v>
      </c>
      <c r="I196" s="2" t="s">
        <v>2682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5">
        <v>1</v>
      </c>
      <c r="Q196" s="2">
        <v>0</v>
      </c>
      <c r="R196" s="2">
        <v>0</v>
      </c>
      <c r="S196" s="2">
        <v>0</v>
      </c>
      <c r="T196" s="2">
        <v>0</v>
      </c>
      <c r="U196" s="5">
        <v>1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</row>
    <row r="197" spans="1:28" ht="45" x14ac:dyDescent="0.25">
      <c r="A197" s="2">
        <v>196</v>
      </c>
      <c r="B197" s="5">
        <v>3.8297872340425532E-2</v>
      </c>
      <c r="C197" s="5">
        <v>1.204819277108434E-2</v>
      </c>
      <c r="D197" s="5">
        <v>3.0000000000000001E-3</v>
      </c>
      <c r="E197" s="5">
        <v>1.1282843894899541E-2</v>
      </c>
      <c r="F197" s="2" t="s">
        <v>396</v>
      </c>
      <c r="G197" s="2" t="s">
        <v>397</v>
      </c>
      <c r="H197" s="2" t="s">
        <v>2684</v>
      </c>
      <c r="I197" s="2" t="s">
        <v>2682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5">
        <v>1</v>
      </c>
      <c r="Q197" s="2">
        <v>0</v>
      </c>
      <c r="R197" s="2">
        <v>0</v>
      </c>
      <c r="S197" s="2">
        <v>0</v>
      </c>
      <c r="T197" s="2">
        <v>0</v>
      </c>
      <c r="U197" s="5">
        <v>1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</row>
    <row r="198" spans="1:28" ht="45" x14ac:dyDescent="0.25">
      <c r="A198" s="2">
        <v>197</v>
      </c>
      <c r="B198" s="5">
        <v>0.1276595744680851</v>
      </c>
      <c r="C198" s="5">
        <v>5.6626506024096392E-2</v>
      </c>
      <c r="D198" s="5">
        <v>2.4E-2</v>
      </c>
      <c r="E198" s="5">
        <v>3.075734157650695E-2</v>
      </c>
      <c r="F198" s="2" t="s">
        <v>398</v>
      </c>
      <c r="G198" s="2" t="s">
        <v>399</v>
      </c>
      <c r="H198" s="2" t="s">
        <v>2684</v>
      </c>
      <c r="I198" s="2" t="s">
        <v>2682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5">
        <v>1</v>
      </c>
      <c r="Q198" s="2">
        <v>0</v>
      </c>
      <c r="R198" s="2">
        <v>0</v>
      </c>
      <c r="S198" s="2">
        <v>0</v>
      </c>
      <c r="T198" s="2">
        <v>0</v>
      </c>
      <c r="U198" s="5">
        <v>1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</row>
    <row r="199" spans="1:28" ht="45" x14ac:dyDescent="0.25">
      <c r="A199" s="2">
        <v>198</v>
      </c>
      <c r="B199" s="5">
        <v>2.1276595744680851E-2</v>
      </c>
      <c r="C199" s="5">
        <v>2.0481927710843371E-2</v>
      </c>
      <c r="D199" s="5">
        <v>4.0000000000000001E-3</v>
      </c>
      <c r="E199" s="5">
        <v>5.2550231839258114E-3</v>
      </c>
      <c r="F199" s="2" t="s">
        <v>400</v>
      </c>
      <c r="G199" s="2" t="s">
        <v>401</v>
      </c>
      <c r="H199" s="2" t="s">
        <v>2684</v>
      </c>
      <c r="I199" s="2" t="s">
        <v>2682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5">
        <v>1</v>
      </c>
      <c r="Q199" s="2">
        <v>0</v>
      </c>
      <c r="R199" s="2">
        <v>0</v>
      </c>
      <c r="S199" s="2">
        <v>0</v>
      </c>
      <c r="T199" s="2">
        <v>0</v>
      </c>
      <c r="U199" s="5">
        <v>1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</row>
    <row r="200" spans="1:28" ht="45" x14ac:dyDescent="0.25">
      <c r="A200" s="2">
        <v>199</v>
      </c>
      <c r="B200" s="5">
        <v>0.16489361702127661</v>
      </c>
      <c r="C200" s="5">
        <v>0.24216867469879519</v>
      </c>
      <c r="D200" s="5">
        <v>3.7999999999999999E-2</v>
      </c>
      <c r="E200" s="5">
        <v>1.5765069551777429E-2</v>
      </c>
      <c r="F200" s="2" t="s">
        <v>402</v>
      </c>
      <c r="G200" s="2" t="s">
        <v>403</v>
      </c>
      <c r="H200" s="2" t="s">
        <v>2688</v>
      </c>
      <c r="I200" s="2" t="s">
        <v>2682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5">
        <v>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5">
        <v>1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</row>
    <row r="201" spans="1:28" ht="30" x14ac:dyDescent="0.25">
      <c r="A201" s="2">
        <v>200</v>
      </c>
      <c r="B201" s="5">
        <v>0.34361702127659582</v>
      </c>
      <c r="C201" s="5">
        <v>5.9036144578313257E-2</v>
      </c>
      <c r="D201" s="5">
        <v>0.115</v>
      </c>
      <c r="E201" s="5">
        <v>7.7434312210200931E-2</v>
      </c>
      <c r="F201" s="2" t="s">
        <v>404</v>
      </c>
      <c r="G201" s="2" t="s">
        <v>405</v>
      </c>
      <c r="H201" s="2" t="s">
        <v>2683</v>
      </c>
      <c r="I201" s="2" t="s">
        <v>2691</v>
      </c>
      <c r="J201" s="2">
        <v>0</v>
      </c>
      <c r="K201" s="2">
        <v>0</v>
      </c>
      <c r="L201" s="2">
        <v>0</v>
      </c>
      <c r="M201" s="5">
        <v>1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5">
        <v>1</v>
      </c>
      <c r="Z201" s="2">
        <v>0</v>
      </c>
      <c r="AA201" s="2">
        <v>0</v>
      </c>
      <c r="AB201" s="2">
        <v>0</v>
      </c>
    </row>
    <row r="202" spans="1:28" ht="60" x14ac:dyDescent="0.25">
      <c r="A202" s="2">
        <v>201</v>
      </c>
      <c r="B202" s="5">
        <v>0.1085106382978723</v>
      </c>
      <c r="C202" s="5">
        <v>3.8554216867469883E-2</v>
      </c>
      <c r="D202" s="5">
        <v>0.06</v>
      </c>
      <c r="E202" s="5">
        <v>1.3446676970633689E-2</v>
      </c>
      <c r="F202" s="2" t="s">
        <v>406</v>
      </c>
      <c r="G202" s="2" t="s">
        <v>407</v>
      </c>
      <c r="H202" s="2" t="s">
        <v>2683</v>
      </c>
      <c r="I202" s="2" t="s">
        <v>2682</v>
      </c>
      <c r="J202" s="2">
        <v>0</v>
      </c>
      <c r="K202" s="2">
        <v>0</v>
      </c>
      <c r="L202" s="2">
        <v>0</v>
      </c>
      <c r="M202" s="5">
        <v>1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5">
        <v>1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 spans="1:28" ht="30" x14ac:dyDescent="0.25">
      <c r="A203" s="2">
        <v>202</v>
      </c>
      <c r="B203" s="5">
        <v>0.38936170212765958</v>
      </c>
      <c r="C203" s="5">
        <v>0.13253012048192769</v>
      </c>
      <c r="D203" s="5">
        <v>3.3000000000000002E-2</v>
      </c>
      <c r="E203" s="5">
        <v>0.1128284389489954</v>
      </c>
      <c r="F203" s="2" t="s">
        <v>408</v>
      </c>
      <c r="G203" s="2" t="s">
        <v>409</v>
      </c>
      <c r="H203" s="2" t="s">
        <v>2688</v>
      </c>
      <c r="I203" s="2" t="s">
        <v>2691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5">
        <v>1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5">
        <v>1</v>
      </c>
      <c r="Z203" s="2">
        <v>0</v>
      </c>
      <c r="AA203" s="2">
        <v>0</v>
      </c>
      <c r="AB203" s="2">
        <v>0</v>
      </c>
    </row>
    <row r="204" spans="1:28" ht="45" x14ac:dyDescent="0.25">
      <c r="A204" s="2">
        <v>203</v>
      </c>
      <c r="B204" s="5">
        <v>0.1031914893617021</v>
      </c>
      <c r="C204" s="5">
        <v>6.9879518072289162E-2</v>
      </c>
      <c r="D204" s="5">
        <v>6.3E-2</v>
      </c>
      <c r="E204" s="5">
        <v>6.4914992272024734E-3</v>
      </c>
      <c r="F204" s="2" t="s">
        <v>410</v>
      </c>
      <c r="G204" s="2" t="s">
        <v>411</v>
      </c>
      <c r="H204" s="2" t="s">
        <v>2684</v>
      </c>
      <c r="I204" s="2" t="s">
        <v>2685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5">
        <v>1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5">
        <v>1</v>
      </c>
      <c r="Y204" s="2">
        <v>0</v>
      </c>
      <c r="Z204" s="2">
        <v>0</v>
      </c>
      <c r="AA204" s="2">
        <v>0</v>
      </c>
      <c r="AB204" s="2">
        <v>0</v>
      </c>
    </row>
    <row r="205" spans="1:28" ht="45" x14ac:dyDescent="0.25">
      <c r="A205" s="2">
        <v>204</v>
      </c>
      <c r="B205" s="5">
        <v>2.553191489361702E-2</v>
      </c>
      <c r="C205" s="5">
        <v>2.289156626506024E-2</v>
      </c>
      <c r="D205" s="5">
        <v>2E-3</v>
      </c>
      <c r="E205" s="5">
        <v>5.7187017001545598E-3</v>
      </c>
      <c r="F205" s="2" t="s">
        <v>412</v>
      </c>
      <c r="G205" s="2" t="s">
        <v>413</v>
      </c>
      <c r="H205" s="2" t="s">
        <v>2683</v>
      </c>
      <c r="I205" s="2" t="s">
        <v>2682</v>
      </c>
      <c r="J205" s="2">
        <v>0</v>
      </c>
      <c r="K205" s="2">
        <v>0</v>
      </c>
      <c r="L205" s="2">
        <v>0</v>
      </c>
      <c r="M205" s="5">
        <v>1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5">
        <v>1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</row>
    <row r="206" spans="1:28" ht="60" x14ac:dyDescent="0.25">
      <c r="A206" s="2">
        <v>205</v>
      </c>
      <c r="B206" s="5">
        <v>0.48936170212765961</v>
      </c>
      <c r="C206" s="5">
        <v>9.6385542168674707E-3</v>
      </c>
      <c r="D206" s="5">
        <v>0.187</v>
      </c>
      <c r="E206" s="5">
        <v>2.658423493044822E-2</v>
      </c>
      <c r="F206" s="2" t="s">
        <v>414</v>
      </c>
      <c r="G206" s="2" t="s">
        <v>415</v>
      </c>
      <c r="H206" s="2" t="s">
        <v>2681</v>
      </c>
      <c r="I206" s="2" t="s">
        <v>2682</v>
      </c>
      <c r="J206" s="2">
        <v>0</v>
      </c>
      <c r="K206" s="2">
        <v>0</v>
      </c>
      <c r="L206" s="2">
        <v>0</v>
      </c>
      <c r="M206" s="2">
        <v>0</v>
      </c>
      <c r="N206" s="5">
        <v>1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5">
        <v>1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</row>
    <row r="207" spans="1:28" ht="45" x14ac:dyDescent="0.25">
      <c r="A207" s="2">
        <v>206</v>
      </c>
      <c r="B207" s="5">
        <v>0.12340425531914891</v>
      </c>
      <c r="C207" s="5">
        <v>3.6144578313253017E-2</v>
      </c>
      <c r="D207" s="5">
        <v>4.0000000000000001E-3</v>
      </c>
      <c r="E207" s="5">
        <v>4.420401854714065E-2</v>
      </c>
      <c r="F207" s="2" t="s">
        <v>416</v>
      </c>
      <c r="G207" s="2" t="s">
        <v>417</v>
      </c>
      <c r="H207" s="2" t="s">
        <v>2683</v>
      </c>
      <c r="I207" s="2" t="s">
        <v>2682</v>
      </c>
      <c r="J207" s="2">
        <v>0</v>
      </c>
      <c r="K207" s="2">
        <v>0</v>
      </c>
      <c r="L207" s="2">
        <v>0</v>
      </c>
      <c r="M207" s="5">
        <v>1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5">
        <v>1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</row>
    <row r="208" spans="1:28" ht="30" x14ac:dyDescent="0.25">
      <c r="A208" s="2">
        <v>207</v>
      </c>
      <c r="B208" s="5">
        <v>0.35106382978723399</v>
      </c>
      <c r="C208" s="5">
        <v>6.2650602409638559E-2</v>
      </c>
      <c r="D208" s="5">
        <v>8.900000000000001E-2</v>
      </c>
      <c r="E208" s="5">
        <v>8.8717156105100461E-2</v>
      </c>
      <c r="F208" s="2" t="s">
        <v>418</v>
      </c>
      <c r="G208" s="2" t="s">
        <v>419</v>
      </c>
      <c r="H208" s="2" t="s">
        <v>2688</v>
      </c>
      <c r="I208" s="2" t="s">
        <v>2692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5">
        <v>1</v>
      </c>
      <c r="P208" s="2">
        <v>0</v>
      </c>
      <c r="Q208" s="2">
        <v>0</v>
      </c>
      <c r="R208" s="5">
        <v>1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</row>
    <row r="209" spans="1:28" ht="75" x14ac:dyDescent="0.25">
      <c r="A209" s="2">
        <v>208</v>
      </c>
      <c r="B209" s="5">
        <v>0.35319148936170208</v>
      </c>
      <c r="C209" s="5">
        <v>0.13253012048192769</v>
      </c>
      <c r="D209" s="5">
        <v>3.3000000000000002E-2</v>
      </c>
      <c r="E209" s="5">
        <v>0.1128284389489954</v>
      </c>
      <c r="F209" s="2" t="s">
        <v>420</v>
      </c>
      <c r="G209" s="2" t="s">
        <v>421</v>
      </c>
      <c r="H209" s="2" t="s">
        <v>2681</v>
      </c>
      <c r="I209" s="2" t="s">
        <v>2682</v>
      </c>
      <c r="J209" s="2">
        <v>0</v>
      </c>
      <c r="K209" s="2">
        <v>0</v>
      </c>
      <c r="L209" s="2">
        <v>0</v>
      </c>
      <c r="M209" s="2">
        <v>0</v>
      </c>
      <c r="N209" s="5">
        <v>1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5">
        <v>1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</row>
    <row r="210" spans="1:28" ht="30" x14ac:dyDescent="0.25">
      <c r="A210" s="2">
        <v>209</v>
      </c>
      <c r="B210" s="5">
        <v>0.49148936170212759</v>
      </c>
      <c r="C210" s="5">
        <v>1.445783132530121E-2</v>
      </c>
      <c r="D210" s="5">
        <v>0.20699999999999999</v>
      </c>
      <c r="E210" s="5">
        <v>0.1046367851622875</v>
      </c>
      <c r="F210" s="2" t="s">
        <v>422</v>
      </c>
      <c r="G210" s="2" t="s">
        <v>423</v>
      </c>
      <c r="H210" s="2" t="s">
        <v>2683</v>
      </c>
      <c r="I210" s="2" t="s">
        <v>2690</v>
      </c>
      <c r="J210" s="2">
        <v>0</v>
      </c>
      <c r="K210" s="2">
        <v>0</v>
      </c>
      <c r="L210" s="2">
        <v>0</v>
      </c>
      <c r="M210" s="5">
        <v>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5">
        <v>1</v>
      </c>
    </row>
    <row r="211" spans="1:28" ht="45" x14ac:dyDescent="0.25">
      <c r="A211" s="2">
        <v>210</v>
      </c>
      <c r="B211" s="5">
        <v>0.17872340425531921</v>
      </c>
      <c r="C211" s="5">
        <v>0.15662650602409639</v>
      </c>
      <c r="D211" s="5">
        <v>9.6000000000000002E-2</v>
      </c>
      <c r="E211" s="5">
        <v>1.15919629057187E-2</v>
      </c>
      <c r="F211" s="2" t="s">
        <v>424</v>
      </c>
      <c r="G211" s="2" t="s">
        <v>425</v>
      </c>
      <c r="H211" s="2" t="s">
        <v>2681</v>
      </c>
      <c r="I211" s="2" t="s">
        <v>2682</v>
      </c>
      <c r="J211" s="2">
        <v>0</v>
      </c>
      <c r="K211" s="2">
        <v>0</v>
      </c>
      <c r="L211" s="2">
        <v>0</v>
      </c>
      <c r="M211" s="2">
        <v>0</v>
      </c>
      <c r="N211" s="5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5">
        <v>1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</row>
    <row r="212" spans="1:28" ht="30" x14ac:dyDescent="0.25">
      <c r="A212" s="2">
        <v>211</v>
      </c>
      <c r="B212" s="5">
        <v>0.15212765957446811</v>
      </c>
      <c r="C212" s="5">
        <v>0.1180722891566265</v>
      </c>
      <c r="D212" s="5">
        <v>1.4E-2</v>
      </c>
      <c r="E212" s="5">
        <v>3.5239567233384853E-2</v>
      </c>
      <c r="F212" s="2" t="s">
        <v>426</v>
      </c>
      <c r="G212" s="2" t="s">
        <v>351</v>
      </c>
      <c r="H212" s="2" t="s">
        <v>2681</v>
      </c>
      <c r="I212" s="2" t="s">
        <v>2682</v>
      </c>
      <c r="J212" s="2">
        <v>0</v>
      </c>
      <c r="K212" s="2">
        <v>0</v>
      </c>
      <c r="L212" s="2">
        <v>0</v>
      </c>
      <c r="M212" s="2">
        <v>0</v>
      </c>
      <c r="N212" s="5">
        <v>1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5">
        <v>1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ht="30" x14ac:dyDescent="0.25">
      <c r="A213" s="2">
        <v>212</v>
      </c>
      <c r="B213" s="5">
        <v>0.33085106382978718</v>
      </c>
      <c r="C213" s="5">
        <v>9.6385542168674704E-2</v>
      </c>
      <c r="D213" s="5">
        <v>0.04</v>
      </c>
      <c r="E213" s="5">
        <v>7.5579598145285934E-2</v>
      </c>
      <c r="F213" s="2" t="s">
        <v>427</v>
      </c>
      <c r="G213" s="2" t="s">
        <v>428</v>
      </c>
      <c r="H213" s="2" t="s">
        <v>2694</v>
      </c>
      <c r="I213" s="2" t="s">
        <v>2695</v>
      </c>
      <c r="J213" s="5">
        <v>1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5">
        <v>1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</row>
    <row r="214" spans="1:28" ht="30" x14ac:dyDescent="0.25">
      <c r="A214" s="2">
        <v>213</v>
      </c>
      <c r="B214" s="5">
        <v>0.50212765957446814</v>
      </c>
      <c r="C214" s="5">
        <v>2.4096385542168679E-2</v>
      </c>
      <c r="D214" s="5">
        <v>0.29799999999999999</v>
      </c>
      <c r="E214" s="5">
        <v>9.6908809891808348E-2</v>
      </c>
      <c r="F214" s="2" t="s">
        <v>429</v>
      </c>
      <c r="G214" s="2" t="s">
        <v>430</v>
      </c>
      <c r="H214" s="2" t="s">
        <v>2688</v>
      </c>
      <c r="I214" s="2" t="s">
        <v>2695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5">
        <v>1</v>
      </c>
      <c r="P214" s="2">
        <v>0</v>
      </c>
      <c r="Q214" s="2">
        <v>0</v>
      </c>
      <c r="R214" s="2">
        <v>0</v>
      </c>
      <c r="S214" s="2">
        <v>0</v>
      </c>
      <c r="T214" s="5">
        <v>1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</row>
    <row r="215" spans="1:28" ht="30" x14ac:dyDescent="0.25">
      <c r="A215" s="2">
        <v>214</v>
      </c>
      <c r="B215" s="5">
        <v>0.53617021276595744</v>
      </c>
      <c r="C215" s="5">
        <v>6.6265060240963861E-2</v>
      </c>
      <c r="D215" s="5">
        <v>0.52900000000000003</v>
      </c>
      <c r="E215" s="5">
        <v>4.5131375579598142E-2</v>
      </c>
      <c r="F215" s="2" t="s">
        <v>431</v>
      </c>
      <c r="G215" s="2" t="s">
        <v>432</v>
      </c>
      <c r="H215" s="2" t="s">
        <v>2688</v>
      </c>
      <c r="I215" s="2" t="s">
        <v>2695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5">
        <v>1</v>
      </c>
      <c r="P215" s="2">
        <v>0</v>
      </c>
      <c r="Q215" s="2">
        <v>0</v>
      </c>
      <c r="R215" s="2">
        <v>0</v>
      </c>
      <c r="S215" s="2">
        <v>0</v>
      </c>
      <c r="T215" s="5">
        <v>1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</row>
    <row r="216" spans="1:28" ht="45" x14ac:dyDescent="0.25">
      <c r="A216" s="2">
        <v>215</v>
      </c>
      <c r="B216" s="5">
        <v>0.40531914893617021</v>
      </c>
      <c r="C216" s="5">
        <v>0.108433734939759</v>
      </c>
      <c r="D216" s="5">
        <v>0.35</v>
      </c>
      <c r="E216" s="5">
        <v>8.2843894899536322E-2</v>
      </c>
      <c r="F216" s="2" t="s">
        <v>433</v>
      </c>
      <c r="G216" s="2" t="s">
        <v>434</v>
      </c>
      <c r="H216" s="2" t="s">
        <v>2696</v>
      </c>
      <c r="I216" s="2" t="s">
        <v>2693</v>
      </c>
      <c r="J216" s="2">
        <v>0</v>
      </c>
      <c r="K216" s="5">
        <v>1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5">
        <v>1</v>
      </c>
      <c r="AA216" s="2">
        <v>0</v>
      </c>
      <c r="AB216" s="2">
        <v>0</v>
      </c>
    </row>
    <row r="217" spans="1:28" ht="30" x14ac:dyDescent="0.25">
      <c r="A217" s="2">
        <v>216</v>
      </c>
      <c r="B217" s="5">
        <v>0.22340425531914901</v>
      </c>
      <c r="C217" s="5">
        <v>1.9277108433734941E-2</v>
      </c>
      <c r="D217" s="5">
        <v>6.6000000000000003E-2</v>
      </c>
      <c r="E217" s="5">
        <v>5.5332302936630599E-2</v>
      </c>
      <c r="F217" s="2" t="s">
        <v>435</v>
      </c>
      <c r="G217" s="2" t="s">
        <v>436</v>
      </c>
      <c r="H217" s="2" t="s">
        <v>2681</v>
      </c>
      <c r="I217" s="2" t="s">
        <v>2682</v>
      </c>
      <c r="J217" s="2">
        <v>0</v>
      </c>
      <c r="K217" s="2">
        <v>0</v>
      </c>
      <c r="L217" s="2">
        <v>0</v>
      </c>
      <c r="M217" s="2">
        <v>0</v>
      </c>
      <c r="N217" s="5">
        <v>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5">
        <v>1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</row>
    <row r="218" spans="1:28" ht="45" x14ac:dyDescent="0.25">
      <c r="A218" s="2">
        <v>217</v>
      </c>
      <c r="B218" s="5">
        <v>0.25638297872340432</v>
      </c>
      <c r="C218" s="5">
        <v>0.19277108433734941</v>
      </c>
      <c r="D218" s="5">
        <v>0.25</v>
      </c>
      <c r="E218" s="2">
        <v>0</v>
      </c>
      <c r="F218" s="2" t="s">
        <v>437</v>
      </c>
      <c r="G218" s="2" t="s">
        <v>438</v>
      </c>
      <c r="H218" s="2" t="s">
        <v>2688</v>
      </c>
      <c r="I218" s="2" t="s">
        <v>2682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5">
        <v>1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5">
        <v>1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</row>
    <row r="219" spans="1:28" ht="45" x14ac:dyDescent="0.25">
      <c r="A219" s="2">
        <v>218</v>
      </c>
      <c r="B219" s="5">
        <v>0.10212765957446809</v>
      </c>
      <c r="C219" s="5">
        <v>8.1927710843373497E-2</v>
      </c>
      <c r="D219" s="5">
        <v>5.8999999999999997E-2</v>
      </c>
      <c r="E219" s="5">
        <v>5.8732612055641424E-3</v>
      </c>
      <c r="F219" s="2" t="s">
        <v>439</v>
      </c>
      <c r="G219" s="2" t="s">
        <v>440</v>
      </c>
      <c r="H219" s="2" t="s">
        <v>2681</v>
      </c>
      <c r="I219" s="2" t="s">
        <v>2682</v>
      </c>
      <c r="J219" s="2">
        <v>0</v>
      </c>
      <c r="K219" s="2">
        <v>0</v>
      </c>
      <c r="L219" s="2">
        <v>0</v>
      </c>
      <c r="M219" s="2">
        <v>0</v>
      </c>
      <c r="N219" s="5">
        <v>1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5">
        <v>1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</row>
    <row r="220" spans="1:28" ht="60" x14ac:dyDescent="0.25">
      <c r="A220" s="2">
        <v>219</v>
      </c>
      <c r="B220" s="5">
        <v>8.9361702127659579E-2</v>
      </c>
      <c r="C220" s="5">
        <v>7.2289156626506035E-2</v>
      </c>
      <c r="D220" s="5">
        <v>0.06</v>
      </c>
      <c r="E220" s="5">
        <v>2.1638330757341581E-3</v>
      </c>
      <c r="F220" s="2" t="s">
        <v>441</v>
      </c>
      <c r="G220" s="2" t="s">
        <v>442</v>
      </c>
      <c r="H220" s="2" t="s">
        <v>2688</v>
      </c>
      <c r="I220" s="2" t="s">
        <v>2689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5">
        <v>1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5">
        <v>1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</row>
    <row r="221" spans="1:28" ht="45" x14ac:dyDescent="0.25">
      <c r="A221" s="2">
        <v>220</v>
      </c>
      <c r="B221" s="5">
        <v>0.1542553191489362</v>
      </c>
      <c r="C221" s="5">
        <v>0.3253012048192771</v>
      </c>
      <c r="D221" s="5">
        <v>2.3E-2</v>
      </c>
      <c r="E221" s="2">
        <v>0</v>
      </c>
      <c r="F221" s="2" t="s">
        <v>443</v>
      </c>
      <c r="G221" s="2" t="s">
        <v>444</v>
      </c>
      <c r="H221" s="2" t="s">
        <v>2688</v>
      </c>
      <c r="I221" s="2" t="s">
        <v>2682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5">
        <v>1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5">
        <v>1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</row>
    <row r="222" spans="1:28" ht="30" x14ac:dyDescent="0.25">
      <c r="A222" s="2">
        <v>221</v>
      </c>
      <c r="B222" s="5">
        <v>1.276595744680851E-2</v>
      </c>
      <c r="C222" s="5">
        <v>1.2048192771084341E-3</v>
      </c>
      <c r="D222" s="5">
        <v>1E-3</v>
      </c>
      <c r="E222" s="5">
        <v>7.7279752704791354E-3</v>
      </c>
      <c r="F222" s="2" t="s">
        <v>445</v>
      </c>
      <c r="G222" s="2" t="s">
        <v>446</v>
      </c>
      <c r="H222" s="2" t="s">
        <v>2696</v>
      </c>
      <c r="I222" s="2" t="s">
        <v>2682</v>
      </c>
      <c r="J222" s="2">
        <v>0</v>
      </c>
      <c r="K222" s="5">
        <v>1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5">
        <v>1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</row>
    <row r="223" spans="1:28" ht="45" x14ac:dyDescent="0.25">
      <c r="A223" s="2">
        <v>222</v>
      </c>
      <c r="B223" s="5">
        <v>0.28191489361702132</v>
      </c>
      <c r="C223" s="5">
        <v>0.48915662650602421</v>
      </c>
      <c r="D223" s="5">
        <v>0.10100000000000001</v>
      </c>
      <c r="E223" s="2">
        <v>0</v>
      </c>
      <c r="F223" s="2" t="s">
        <v>447</v>
      </c>
      <c r="G223" s="2" t="s">
        <v>448</v>
      </c>
      <c r="H223" s="2" t="s">
        <v>2684</v>
      </c>
      <c r="I223" s="2" t="s">
        <v>2691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5">
        <v>1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5">
        <v>1</v>
      </c>
      <c r="Z223" s="2">
        <v>0</v>
      </c>
      <c r="AA223" s="2">
        <v>0</v>
      </c>
      <c r="AB223" s="2">
        <v>0</v>
      </c>
    </row>
    <row r="224" spans="1:28" ht="45" x14ac:dyDescent="0.25">
      <c r="A224" s="2">
        <v>223</v>
      </c>
      <c r="B224" s="5">
        <v>7.9787234042553196E-2</v>
      </c>
      <c r="C224" s="5">
        <v>0.19397590361445791</v>
      </c>
      <c r="D224" s="5">
        <v>6.9999999999999993E-3</v>
      </c>
      <c r="E224" s="5">
        <v>1.545595054095827E-4</v>
      </c>
      <c r="F224" s="2" t="s">
        <v>449</v>
      </c>
      <c r="G224" s="2" t="s">
        <v>450</v>
      </c>
      <c r="H224" s="2" t="s">
        <v>2683</v>
      </c>
      <c r="I224" s="2" t="s">
        <v>2691</v>
      </c>
      <c r="J224" s="2">
        <v>0</v>
      </c>
      <c r="K224" s="2">
        <v>0</v>
      </c>
      <c r="L224" s="2">
        <v>0</v>
      </c>
      <c r="M224" s="5">
        <v>1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5">
        <v>1</v>
      </c>
      <c r="Z224" s="2">
        <v>0</v>
      </c>
      <c r="AA224" s="2">
        <v>0</v>
      </c>
      <c r="AB224" s="2">
        <v>0</v>
      </c>
    </row>
    <row r="225" spans="1:28" ht="60" x14ac:dyDescent="0.25">
      <c r="A225" s="2">
        <v>224</v>
      </c>
      <c r="B225" s="5">
        <v>0.2021276595744681</v>
      </c>
      <c r="C225" s="5">
        <v>0.2301204819277109</v>
      </c>
      <c r="D225" s="5">
        <v>0.12</v>
      </c>
      <c r="E225" s="2">
        <v>0</v>
      </c>
      <c r="F225" s="2" t="s">
        <v>451</v>
      </c>
      <c r="G225" s="2" t="s">
        <v>452</v>
      </c>
      <c r="H225" s="2" t="s">
        <v>2688</v>
      </c>
      <c r="I225" s="2" t="s">
        <v>2689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5">
        <v>1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5">
        <v>1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</row>
    <row r="226" spans="1:28" ht="45" x14ac:dyDescent="0.25">
      <c r="A226" s="2">
        <v>225</v>
      </c>
      <c r="B226" s="5">
        <v>0.20319148936170209</v>
      </c>
      <c r="C226" s="5">
        <v>0.38554216867469882</v>
      </c>
      <c r="D226" s="5">
        <v>0.06</v>
      </c>
      <c r="E226" s="2">
        <v>0</v>
      </c>
      <c r="F226" s="2" t="s">
        <v>453</v>
      </c>
      <c r="G226" s="2" t="s">
        <v>454</v>
      </c>
      <c r="H226" s="2" t="s">
        <v>2688</v>
      </c>
      <c r="I226" s="2" t="s">
        <v>2689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5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5">
        <v>1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</row>
    <row r="227" spans="1:28" ht="45" x14ac:dyDescent="0.25">
      <c r="A227" s="2">
        <v>226</v>
      </c>
      <c r="B227" s="5">
        <v>0.48617021276595751</v>
      </c>
      <c r="C227" s="5">
        <v>0.1397590361445783</v>
      </c>
      <c r="D227" s="5">
        <v>0.45</v>
      </c>
      <c r="E227" s="2">
        <v>0</v>
      </c>
      <c r="F227" s="2" t="s">
        <v>455</v>
      </c>
      <c r="G227" s="2" t="s">
        <v>456</v>
      </c>
      <c r="H227" s="2" t="s">
        <v>2688</v>
      </c>
      <c r="I227" s="2" t="s">
        <v>2689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5">
        <v>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5">
        <v>1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</row>
    <row r="228" spans="1:28" ht="45" x14ac:dyDescent="0.25">
      <c r="A228" s="2">
        <v>227</v>
      </c>
      <c r="B228" s="5">
        <v>0.4</v>
      </c>
      <c r="C228" s="5">
        <v>0.16987951807228921</v>
      </c>
      <c r="D228" s="5">
        <v>0.35</v>
      </c>
      <c r="E228" s="2">
        <v>0</v>
      </c>
      <c r="F228" s="2" t="s">
        <v>457</v>
      </c>
      <c r="G228" s="2" t="s">
        <v>458</v>
      </c>
      <c r="H228" s="2" t="s">
        <v>2688</v>
      </c>
      <c r="I228" s="2" t="s">
        <v>2689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5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5">
        <v>1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</row>
    <row r="229" spans="1:28" ht="30" x14ac:dyDescent="0.25">
      <c r="A229" s="2">
        <v>228</v>
      </c>
      <c r="B229" s="5">
        <v>0.2191489361702128</v>
      </c>
      <c r="C229" s="5">
        <v>0.2060240963855422</v>
      </c>
      <c r="D229" s="5">
        <v>0.14799999999999999</v>
      </c>
      <c r="E229" s="2">
        <v>0</v>
      </c>
      <c r="F229" s="2" t="s">
        <v>459</v>
      </c>
      <c r="G229" s="2" t="s">
        <v>460</v>
      </c>
      <c r="H229" s="2" t="s">
        <v>2688</v>
      </c>
      <c r="I229" s="2" t="s">
        <v>2689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5">
        <v>1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5">
        <v>1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</row>
    <row r="230" spans="1:28" ht="30" x14ac:dyDescent="0.25">
      <c r="A230" s="2">
        <v>229</v>
      </c>
      <c r="B230" s="5">
        <v>0.1638297872340426</v>
      </c>
      <c r="C230" s="5">
        <v>0.2</v>
      </c>
      <c r="D230" s="5">
        <v>9.1999999999999998E-2</v>
      </c>
      <c r="E230" s="2">
        <v>0</v>
      </c>
      <c r="F230" s="2" t="s">
        <v>461</v>
      </c>
      <c r="G230" s="2" t="s">
        <v>462</v>
      </c>
      <c r="H230" s="2" t="s">
        <v>2688</v>
      </c>
      <c r="I230" s="2" t="s">
        <v>2689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5">
        <v>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5">
        <v>1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</row>
    <row r="231" spans="1:28" ht="45" x14ac:dyDescent="0.25">
      <c r="A231" s="2">
        <v>230</v>
      </c>
      <c r="B231" s="5">
        <v>8.9361702127659579E-2</v>
      </c>
      <c r="C231" s="5">
        <v>0.2253012048192771</v>
      </c>
      <c r="D231" s="5">
        <v>5.0000000000000001E-3</v>
      </c>
      <c r="E231" s="2">
        <v>0</v>
      </c>
      <c r="F231" s="2" t="s">
        <v>463</v>
      </c>
      <c r="G231" s="2" t="s">
        <v>464</v>
      </c>
      <c r="H231" s="2" t="s">
        <v>2688</v>
      </c>
      <c r="I231" s="2" t="s">
        <v>2689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5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5">
        <v>1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</row>
    <row r="232" spans="1:28" ht="30" x14ac:dyDescent="0.25">
      <c r="A232" s="2">
        <v>231</v>
      </c>
      <c r="B232" s="5">
        <v>0.12553191489361701</v>
      </c>
      <c r="C232" s="5">
        <v>0.21807228915662649</v>
      </c>
      <c r="D232" s="5">
        <v>4.0999999999999988E-2</v>
      </c>
      <c r="E232" s="5">
        <v>1.3910355486862439E-3</v>
      </c>
      <c r="F232" s="2" t="s">
        <v>465</v>
      </c>
      <c r="G232" s="2" t="s">
        <v>466</v>
      </c>
      <c r="H232" s="2" t="s">
        <v>2688</v>
      </c>
      <c r="I232" s="2" t="s">
        <v>2689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5">
        <v>1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5">
        <v>1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</row>
    <row r="233" spans="1:28" ht="45" x14ac:dyDescent="0.25">
      <c r="A233" s="2">
        <v>232</v>
      </c>
      <c r="B233" s="5">
        <v>0.22021276595744679</v>
      </c>
      <c r="C233" s="5">
        <v>0.22650602409638559</v>
      </c>
      <c r="D233" s="5">
        <v>0.14000000000000001</v>
      </c>
      <c r="E233" s="2">
        <v>0</v>
      </c>
      <c r="F233" s="2" t="s">
        <v>467</v>
      </c>
      <c r="G233" s="2" t="s">
        <v>468</v>
      </c>
      <c r="H233" s="2" t="s">
        <v>2688</v>
      </c>
      <c r="I233" s="2" t="s">
        <v>2689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5">
        <v>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5">
        <v>1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</row>
    <row r="234" spans="1:28" ht="45" x14ac:dyDescent="0.25">
      <c r="A234" s="2">
        <v>233</v>
      </c>
      <c r="B234" s="5">
        <v>2.8723404255319149E-2</v>
      </c>
      <c r="C234" s="5">
        <v>1.566265060240964E-2</v>
      </c>
      <c r="D234" s="5">
        <v>6.0000000000000001E-3</v>
      </c>
      <c r="E234" s="5">
        <v>6.1823802163833066E-3</v>
      </c>
      <c r="F234" s="2" t="s">
        <v>469</v>
      </c>
      <c r="G234" s="2" t="s">
        <v>470</v>
      </c>
      <c r="H234" s="2" t="s">
        <v>2683</v>
      </c>
      <c r="I234" s="2" t="s">
        <v>2685</v>
      </c>
      <c r="J234" s="2">
        <v>0</v>
      </c>
      <c r="K234" s="2">
        <v>0</v>
      </c>
      <c r="L234" s="2">
        <v>0</v>
      </c>
      <c r="M234" s="5">
        <v>1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5">
        <v>1</v>
      </c>
      <c r="Y234" s="2">
        <v>0</v>
      </c>
      <c r="Z234" s="2">
        <v>0</v>
      </c>
      <c r="AA234" s="2">
        <v>0</v>
      </c>
      <c r="AB234" s="2">
        <v>0</v>
      </c>
    </row>
    <row r="235" spans="1:28" ht="45" x14ac:dyDescent="0.25">
      <c r="A235" s="2">
        <v>234</v>
      </c>
      <c r="B235" s="5">
        <v>3.085106382978723E-2</v>
      </c>
      <c r="C235" s="5">
        <v>2.168674698795181E-2</v>
      </c>
      <c r="D235" s="5">
        <v>6.9999999999999993E-3</v>
      </c>
      <c r="E235" s="5">
        <v>8.0370942812983005E-3</v>
      </c>
      <c r="F235" s="2" t="s">
        <v>471</v>
      </c>
      <c r="G235" s="2" t="s">
        <v>472</v>
      </c>
      <c r="H235" s="2" t="s">
        <v>2683</v>
      </c>
      <c r="I235" s="2" t="s">
        <v>2692</v>
      </c>
      <c r="J235" s="2">
        <v>0</v>
      </c>
      <c r="K235" s="2">
        <v>0</v>
      </c>
      <c r="L235" s="2">
        <v>0</v>
      </c>
      <c r="M235" s="5">
        <v>1</v>
      </c>
      <c r="N235" s="2">
        <v>0</v>
      </c>
      <c r="O235" s="2">
        <v>0</v>
      </c>
      <c r="P235" s="2">
        <v>0</v>
      </c>
      <c r="Q235" s="2">
        <v>0</v>
      </c>
      <c r="R235" s="5">
        <v>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</row>
    <row r="236" spans="1:28" ht="60" x14ac:dyDescent="0.25">
      <c r="A236" s="2">
        <v>235</v>
      </c>
      <c r="B236" s="5">
        <v>4.3617021276595752E-2</v>
      </c>
      <c r="C236" s="5">
        <v>2.4096385542168679E-2</v>
      </c>
      <c r="D236" s="5">
        <v>3.0000000000000001E-3</v>
      </c>
      <c r="E236" s="5">
        <v>1.205564142194745E-2</v>
      </c>
      <c r="F236" s="2" t="s">
        <v>473</v>
      </c>
      <c r="G236" s="2" t="s">
        <v>474</v>
      </c>
      <c r="H236" s="2" t="s">
        <v>2683</v>
      </c>
      <c r="I236" s="2" t="s">
        <v>2692</v>
      </c>
      <c r="J236" s="2">
        <v>0</v>
      </c>
      <c r="K236" s="2">
        <v>0</v>
      </c>
      <c r="L236" s="2">
        <v>0</v>
      </c>
      <c r="M236" s="5">
        <v>1</v>
      </c>
      <c r="N236" s="2">
        <v>0</v>
      </c>
      <c r="O236" s="2">
        <v>0</v>
      </c>
      <c r="P236" s="2">
        <v>0</v>
      </c>
      <c r="Q236" s="2">
        <v>0</v>
      </c>
      <c r="R236" s="5">
        <v>1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</row>
    <row r="237" spans="1:28" ht="45" x14ac:dyDescent="0.25">
      <c r="A237" s="2">
        <v>236</v>
      </c>
      <c r="B237" s="5">
        <v>4.3617021276595752E-2</v>
      </c>
      <c r="C237" s="5">
        <v>3.2530120481927723E-2</v>
      </c>
      <c r="D237" s="5">
        <v>0.01</v>
      </c>
      <c r="E237" s="5">
        <v>1.1282843894899541E-2</v>
      </c>
      <c r="F237" s="2" t="s">
        <v>475</v>
      </c>
      <c r="G237" s="2" t="s">
        <v>476</v>
      </c>
      <c r="H237" s="2" t="s">
        <v>2683</v>
      </c>
      <c r="I237" s="2" t="s">
        <v>2685</v>
      </c>
      <c r="J237" s="2">
        <v>0</v>
      </c>
      <c r="K237" s="2">
        <v>0</v>
      </c>
      <c r="L237" s="2">
        <v>0</v>
      </c>
      <c r="M237" s="5">
        <v>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5">
        <v>1</v>
      </c>
      <c r="Y237" s="2">
        <v>0</v>
      </c>
      <c r="Z237" s="2">
        <v>0</v>
      </c>
      <c r="AA237" s="2">
        <v>0</v>
      </c>
      <c r="AB237" s="2">
        <v>0</v>
      </c>
    </row>
    <row r="238" spans="1:28" ht="45" x14ac:dyDescent="0.25">
      <c r="A238" s="2">
        <v>237</v>
      </c>
      <c r="B238" s="5">
        <v>5.3191489361702128E-2</v>
      </c>
      <c r="C238" s="5">
        <v>5.301204819277109E-2</v>
      </c>
      <c r="D238" s="5">
        <v>1.4E-2</v>
      </c>
      <c r="E238" s="5">
        <v>1.205564142194745E-2</v>
      </c>
      <c r="F238" s="2" t="s">
        <v>477</v>
      </c>
      <c r="G238" s="2" t="s">
        <v>478</v>
      </c>
      <c r="H238" s="2" t="s">
        <v>2683</v>
      </c>
      <c r="I238" s="2" t="s">
        <v>2685</v>
      </c>
      <c r="J238" s="2">
        <v>0</v>
      </c>
      <c r="K238" s="2">
        <v>0</v>
      </c>
      <c r="L238" s="2">
        <v>0</v>
      </c>
      <c r="M238" s="5">
        <v>1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5">
        <v>1</v>
      </c>
      <c r="Y238" s="2">
        <v>0</v>
      </c>
      <c r="Z238" s="2">
        <v>0</v>
      </c>
      <c r="AA238" s="2">
        <v>0</v>
      </c>
      <c r="AB238" s="2">
        <v>0</v>
      </c>
    </row>
    <row r="239" spans="1:28" ht="45" x14ac:dyDescent="0.25">
      <c r="A239" s="2">
        <v>238</v>
      </c>
      <c r="B239" s="5">
        <v>4.4680851063829789E-2</v>
      </c>
      <c r="C239" s="5">
        <v>2.168674698795181E-2</v>
      </c>
      <c r="D239" s="5">
        <v>5.0000000000000001E-3</v>
      </c>
      <c r="E239" s="5">
        <v>1.452859350850077E-2</v>
      </c>
      <c r="F239" s="2" t="s">
        <v>479</v>
      </c>
      <c r="G239" s="2" t="s">
        <v>480</v>
      </c>
      <c r="H239" s="2" t="s">
        <v>2683</v>
      </c>
      <c r="I239" s="2" t="s">
        <v>2685</v>
      </c>
      <c r="J239" s="2">
        <v>0</v>
      </c>
      <c r="K239" s="2">
        <v>0</v>
      </c>
      <c r="L239" s="2">
        <v>0</v>
      </c>
      <c r="M239" s="5">
        <v>1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5">
        <v>1</v>
      </c>
      <c r="Y239" s="2">
        <v>0</v>
      </c>
      <c r="Z239" s="2">
        <v>0</v>
      </c>
      <c r="AA239" s="2">
        <v>0</v>
      </c>
      <c r="AB239" s="2">
        <v>0</v>
      </c>
    </row>
    <row r="240" spans="1:28" ht="60" x14ac:dyDescent="0.25">
      <c r="A240" s="2">
        <v>239</v>
      </c>
      <c r="B240" s="5">
        <v>0.12978723404255321</v>
      </c>
      <c r="C240" s="5">
        <v>7.2289156626506035E-2</v>
      </c>
      <c r="D240" s="5">
        <v>0.01</v>
      </c>
      <c r="E240" s="5">
        <v>4.0185471406491501E-2</v>
      </c>
      <c r="F240" s="2" t="s">
        <v>481</v>
      </c>
      <c r="G240" s="2" t="s">
        <v>482</v>
      </c>
      <c r="H240" s="2" t="s">
        <v>2683</v>
      </c>
      <c r="I240" s="2" t="s">
        <v>2685</v>
      </c>
      <c r="J240" s="2">
        <v>0</v>
      </c>
      <c r="K240" s="2">
        <v>0</v>
      </c>
      <c r="L240" s="2">
        <v>0</v>
      </c>
      <c r="M240" s="5">
        <v>1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5">
        <v>1</v>
      </c>
      <c r="Y240" s="2">
        <v>0</v>
      </c>
      <c r="Z240" s="2">
        <v>0</v>
      </c>
      <c r="AA240" s="2">
        <v>0</v>
      </c>
      <c r="AB240" s="2">
        <v>0</v>
      </c>
    </row>
    <row r="241" spans="1:28" ht="30" x14ac:dyDescent="0.25">
      <c r="A241" s="2">
        <v>240</v>
      </c>
      <c r="B241" s="5">
        <v>6.3829787234042548E-2</v>
      </c>
      <c r="C241" s="5">
        <v>3.7349397590361447E-2</v>
      </c>
      <c r="D241" s="5">
        <v>3.0000000000000001E-3</v>
      </c>
      <c r="E241" s="5">
        <v>2.1638330757341579E-2</v>
      </c>
      <c r="F241" s="2" t="s">
        <v>483</v>
      </c>
      <c r="G241" s="2" t="s">
        <v>484</v>
      </c>
      <c r="H241" s="2" t="s">
        <v>2683</v>
      </c>
      <c r="I241" s="2" t="s">
        <v>2685</v>
      </c>
      <c r="J241" s="2">
        <v>0</v>
      </c>
      <c r="K241" s="2">
        <v>0</v>
      </c>
      <c r="L241" s="2">
        <v>0</v>
      </c>
      <c r="M241" s="5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5">
        <v>1</v>
      </c>
      <c r="Y241" s="2">
        <v>0</v>
      </c>
      <c r="Z241" s="2">
        <v>0</v>
      </c>
      <c r="AA241" s="2">
        <v>0</v>
      </c>
      <c r="AB241" s="2">
        <v>0</v>
      </c>
    </row>
    <row r="242" spans="1:28" ht="45" x14ac:dyDescent="0.25">
      <c r="A242" s="2">
        <v>241</v>
      </c>
      <c r="B242" s="5">
        <v>6.1702127659574467E-2</v>
      </c>
      <c r="C242" s="5">
        <v>3.4939759036144581E-2</v>
      </c>
      <c r="D242" s="5">
        <v>6.9999999999999993E-3</v>
      </c>
      <c r="E242" s="5">
        <v>1.5455950540958271E-2</v>
      </c>
      <c r="F242" s="2" t="s">
        <v>485</v>
      </c>
      <c r="G242" s="2" t="s">
        <v>486</v>
      </c>
      <c r="H242" s="2" t="s">
        <v>2683</v>
      </c>
      <c r="I242" s="2" t="s">
        <v>2685</v>
      </c>
      <c r="J242" s="2">
        <v>0</v>
      </c>
      <c r="K242" s="2">
        <v>0</v>
      </c>
      <c r="L242" s="2">
        <v>0</v>
      </c>
      <c r="M242" s="5">
        <v>1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5">
        <v>1</v>
      </c>
      <c r="Y242" s="2">
        <v>0</v>
      </c>
      <c r="Z242" s="2">
        <v>0</v>
      </c>
      <c r="AA242" s="2">
        <v>0</v>
      </c>
      <c r="AB242" s="2">
        <v>0</v>
      </c>
    </row>
    <row r="243" spans="1:28" ht="45" x14ac:dyDescent="0.25">
      <c r="A243" s="2">
        <v>242</v>
      </c>
      <c r="B243" s="5">
        <v>3.1914893617021267E-2</v>
      </c>
      <c r="C243" s="5">
        <v>1.566265060240964E-2</v>
      </c>
      <c r="D243" s="5">
        <v>6.9999999999999993E-3</v>
      </c>
      <c r="E243" s="5">
        <v>8.9644513137557957E-3</v>
      </c>
      <c r="F243" s="2" t="s">
        <v>487</v>
      </c>
      <c r="G243" s="2" t="s">
        <v>488</v>
      </c>
      <c r="H243" s="2" t="s">
        <v>2683</v>
      </c>
      <c r="I243" s="2" t="s">
        <v>2685</v>
      </c>
      <c r="J243" s="2">
        <v>0</v>
      </c>
      <c r="K243" s="2">
        <v>0</v>
      </c>
      <c r="L243" s="2">
        <v>0</v>
      </c>
      <c r="M243" s="5">
        <v>1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5">
        <v>1</v>
      </c>
      <c r="Y243" s="2">
        <v>0</v>
      </c>
      <c r="Z243" s="2">
        <v>0</v>
      </c>
      <c r="AA243" s="2">
        <v>0</v>
      </c>
      <c r="AB243" s="2">
        <v>0</v>
      </c>
    </row>
    <row r="244" spans="1:28" ht="30" x14ac:dyDescent="0.25">
      <c r="A244" s="2">
        <v>243</v>
      </c>
      <c r="B244" s="5">
        <v>5.3191489361702128E-2</v>
      </c>
      <c r="C244" s="5">
        <v>5.5421686746987948E-2</v>
      </c>
      <c r="D244" s="5">
        <v>9.0000000000000011E-3</v>
      </c>
      <c r="E244" s="5">
        <v>1.081916537867079E-2</v>
      </c>
      <c r="F244" s="2" t="s">
        <v>489</v>
      </c>
      <c r="G244" s="2" t="s">
        <v>490</v>
      </c>
      <c r="H244" s="2" t="s">
        <v>2683</v>
      </c>
      <c r="I244" s="2" t="s">
        <v>2685</v>
      </c>
      <c r="J244" s="2">
        <v>0</v>
      </c>
      <c r="K244" s="2">
        <v>0</v>
      </c>
      <c r="L244" s="2">
        <v>0</v>
      </c>
      <c r="M244" s="5">
        <v>1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5">
        <v>1</v>
      </c>
      <c r="Y244" s="2">
        <v>0</v>
      </c>
      <c r="Z244" s="2">
        <v>0</v>
      </c>
      <c r="AA244" s="2">
        <v>0</v>
      </c>
      <c r="AB244" s="2">
        <v>0</v>
      </c>
    </row>
    <row r="245" spans="1:28" ht="30" x14ac:dyDescent="0.25">
      <c r="A245" s="2">
        <v>244</v>
      </c>
      <c r="B245" s="5">
        <v>6.5957446808510636E-2</v>
      </c>
      <c r="C245" s="5">
        <v>5.0602409638554217E-2</v>
      </c>
      <c r="D245" s="5">
        <v>9.0000000000000011E-3</v>
      </c>
      <c r="E245" s="5">
        <v>1.4219474497681611E-2</v>
      </c>
      <c r="F245" s="2" t="s">
        <v>491</v>
      </c>
      <c r="G245" s="2" t="s">
        <v>492</v>
      </c>
      <c r="H245" s="2" t="s">
        <v>2683</v>
      </c>
      <c r="I245" s="2" t="s">
        <v>2685</v>
      </c>
      <c r="J245" s="2">
        <v>0</v>
      </c>
      <c r="K245" s="2">
        <v>0</v>
      </c>
      <c r="L245" s="2">
        <v>0</v>
      </c>
      <c r="M245" s="5">
        <v>1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5">
        <v>1</v>
      </c>
      <c r="Y245" s="2">
        <v>0</v>
      </c>
      <c r="Z245" s="2">
        <v>0</v>
      </c>
      <c r="AA245" s="2">
        <v>0</v>
      </c>
      <c r="AB245" s="2">
        <v>0</v>
      </c>
    </row>
    <row r="246" spans="1:28" ht="45" x14ac:dyDescent="0.25">
      <c r="A246" s="2">
        <v>245</v>
      </c>
      <c r="B246" s="5">
        <v>7.7659574468085107E-2</v>
      </c>
      <c r="C246" s="5">
        <v>5.5421686746987948E-2</v>
      </c>
      <c r="D246" s="5">
        <v>5.0000000000000001E-3</v>
      </c>
      <c r="E246" s="5">
        <v>2.5038639876352391E-2</v>
      </c>
      <c r="F246" s="2" t="s">
        <v>493</v>
      </c>
      <c r="G246" s="2" t="s">
        <v>494</v>
      </c>
      <c r="H246" s="2" t="s">
        <v>2683</v>
      </c>
      <c r="I246" s="2" t="s">
        <v>2685</v>
      </c>
      <c r="J246" s="2">
        <v>0</v>
      </c>
      <c r="K246" s="2">
        <v>0</v>
      </c>
      <c r="L246" s="2">
        <v>0</v>
      </c>
      <c r="M246" s="5">
        <v>1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5">
        <v>1</v>
      </c>
      <c r="Y246" s="2">
        <v>0</v>
      </c>
      <c r="Z246" s="2">
        <v>0</v>
      </c>
      <c r="AA246" s="2">
        <v>0</v>
      </c>
      <c r="AB246" s="2">
        <v>0</v>
      </c>
    </row>
    <row r="247" spans="1:28" ht="45" x14ac:dyDescent="0.25">
      <c r="A247" s="2">
        <v>246</v>
      </c>
      <c r="B247" s="5">
        <v>3.617021276595745E-2</v>
      </c>
      <c r="C247" s="5">
        <v>4.5783132530120479E-2</v>
      </c>
      <c r="D247" s="5">
        <v>5.0000000000000001E-3</v>
      </c>
      <c r="E247" s="5">
        <v>8.1916537867078813E-3</v>
      </c>
      <c r="F247" s="2" t="s">
        <v>495</v>
      </c>
      <c r="G247" s="2" t="s">
        <v>496</v>
      </c>
      <c r="H247" s="2" t="s">
        <v>2683</v>
      </c>
      <c r="I247" s="2" t="s">
        <v>2685</v>
      </c>
      <c r="J247" s="2">
        <v>0</v>
      </c>
      <c r="K247" s="2">
        <v>0</v>
      </c>
      <c r="L247" s="2">
        <v>0</v>
      </c>
      <c r="M247" s="5">
        <v>1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5">
        <v>1</v>
      </c>
      <c r="Y247" s="2">
        <v>0</v>
      </c>
      <c r="Z247" s="2">
        <v>0</v>
      </c>
      <c r="AA247" s="2">
        <v>0</v>
      </c>
      <c r="AB247" s="2">
        <v>0</v>
      </c>
    </row>
    <row r="248" spans="1:28" ht="45" x14ac:dyDescent="0.25">
      <c r="A248" s="2">
        <v>247</v>
      </c>
      <c r="B248" s="5">
        <v>9.8936170212765961E-2</v>
      </c>
      <c r="C248" s="5">
        <v>6.0240963855421693E-2</v>
      </c>
      <c r="D248" s="5">
        <v>1.2999999999999999E-2</v>
      </c>
      <c r="E248" s="5">
        <v>2.364760432766615E-2</v>
      </c>
      <c r="F248" s="2" t="s">
        <v>497</v>
      </c>
      <c r="G248" s="2" t="s">
        <v>498</v>
      </c>
      <c r="H248" s="2" t="s">
        <v>2683</v>
      </c>
      <c r="I248" s="2" t="s">
        <v>2685</v>
      </c>
      <c r="J248" s="2">
        <v>0</v>
      </c>
      <c r="K248" s="2">
        <v>0</v>
      </c>
      <c r="L248" s="2">
        <v>0</v>
      </c>
      <c r="M248" s="5">
        <v>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5">
        <v>1</v>
      </c>
      <c r="Y248" s="2">
        <v>0</v>
      </c>
      <c r="Z248" s="2">
        <v>0</v>
      </c>
      <c r="AA248" s="2">
        <v>0</v>
      </c>
      <c r="AB248" s="2">
        <v>0</v>
      </c>
    </row>
    <row r="249" spans="1:28" ht="45" x14ac:dyDescent="0.25">
      <c r="A249" s="2">
        <v>248</v>
      </c>
      <c r="B249" s="5">
        <v>2.8723404255319149E-2</v>
      </c>
      <c r="C249" s="5">
        <v>2.5301204819277109E-2</v>
      </c>
      <c r="D249" s="5">
        <v>6.9999999999999993E-3</v>
      </c>
      <c r="E249" s="5">
        <v>6.8006182380216376E-3</v>
      </c>
      <c r="F249" s="2" t="s">
        <v>499</v>
      </c>
      <c r="G249" s="2" t="s">
        <v>500</v>
      </c>
      <c r="H249" s="2" t="s">
        <v>2683</v>
      </c>
      <c r="I249" s="2" t="s">
        <v>2685</v>
      </c>
      <c r="J249" s="2">
        <v>0</v>
      </c>
      <c r="K249" s="2">
        <v>0</v>
      </c>
      <c r="L249" s="2">
        <v>0</v>
      </c>
      <c r="M249" s="5">
        <v>1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5">
        <v>1</v>
      </c>
      <c r="Y249" s="2">
        <v>0</v>
      </c>
      <c r="Z249" s="2">
        <v>0</v>
      </c>
      <c r="AA249" s="2">
        <v>0</v>
      </c>
      <c r="AB249" s="2">
        <v>0</v>
      </c>
    </row>
    <row r="250" spans="1:28" ht="60" x14ac:dyDescent="0.25">
      <c r="A250" s="2">
        <v>249</v>
      </c>
      <c r="B250" s="5">
        <v>3.8297872340425532E-2</v>
      </c>
      <c r="C250" s="5">
        <v>3.4939759036144581E-2</v>
      </c>
      <c r="D250" s="5">
        <v>6.0000000000000001E-3</v>
      </c>
      <c r="E250" s="5">
        <v>1.0510046367851619E-2</v>
      </c>
      <c r="F250" s="2" t="s">
        <v>501</v>
      </c>
      <c r="G250" s="2" t="s">
        <v>502</v>
      </c>
      <c r="H250" s="2" t="s">
        <v>2683</v>
      </c>
      <c r="I250" s="2" t="s">
        <v>2687</v>
      </c>
      <c r="J250" s="2">
        <v>0</v>
      </c>
      <c r="K250" s="2">
        <v>0</v>
      </c>
      <c r="L250" s="2">
        <v>0</v>
      </c>
      <c r="M250" s="5">
        <v>1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5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</row>
    <row r="251" spans="1:28" ht="45" x14ac:dyDescent="0.25">
      <c r="A251" s="2">
        <v>250</v>
      </c>
      <c r="B251" s="5">
        <v>3.617021276595745E-2</v>
      </c>
      <c r="C251" s="5">
        <v>4.9397590361445781E-2</v>
      </c>
      <c r="D251" s="5">
        <v>4.0000000000000001E-3</v>
      </c>
      <c r="E251" s="5">
        <v>8.9644513137557957E-3</v>
      </c>
      <c r="F251" s="2" t="s">
        <v>503</v>
      </c>
      <c r="G251" s="2" t="s">
        <v>504</v>
      </c>
      <c r="H251" s="2" t="s">
        <v>2683</v>
      </c>
      <c r="I251" s="2" t="s">
        <v>2687</v>
      </c>
      <c r="J251" s="2">
        <v>0</v>
      </c>
      <c r="K251" s="2">
        <v>0</v>
      </c>
      <c r="L251" s="2">
        <v>0</v>
      </c>
      <c r="M251" s="5">
        <v>1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5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</row>
    <row r="252" spans="1:28" ht="60" x14ac:dyDescent="0.25">
      <c r="A252" s="2">
        <v>251</v>
      </c>
      <c r="B252" s="5">
        <v>4.2553191489361701E-2</v>
      </c>
      <c r="C252" s="5">
        <v>4.457831325301205E-2</v>
      </c>
      <c r="D252" s="5">
        <v>3.0000000000000001E-3</v>
      </c>
      <c r="E252" s="5">
        <v>1.236476043276661E-2</v>
      </c>
      <c r="F252" s="2" t="s">
        <v>505</v>
      </c>
      <c r="G252" s="2" t="s">
        <v>506</v>
      </c>
      <c r="H252" s="2" t="s">
        <v>2683</v>
      </c>
      <c r="I252" s="2" t="s">
        <v>2687</v>
      </c>
      <c r="J252" s="2">
        <v>0</v>
      </c>
      <c r="K252" s="2">
        <v>0</v>
      </c>
      <c r="L252" s="2">
        <v>0</v>
      </c>
      <c r="M252" s="5">
        <v>1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5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</row>
    <row r="253" spans="1:28" ht="45" x14ac:dyDescent="0.25">
      <c r="A253" s="2">
        <v>252</v>
      </c>
      <c r="B253" s="5">
        <v>3.1914893617021267E-2</v>
      </c>
      <c r="C253" s="5">
        <v>3.7349397590361447E-2</v>
      </c>
      <c r="D253" s="5">
        <v>3.0000000000000001E-3</v>
      </c>
      <c r="E253" s="5">
        <v>8.9644513137557957E-3</v>
      </c>
      <c r="F253" s="2" t="s">
        <v>507</v>
      </c>
      <c r="G253" s="2" t="s">
        <v>508</v>
      </c>
      <c r="H253" s="2" t="s">
        <v>2683</v>
      </c>
      <c r="I253" s="2" t="s">
        <v>2687</v>
      </c>
      <c r="J253" s="2">
        <v>0</v>
      </c>
      <c r="K253" s="2">
        <v>0</v>
      </c>
      <c r="L253" s="2">
        <v>0</v>
      </c>
      <c r="M253" s="5">
        <v>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5">
        <v>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</row>
    <row r="254" spans="1:28" ht="30" x14ac:dyDescent="0.25">
      <c r="A254" s="2">
        <v>253</v>
      </c>
      <c r="B254" s="5">
        <v>9.7872340425531917E-2</v>
      </c>
      <c r="C254" s="5">
        <v>4.8192771084337352E-2</v>
      </c>
      <c r="D254" s="5">
        <v>3.5999999999999997E-2</v>
      </c>
      <c r="E254" s="5">
        <v>1.6846986089644508E-2</v>
      </c>
      <c r="F254" s="2" t="s">
        <v>509</v>
      </c>
      <c r="G254" s="2" t="s">
        <v>510</v>
      </c>
      <c r="H254" s="2" t="s">
        <v>2683</v>
      </c>
      <c r="I254" s="2" t="s">
        <v>2685</v>
      </c>
      <c r="J254" s="2">
        <v>0</v>
      </c>
      <c r="K254" s="2">
        <v>0</v>
      </c>
      <c r="L254" s="2">
        <v>0</v>
      </c>
      <c r="M254" s="5">
        <v>1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5">
        <v>1</v>
      </c>
      <c r="Y254" s="2">
        <v>0</v>
      </c>
      <c r="Z254" s="2">
        <v>0</v>
      </c>
      <c r="AA254" s="2">
        <v>0</v>
      </c>
      <c r="AB254" s="2">
        <v>0</v>
      </c>
    </row>
    <row r="255" spans="1:28" ht="30" x14ac:dyDescent="0.25">
      <c r="A255" s="2">
        <v>254</v>
      </c>
      <c r="B255" s="5">
        <v>6.2765957446808518E-2</v>
      </c>
      <c r="C255" s="5">
        <v>5.7831325301204821E-2</v>
      </c>
      <c r="D255" s="5">
        <v>0.01</v>
      </c>
      <c r="E255" s="5">
        <v>1.70015455950541E-2</v>
      </c>
      <c r="F255" s="2" t="s">
        <v>511</v>
      </c>
      <c r="G255" s="2" t="s">
        <v>512</v>
      </c>
      <c r="H255" s="2" t="s">
        <v>2683</v>
      </c>
      <c r="I255" s="2" t="s">
        <v>2685</v>
      </c>
      <c r="J255" s="2">
        <v>0</v>
      </c>
      <c r="K255" s="2">
        <v>0</v>
      </c>
      <c r="L255" s="2">
        <v>0</v>
      </c>
      <c r="M255" s="5">
        <v>1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5">
        <v>1</v>
      </c>
      <c r="Y255" s="2">
        <v>0</v>
      </c>
      <c r="Z255" s="2">
        <v>0</v>
      </c>
      <c r="AA255" s="2">
        <v>0</v>
      </c>
      <c r="AB255" s="2">
        <v>0</v>
      </c>
    </row>
    <row r="256" spans="1:28" ht="45" x14ac:dyDescent="0.25">
      <c r="A256" s="2">
        <v>255</v>
      </c>
      <c r="B256" s="5">
        <v>5.6382978723404253E-2</v>
      </c>
      <c r="C256" s="5">
        <v>6.3855421686746988E-2</v>
      </c>
      <c r="D256" s="5">
        <v>9.0000000000000011E-3</v>
      </c>
      <c r="E256" s="5">
        <v>1.4064914992272019E-2</v>
      </c>
      <c r="F256" s="2" t="s">
        <v>513</v>
      </c>
      <c r="G256" s="2" t="s">
        <v>514</v>
      </c>
      <c r="H256" s="2" t="s">
        <v>2683</v>
      </c>
      <c r="I256" s="2" t="s">
        <v>2685</v>
      </c>
      <c r="J256" s="2">
        <v>0</v>
      </c>
      <c r="K256" s="2">
        <v>0</v>
      </c>
      <c r="L256" s="2">
        <v>0</v>
      </c>
      <c r="M256" s="5">
        <v>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5">
        <v>1</v>
      </c>
      <c r="Y256" s="2">
        <v>0</v>
      </c>
      <c r="Z256" s="2">
        <v>0</v>
      </c>
      <c r="AA256" s="2">
        <v>0</v>
      </c>
      <c r="AB256" s="2">
        <v>0</v>
      </c>
    </row>
    <row r="257" spans="1:28" ht="60" x14ac:dyDescent="0.25">
      <c r="A257" s="2">
        <v>256</v>
      </c>
      <c r="B257" s="5">
        <v>6.2765957446808518E-2</v>
      </c>
      <c r="C257" s="5">
        <v>7.7108433734939766E-2</v>
      </c>
      <c r="D257" s="5">
        <v>0.01</v>
      </c>
      <c r="E257" s="5">
        <v>1.530139103554869E-2</v>
      </c>
      <c r="F257" s="2" t="s">
        <v>515</v>
      </c>
      <c r="G257" s="2" t="s">
        <v>516</v>
      </c>
      <c r="H257" s="2" t="s">
        <v>2683</v>
      </c>
      <c r="I257" s="2" t="s">
        <v>2685</v>
      </c>
      <c r="J257" s="2">
        <v>0</v>
      </c>
      <c r="K257" s="2">
        <v>0</v>
      </c>
      <c r="L257" s="2">
        <v>0</v>
      </c>
      <c r="M257" s="5">
        <v>1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5">
        <v>1</v>
      </c>
      <c r="Y257" s="2">
        <v>0</v>
      </c>
      <c r="Z257" s="2">
        <v>0</v>
      </c>
      <c r="AA257" s="2">
        <v>0</v>
      </c>
      <c r="AB257" s="2">
        <v>0</v>
      </c>
    </row>
    <row r="258" spans="1:28" ht="60" x14ac:dyDescent="0.25">
      <c r="A258" s="2">
        <v>257</v>
      </c>
      <c r="B258" s="5">
        <v>0.05</v>
      </c>
      <c r="C258" s="5">
        <v>6.0240963855421693E-2</v>
      </c>
      <c r="D258" s="5">
        <v>5.0000000000000001E-3</v>
      </c>
      <c r="E258" s="5">
        <v>1.3137557959814529E-2</v>
      </c>
      <c r="F258" s="2" t="s">
        <v>517</v>
      </c>
      <c r="G258" s="2" t="s">
        <v>518</v>
      </c>
      <c r="H258" s="2" t="s">
        <v>2683</v>
      </c>
      <c r="I258" s="2" t="s">
        <v>2685</v>
      </c>
      <c r="J258" s="2">
        <v>0</v>
      </c>
      <c r="K258" s="2">
        <v>0</v>
      </c>
      <c r="L258" s="2">
        <v>0</v>
      </c>
      <c r="M258" s="5">
        <v>1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5">
        <v>1</v>
      </c>
      <c r="Y258" s="2">
        <v>0</v>
      </c>
      <c r="Z258" s="2">
        <v>0</v>
      </c>
      <c r="AA258" s="2">
        <v>0</v>
      </c>
      <c r="AB258" s="2">
        <v>0</v>
      </c>
    </row>
    <row r="259" spans="1:28" ht="45" x14ac:dyDescent="0.25">
      <c r="A259" s="2">
        <v>258</v>
      </c>
      <c r="B259" s="5">
        <v>6.2765957446808518E-2</v>
      </c>
      <c r="C259" s="5">
        <v>3.3734939759036138E-2</v>
      </c>
      <c r="D259" s="5">
        <v>3.0000000000000001E-3</v>
      </c>
      <c r="E259" s="5">
        <v>2.071097372488408E-2</v>
      </c>
      <c r="F259" s="2" t="s">
        <v>519</v>
      </c>
      <c r="G259" s="2" t="s">
        <v>520</v>
      </c>
      <c r="H259" s="2" t="s">
        <v>2683</v>
      </c>
      <c r="I259" s="2" t="s">
        <v>2685</v>
      </c>
      <c r="J259" s="2">
        <v>0</v>
      </c>
      <c r="K259" s="2">
        <v>0</v>
      </c>
      <c r="L259" s="2">
        <v>0</v>
      </c>
      <c r="M259" s="5">
        <v>1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5">
        <v>1</v>
      </c>
      <c r="Y259" s="2">
        <v>0</v>
      </c>
      <c r="Z259" s="2">
        <v>0</v>
      </c>
      <c r="AA259" s="2">
        <v>0</v>
      </c>
      <c r="AB259" s="2">
        <v>0</v>
      </c>
    </row>
    <row r="260" spans="1:28" ht="45" x14ac:dyDescent="0.25">
      <c r="A260" s="2">
        <v>259</v>
      </c>
      <c r="B260" s="5">
        <v>8.723404255319149E-2</v>
      </c>
      <c r="C260" s="5">
        <v>8.0722891566265068E-2</v>
      </c>
      <c r="D260" s="5">
        <v>1.7000000000000001E-2</v>
      </c>
      <c r="E260" s="5">
        <v>2.2102009273570321E-2</v>
      </c>
      <c r="F260" s="2" t="s">
        <v>521</v>
      </c>
      <c r="G260" s="2" t="s">
        <v>522</v>
      </c>
      <c r="H260" s="2" t="s">
        <v>2683</v>
      </c>
      <c r="I260" s="2" t="s">
        <v>2685</v>
      </c>
      <c r="J260" s="2">
        <v>0</v>
      </c>
      <c r="K260" s="2">
        <v>0</v>
      </c>
      <c r="L260" s="2">
        <v>0</v>
      </c>
      <c r="M260" s="5">
        <v>1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5">
        <v>1</v>
      </c>
      <c r="Y260" s="2">
        <v>0</v>
      </c>
      <c r="Z260" s="2">
        <v>0</v>
      </c>
      <c r="AA260" s="2">
        <v>0</v>
      </c>
      <c r="AB260" s="2">
        <v>0</v>
      </c>
    </row>
    <row r="261" spans="1:28" ht="45" x14ac:dyDescent="0.25">
      <c r="A261" s="2">
        <v>260</v>
      </c>
      <c r="B261" s="5">
        <v>6.4893617021276592E-2</v>
      </c>
      <c r="C261" s="5">
        <v>7.3493975903614464E-2</v>
      </c>
      <c r="D261" s="5">
        <v>9.0000000000000011E-3</v>
      </c>
      <c r="E261" s="5">
        <v>1.5455950540958271E-2</v>
      </c>
      <c r="F261" s="2" t="s">
        <v>523</v>
      </c>
      <c r="G261" s="2" t="s">
        <v>524</v>
      </c>
      <c r="H261" s="2" t="s">
        <v>2683</v>
      </c>
      <c r="I261" s="2" t="s">
        <v>2685</v>
      </c>
      <c r="J261" s="2">
        <v>0</v>
      </c>
      <c r="K261" s="2">
        <v>0</v>
      </c>
      <c r="L261" s="2">
        <v>0</v>
      </c>
      <c r="M261" s="5">
        <v>1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5">
        <v>1</v>
      </c>
      <c r="Y261" s="2">
        <v>0</v>
      </c>
      <c r="Z261" s="2">
        <v>0</v>
      </c>
      <c r="AA261" s="2">
        <v>0</v>
      </c>
      <c r="AB261" s="2">
        <v>0</v>
      </c>
    </row>
    <row r="262" spans="1:28" ht="45" x14ac:dyDescent="0.25">
      <c r="A262" s="2">
        <v>261</v>
      </c>
      <c r="B262" s="5">
        <v>4.8936170212765959E-2</v>
      </c>
      <c r="C262" s="5">
        <v>4.8192771084337352E-2</v>
      </c>
      <c r="D262" s="5">
        <v>5.0000000000000001E-3</v>
      </c>
      <c r="E262" s="5">
        <v>1.3755795981452859E-2</v>
      </c>
      <c r="F262" s="2" t="s">
        <v>525</v>
      </c>
      <c r="G262" s="2" t="s">
        <v>526</v>
      </c>
      <c r="H262" s="2" t="s">
        <v>2683</v>
      </c>
      <c r="I262" s="2" t="s">
        <v>2685</v>
      </c>
      <c r="J262" s="2">
        <v>0</v>
      </c>
      <c r="K262" s="2">
        <v>0</v>
      </c>
      <c r="L262" s="2">
        <v>0</v>
      </c>
      <c r="M262" s="5">
        <v>1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5">
        <v>1</v>
      </c>
      <c r="Y262" s="2">
        <v>0</v>
      </c>
      <c r="Z262" s="2">
        <v>0</v>
      </c>
      <c r="AA262" s="2">
        <v>0</v>
      </c>
      <c r="AB262" s="2">
        <v>0</v>
      </c>
    </row>
    <row r="263" spans="1:28" ht="30" x14ac:dyDescent="0.25">
      <c r="A263" s="2">
        <v>262</v>
      </c>
      <c r="B263" s="5">
        <v>4.7872340425531908E-2</v>
      </c>
      <c r="C263" s="5">
        <v>4.457831325301205E-2</v>
      </c>
      <c r="D263" s="5">
        <v>5.0000000000000001E-3</v>
      </c>
      <c r="E263" s="5">
        <v>1.0200927357032459E-2</v>
      </c>
      <c r="F263" s="2" t="s">
        <v>527</v>
      </c>
      <c r="G263" s="2" t="s">
        <v>528</v>
      </c>
      <c r="H263" s="2" t="s">
        <v>2683</v>
      </c>
      <c r="I263" s="2" t="s">
        <v>2685</v>
      </c>
      <c r="J263" s="2">
        <v>0</v>
      </c>
      <c r="K263" s="2">
        <v>0</v>
      </c>
      <c r="L263" s="2">
        <v>0</v>
      </c>
      <c r="M263" s="5">
        <v>1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5">
        <v>1</v>
      </c>
      <c r="Y263" s="2">
        <v>0</v>
      </c>
      <c r="Z263" s="2">
        <v>0</v>
      </c>
      <c r="AA263" s="2">
        <v>0</v>
      </c>
      <c r="AB263" s="2">
        <v>0</v>
      </c>
    </row>
    <row r="264" spans="1:28" ht="45" x14ac:dyDescent="0.25">
      <c r="A264" s="2">
        <v>263</v>
      </c>
      <c r="B264" s="5">
        <v>5.1063829787234047E-2</v>
      </c>
      <c r="C264" s="5">
        <v>5.4216867469879519E-2</v>
      </c>
      <c r="D264" s="5">
        <v>8.0000000000000002E-3</v>
      </c>
      <c r="E264" s="5">
        <v>1.4064914992272019E-2</v>
      </c>
      <c r="F264" s="2" t="s">
        <v>529</v>
      </c>
      <c r="G264" s="2" t="s">
        <v>530</v>
      </c>
      <c r="H264" s="2" t="s">
        <v>2683</v>
      </c>
      <c r="I264" s="2" t="s">
        <v>2685</v>
      </c>
      <c r="J264" s="2">
        <v>0</v>
      </c>
      <c r="K264" s="2">
        <v>0</v>
      </c>
      <c r="L264" s="2">
        <v>0</v>
      </c>
      <c r="M264" s="5">
        <v>1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5">
        <v>1</v>
      </c>
      <c r="Y264" s="2">
        <v>0</v>
      </c>
      <c r="Z264" s="2">
        <v>0</v>
      </c>
      <c r="AA264" s="2">
        <v>0</v>
      </c>
      <c r="AB264" s="2">
        <v>0</v>
      </c>
    </row>
    <row r="265" spans="1:28" ht="45" x14ac:dyDescent="0.25">
      <c r="A265" s="2">
        <v>264</v>
      </c>
      <c r="B265" s="5">
        <v>2.3404255319148939E-2</v>
      </c>
      <c r="C265" s="5">
        <v>2.5301204819277109E-2</v>
      </c>
      <c r="D265" s="5">
        <v>5.0000000000000001E-3</v>
      </c>
      <c r="E265" s="5">
        <v>5.5641421947449756E-3</v>
      </c>
      <c r="F265" s="2" t="s">
        <v>531</v>
      </c>
      <c r="G265" s="2" t="s">
        <v>532</v>
      </c>
      <c r="H265" s="2" t="s">
        <v>2683</v>
      </c>
      <c r="I265" s="2" t="s">
        <v>2685</v>
      </c>
      <c r="J265" s="2">
        <v>0</v>
      </c>
      <c r="K265" s="2">
        <v>0</v>
      </c>
      <c r="L265" s="2">
        <v>0</v>
      </c>
      <c r="M265" s="5">
        <v>1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5">
        <v>1</v>
      </c>
      <c r="Y265" s="2">
        <v>0</v>
      </c>
      <c r="Z265" s="2">
        <v>0</v>
      </c>
      <c r="AA265" s="2">
        <v>0</v>
      </c>
      <c r="AB265" s="2">
        <v>0</v>
      </c>
    </row>
    <row r="266" spans="1:28" ht="30" x14ac:dyDescent="0.25">
      <c r="A266" s="2">
        <v>265</v>
      </c>
      <c r="B266" s="5">
        <v>2.4468085106382979E-2</v>
      </c>
      <c r="C266" s="5">
        <v>3.6144578313253017E-2</v>
      </c>
      <c r="D266" s="5">
        <v>3.0000000000000001E-3</v>
      </c>
      <c r="E266" s="5">
        <v>5.7187017001545598E-3</v>
      </c>
      <c r="F266" s="2" t="s">
        <v>533</v>
      </c>
      <c r="G266" s="2" t="s">
        <v>534</v>
      </c>
      <c r="H266" s="2" t="s">
        <v>2683</v>
      </c>
      <c r="I266" s="2" t="s">
        <v>2687</v>
      </c>
      <c r="J266" s="2">
        <v>0</v>
      </c>
      <c r="K266" s="2">
        <v>0</v>
      </c>
      <c r="L266" s="2">
        <v>0</v>
      </c>
      <c r="M266" s="5">
        <v>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5">
        <v>1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</row>
    <row r="267" spans="1:28" ht="30" x14ac:dyDescent="0.25">
      <c r="A267" s="2">
        <v>266</v>
      </c>
      <c r="B267" s="5">
        <v>5.4255319148936172E-2</v>
      </c>
      <c r="C267" s="5">
        <v>3.012048192771084E-2</v>
      </c>
      <c r="D267" s="5">
        <v>1.0999999999999999E-2</v>
      </c>
      <c r="E267" s="5">
        <v>1.236476043276661E-2</v>
      </c>
      <c r="F267" s="2" t="s">
        <v>535</v>
      </c>
      <c r="G267" s="2" t="s">
        <v>536</v>
      </c>
      <c r="H267" s="2" t="s">
        <v>2683</v>
      </c>
      <c r="I267" s="2" t="s">
        <v>2685</v>
      </c>
      <c r="J267" s="2">
        <v>0</v>
      </c>
      <c r="K267" s="2">
        <v>0</v>
      </c>
      <c r="L267" s="2">
        <v>0</v>
      </c>
      <c r="M267" s="5">
        <v>1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5">
        <v>1</v>
      </c>
      <c r="Y267" s="2">
        <v>0</v>
      </c>
      <c r="Z267" s="2">
        <v>0</v>
      </c>
      <c r="AA267" s="2">
        <v>0</v>
      </c>
      <c r="AB267" s="2">
        <v>0</v>
      </c>
    </row>
    <row r="268" spans="1:28" ht="45" x14ac:dyDescent="0.25">
      <c r="A268" s="2">
        <v>267</v>
      </c>
      <c r="B268" s="5">
        <v>1.48936170212766E-2</v>
      </c>
      <c r="C268" s="5">
        <v>1.566265060240964E-2</v>
      </c>
      <c r="D268" s="5">
        <v>3.0000000000000001E-3</v>
      </c>
      <c r="E268" s="5">
        <v>3.5548686244204009E-3</v>
      </c>
      <c r="F268" s="2" t="s">
        <v>537</v>
      </c>
      <c r="G268" s="2" t="s">
        <v>538</v>
      </c>
      <c r="H268" s="2" t="s">
        <v>2683</v>
      </c>
      <c r="I268" s="2" t="s">
        <v>2685</v>
      </c>
      <c r="J268" s="2">
        <v>0</v>
      </c>
      <c r="K268" s="2">
        <v>0</v>
      </c>
      <c r="L268" s="2">
        <v>0</v>
      </c>
      <c r="M268" s="5">
        <v>1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5">
        <v>1</v>
      </c>
      <c r="Y268" s="2">
        <v>0</v>
      </c>
      <c r="Z268" s="2">
        <v>0</v>
      </c>
      <c r="AA268" s="2">
        <v>0</v>
      </c>
      <c r="AB268" s="2">
        <v>0</v>
      </c>
    </row>
    <row r="269" spans="1:28" ht="30" x14ac:dyDescent="0.25">
      <c r="A269" s="2">
        <v>268</v>
      </c>
      <c r="B269" s="5">
        <v>6.3829787234042548E-2</v>
      </c>
      <c r="C269" s="5">
        <v>4.8192771084337352E-2</v>
      </c>
      <c r="D269" s="5">
        <v>4.0000000000000001E-3</v>
      </c>
      <c r="E269" s="5">
        <v>7.2642967542503869E-3</v>
      </c>
      <c r="F269" s="2" t="s">
        <v>539</v>
      </c>
      <c r="G269" s="2" t="s">
        <v>540</v>
      </c>
      <c r="H269" s="2" t="s">
        <v>2683</v>
      </c>
      <c r="I269" s="2" t="s">
        <v>2685</v>
      </c>
      <c r="J269" s="2">
        <v>0</v>
      </c>
      <c r="K269" s="2">
        <v>0</v>
      </c>
      <c r="L269" s="2">
        <v>0</v>
      </c>
      <c r="M269" s="5">
        <v>1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5">
        <v>1</v>
      </c>
      <c r="Y269" s="2">
        <v>0</v>
      </c>
      <c r="Z269" s="2">
        <v>0</v>
      </c>
      <c r="AA269" s="2">
        <v>0</v>
      </c>
      <c r="AB269" s="2">
        <v>0</v>
      </c>
    </row>
    <row r="270" spans="1:28" x14ac:dyDescent="0.25">
      <c r="A270" s="2">
        <v>269</v>
      </c>
      <c r="B270" s="5">
        <v>3.1914893617021267E-2</v>
      </c>
      <c r="C270" s="5">
        <v>4.3373493975903621E-2</v>
      </c>
      <c r="D270" s="5">
        <v>6.0000000000000001E-3</v>
      </c>
      <c r="E270" s="5">
        <v>6.955177743431221E-3</v>
      </c>
      <c r="F270" s="2" t="s">
        <v>541</v>
      </c>
      <c r="G270" s="2" t="s">
        <v>542</v>
      </c>
      <c r="H270" s="2" t="s">
        <v>2683</v>
      </c>
      <c r="I270" s="2" t="s">
        <v>2685</v>
      </c>
      <c r="J270" s="2">
        <v>0</v>
      </c>
      <c r="K270" s="2">
        <v>0</v>
      </c>
      <c r="L270" s="2">
        <v>0</v>
      </c>
      <c r="M270" s="5">
        <v>1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5">
        <v>1</v>
      </c>
      <c r="Y270" s="2">
        <v>0</v>
      </c>
      <c r="Z270" s="2">
        <v>0</v>
      </c>
      <c r="AA270" s="2">
        <v>0</v>
      </c>
      <c r="AB270" s="2">
        <v>0</v>
      </c>
    </row>
    <row r="271" spans="1:28" ht="45" x14ac:dyDescent="0.25">
      <c r="A271" s="2">
        <v>270</v>
      </c>
      <c r="B271" s="5">
        <v>9.2553191489361697E-2</v>
      </c>
      <c r="C271" s="5">
        <v>0.1</v>
      </c>
      <c r="D271" s="5">
        <v>1.7999999999999999E-2</v>
      </c>
      <c r="E271" s="5">
        <v>2.2256568778979909E-2</v>
      </c>
      <c r="F271" s="2" t="s">
        <v>543</v>
      </c>
      <c r="G271" s="2" t="s">
        <v>544</v>
      </c>
      <c r="H271" s="2" t="s">
        <v>2683</v>
      </c>
      <c r="I271" s="2" t="s">
        <v>2687</v>
      </c>
      <c r="J271" s="2">
        <v>0</v>
      </c>
      <c r="K271" s="2">
        <v>0</v>
      </c>
      <c r="L271" s="2">
        <v>0</v>
      </c>
      <c r="M271" s="5">
        <v>1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5">
        <v>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</row>
    <row r="272" spans="1:28" ht="45" x14ac:dyDescent="0.25">
      <c r="A272" s="2">
        <v>271</v>
      </c>
      <c r="B272" s="5">
        <v>8.085106382978724E-2</v>
      </c>
      <c r="C272" s="5">
        <v>3.3734939759036138E-2</v>
      </c>
      <c r="D272" s="5">
        <v>2E-3</v>
      </c>
      <c r="E272" s="5">
        <v>2.4420401854714061E-2</v>
      </c>
      <c r="F272" s="2" t="s">
        <v>545</v>
      </c>
      <c r="G272" s="2" t="s">
        <v>546</v>
      </c>
      <c r="H272" s="2" t="s">
        <v>2683</v>
      </c>
      <c r="I272" s="2" t="s">
        <v>2685</v>
      </c>
      <c r="J272" s="2">
        <v>0</v>
      </c>
      <c r="K272" s="2">
        <v>0</v>
      </c>
      <c r="L272" s="2">
        <v>0</v>
      </c>
      <c r="M272" s="5">
        <v>1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5">
        <v>1</v>
      </c>
      <c r="Y272" s="2">
        <v>0</v>
      </c>
      <c r="Z272" s="2">
        <v>0</v>
      </c>
      <c r="AA272" s="2">
        <v>0</v>
      </c>
      <c r="AB272" s="2">
        <v>0</v>
      </c>
    </row>
    <row r="273" spans="1:28" ht="30" x14ac:dyDescent="0.25">
      <c r="A273" s="2">
        <v>272</v>
      </c>
      <c r="B273" s="5">
        <v>4.7872340425531908E-2</v>
      </c>
      <c r="C273" s="5">
        <v>5.6626506024096392E-2</v>
      </c>
      <c r="D273" s="5">
        <v>5.0000000000000001E-3</v>
      </c>
      <c r="E273" s="5">
        <v>1.2519319938176199E-2</v>
      </c>
      <c r="F273" s="2" t="s">
        <v>547</v>
      </c>
      <c r="G273" s="2" t="s">
        <v>548</v>
      </c>
      <c r="H273" s="2" t="s">
        <v>2683</v>
      </c>
      <c r="I273" s="2" t="s">
        <v>2685</v>
      </c>
      <c r="J273" s="2">
        <v>0</v>
      </c>
      <c r="K273" s="2">
        <v>0</v>
      </c>
      <c r="L273" s="2">
        <v>0</v>
      </c>
      <c r="M273" s="5">
        <v>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5">
        <v>1</v>
      </c>
      <c r="Y273" s="2">
        <v>0</v>
      </c>
      <c r="Z273" s="2">
        <v>0</v>
      </c>
      <c r="AA273" s="2">
        <v>0</v>
      </c>
      <c r="AB273" s="2">
        <v>0</v>
      </c>
    </row>
    <row r="274" spans="1:28" ht="45" x14ac:dyDescent="0.25">
      <c r="A274" s="2">
        <v>273</v>
      </c>
      <c r="B274" s="5">
        <v>3.1914893617021267E-2</v>
      </c>
      <c r="C274" s="5">
        <v>2.7710843373493971E-2</v>
      </c>
      <c r="D274" s="5">
        <v>4.0000000000000001E-3</v>
      </c>
      <c r="E274" s="5">
        <v>8.9644513137557957E-3</v>
      </c>
      <c r="F274" s="2" t="s">
        <v>549</v>
      </c>
      <c r="G274" s="2" t="s">
        <v>550</v>
      </c>
      <c r="H274" s="2" t="s">
        <v>2683</v>
      </c>
      <c r="I274" s="2" t="s">
        <v>2685</v>
      </c>
      <c r="J274" s="2">
        <v>0</v>
      </c>
      <c r="K274" s="2">
        <v>0</v>
      </c>
      <c r="L274" s="2">
        <v>0</v>
      </c>
      <c r="M274" s="5">
        <v>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5">
        <v>1</v>
      </c>
      <c r="Y274" s="2">
        <v>0</v>
      </c>
      <c r="Z274" s="2">
        <v>0</v>
      </c>
      <c r="AA274" s="2">
        <v>0</v>
      </c>
      <c r="AB274" s="2">
        <v>0</v>
      </c>
    </row>
    <row r="275" spans="1:28" ht="30" x14ac:dyDescent="0.25">
      <c r="A275" s="2">
        <v>274</v>
      </c>
      <c r="B275" s="5">
        <v>4.2553191489361701E-2</v>
      </c>
      <c r="C275" s="5">
        <v>3.6144578313253017E-2</v>
      </c>
      <c r="D275" s="5">
        <v>8.0000000000000002E-3</v>
      </c>
      <c r="E275" s="5">
        <v>1.143740340030912E-2</v>
      </c>
      <c r="F275" s="2" t="s">
        <v>551</v>
      </c>
      <c r="G275" s="2" t="s">
        <v>552</v>
      </c>
      <c r="H275" s="2" t="s">
        <v>2683</v>
      </c>
      <c r="I275" s="2" t="s">
        <v>2685</v>
      </c>
      <c r="J275" s="2">
        <v>0</v>
      </c>
      <c r="K275" s="2">
        <v>0</v>
      </c>
      <c r="L275" s="2">
        <v>0</v>
      </c>
      <c r="M275" s="5">
        <v>1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5">
        <v>1</v>
      </c>
      <c r="Y275" s="2">
        <v>0</v>
      </c>
      <c r="Z275" s="2">
        <v>0</v>
      </c>
      <c r="AA275" s="2">
        <v>0</v>
      </c>
      <c r="AB275" s="2">
        <v>0</v>
      </c>
    </row>
    <row r="276" spans="1:28" ht="45" x14ac:dyDescent="0.25">
      <c r="A276" s="2">
        <v>275</v>
      </c>
      <c r="B276" s="5">
        <v>5.7446808510638298E-2</v>
      </c>
      <c r="C276" s="5">
        <v>4.457831325301205E-2</v>
      </c>
      <c r="D276" s="5">
        <v>3.0000000000000001E-3</v>
      </c>
      <c r="E276" s="5">
        <v>1.823802163833076E-2</v>
      </c>
      <c r="F276" s="2" t="s">
        <v>553</v>
      </c>
      <c r="G276" s="2" t="s">
        <v>554</v>
      </c>
      <c r="H276" s="2" t="s">
        <v>2683</v>
      </c>
      <c r="I276" s="2" t="s">
        <v>2685</v>
      </c>
      <c r="J276" s="2">
        <v>0</v>
      </c>
      <c r="K276" s="2">
        <v>0</v>
      </c>
      <c r="L276" s="2">
        <v>0</v>
      </c>
      <c r="M276" s="5">
        <v>1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5">
        <v>1</v>
      </c>
      <c r="Y276" s="2">
        <v>0</v>
      </c>
      <c r="Z276" s="2">
        <v>0</v>
      </c>
      <c r="AA276" s="2">
        <v>0</v>
      </c>
      <c r="AB276" s="2">
        <v>0</v>
      </c>
    </row>
    <row r="277" spans="1:28" ht="30" x14ac:dyDescent="0.25">
      <c r="A277" s="2">
        <v>276</v>
      </c>
      <c r="B277" s="5">
        <v>7.5531914893617019E-2</v>
      </c>
      <c r="C277" s="5">
        <v>8.1927710843373497E-2</v>
      </c>
      <c r="D277" s="5">
        <v>1.6E-2</v>
      </c>
      <c r="E277" s="5">
        <v>1.7774343122102011E-2</v>
      </c>
      <c r="F277" s="2" t="s">
        <v>555</v>
      </c>
      <c r="G277" s="2" t="s">
        <v>556</v>
      </c>
      <c r="H277" s="2" t="s">
        <v>2683</v>
      </c>
      <c r="I277" s="2" t="s">
        <v>2685</v>
      </c>
      <c r="J277" s="2">
        <v>0</v>
      </c>
      <c r="K277" s="2">
        <v>0</v>
      </c>
      <c r="L277" s="2">
        <v>0</v>
      </c>
      <c r="M277" s="5">
        <v>1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5">
        <v>1</v>
      </c>
      <c r="Y277" s="2">
        <v>0</v>
      </c>
      <c r="Z277" s="2">
        <v>0</v>
      </c>
      <c r="AA277" s="2">
        <v>0</v>
      </c>
      <c r="AB277" s="2">
        <v>0</v>
      </c>
    </row>
    <row r="278" spans="1:28" ht="30" x14ac:dyDescent="0.25">
      <c r="A278" s="2">
        <v>277</v>
      </c>
      <c r="B278" s="5">
        <v>0.1053191489361702</v>
      </c>
      <c r="C278" s="5">
        <v>6.0240963855421693E-2</v>
      </c>
      <c r="D278" s="5">
        <v>1.2999999999999999E-2</v>
      </c>
      <c r="E278" s="5">
        <v>3.2921174652241113E-2</v>
      </c>
      <c r="F278" s="2" t="s">
        <v>557</v>
      </c>
      <c r="G278" s="2" t="s">
        <v>558</v>
      </c>
      <c r="H278" s="2" t="s">
        <v>2683</v>
      </c>
      <c r="I278" s="2" t="s">
        <v>2687</v>
      </c>
      <c r="J278" s="2">
        <v>0</v>
      </c>
      <c r="K278" s="2">
        <v>0</v>
      </c>
      <c r="L278" s="2">
        <v>0</v>
      </c>
      <c r="M278" s="5">
        <v>1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5">
        <v>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</row>
    <row r="279" spans="1:28" ht="60" x14ac:dyDescent="0.25">
      <c r="A279" s="2">
        <v>278</v>
      </c>
      <c r="B279" s="5">
        <v>6.702127659574468E-2</v>
      </c>
      <c r="C279" s="5">
        <v>4.5783132530120479E-2</v>
      </c>
      <c r="D279" s="5">
        <v>1.4999999999999999E-2</v>
      </c>
      <c r="E279" s="5">
        <v>1.7774343122102011E-2</v>
      </c>
      <c r="F279" s="2" t="s">
        <v>559</v>
      </c>
      <c r="G279" s="2" t="s">
        <v>560</v>
      </c>
      <c r="H279" s="2" t="s">
        <v>2683</v>
      </c>
      <c r="I279" s="2" t="s">
        <v>2685</v>
      </c>
      <c r="J279" s="2">
        <v>0</v>
      </c>
      <c r="K279" s="2">
        <v>0</v>
      </c>
      <c r="L279" s="2">
        <v>0</v>
      </c>
      <c r="M279" s="5">
        <v>1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5">
        <v>1</v>
      </c>
      <c r="Y279" s="2">
        <v>0</v>
      </c>
      <c r="Z279" s="2">
        <v>0</v>
      </c>
      <c r="AA279" s="2">
        <v>0</v>
      </c>
      <c r="AB279" s="2">
        <v>0</v>
      </c>
    </row>
    <row r="280" spans="1:28" ht="45" x14ac:dyDescent="0.25">
      <c r="A280" s="2">
        <v>279</v>
      </c>
      <c r="B280" s="5">
        <v>0.1765957446808511</v>
      </c>
      <c r="C280" s="5">
        <v>2.0481927710843371E-2</v>
      </c>
      <c r="D280" s="5">
        <v>5.0000000000000001E-3</v>
      </c>
      <c r="E280" s="5">
        <v>5.9969088098918079E-2</v>
      </c>
      <c r="F280" s="2" t="s">
        <v>561</v>
      </c>
      <c r="G280" s="2" t="s">
        <v>562</v>
      </c>
      <c r="H280" s="2" t="s">
        <v>2683</v>
      </c>
      <c r="I280" s="2" t="s">
        <v>2685</v>
      </c>
      <c r="J280" s="2">
        <v>0</v>
      </c>
      <c r="K280" s="2">
        <v>0</v>
      </c>
      <c r="L280" s="2">
        <v>0</v>
      </c>
      <c r="M280" s="5">
        <v>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5">
        <v>1</v>
      </c>
      <c r="Y280" s="2">
        <v>0</v>
      </c>
      <c r="Z280" s="2">
        <v>0</v>
      </c>
      <c r="AA280" s="2">
        <v>0</v>
      </c>
      <c r="AB280" s="2">
        <v>0</v>
      </c>
    </row>
    <row r="281" spans="1:28" ht="45" x14ac:dyDescent="0.25">
      <c r="A281" s="2">
        <v>280</v>
      </c>
      <c r="B281" s="5">
        <v>2.3404255319148939E-2</v>
      </c>
      <c r="C281" s="5">
        <v>1.204819277108434E-2</v>
      </c>
      <c r="D281" s="5">
        <v>1E-3</v>
      </c>
      <c r="E281" s="5">
        <v>8.1916537867078813E-3</v>
      </c>
      <c r="F281" s="2" t="s">
        <v>563</v>
      </c>
      <c r="G281" s="2" t="s">
        <v>564</v>
      </c>
      <c r="H281" s="2" t="s">
        <v>2683</v>
      </c>
      <c r="I281" s="2" t="s">
        <v>2685</v>
      </c>
      <c r="J281" s="2">
        <v>0</v>
      </c>
      <c r="K281" s="2">
        <v>0</v>
      </c>
      <c r="L281" s="2">
        <v>0</v>
      </c>
      <c r="M281" s="5">
        <v>1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5">
        <v>1</v>
      </c>
      <c r="Y281" s="2">
        <v>0</v>
      </c>
      <c r="Z281" s="2">
        <v>0</v>
      </c>
      <c r="AA281" s="2">
        <v>0</v>
      </c>
      <c r="AB281" s="2">
        <v>0</v>
      </c>
    </row>
    <row r="282" spans="1:28" ht="30" x14ac:dyDescent="0.25">
      <c r="A282" s="2">
        <v>281</v>
      </c>
      <c r="B282" s="5">
        <v>2.3404255319148939E-2</v>
      </c>
      <c r="C282" s="5">
        <v>1.204819277108434E-2</v>
      </c>
      <c r="D282" s="5">
        <v>1E-3</v>
      </c>
      <c r="E282" s="5">
        <v>8.1916537867078813E-3</v>
      </c>
      <c r="F282" s="2" t="s">
        <v>565</v>
      </c>
      <c r="G282" s="2" t="s">
        <v>566</v>
      </c>
      <c r="H282" s="2" t="s">
        <v>2683</v>
      </c>
      <c r="I282" s="2" t="s">
        <v>2685</v>
      </c>
      <c r="J282" s="2">
        <v>0</v>
      </c>
      <c r="K282" s="2">
        <v>0</v>
      </c>
      <c r="L282" s="2">
        <v>0</v>
      </c>
      <c r="M282" s="5">
        <v>1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5">
        <v>1</v>
      </c>
      <c r="Y282" s="2">
        <v>0</v>
      </c>
      <c r="Z282" s="2">
        <v>0</v>
      </c>
      <c r="AA282" s="2">
        <v>0</v>
      </c>
      <c r="AB282" s="2">
        <v>0</v>
      </c>
    </row>
    <row r="283" spans="1:28" ht="45" x14ac:dyDescent="0.25">
      <c r="A283" s="2">
        <v>282</v>
      </c>
      <c r="B283" s="5">
        <v>3.7234042553191488E-2</v>
      </c>
      <c r="C283" s="5">
        <v>4.8192771084337352E-2</v>
      </c>
      <c r="D283" s="5">
        <v>3.0000000000000001E-3</v>
      </c>
      <c r="E283" s="5">
        <v>9.8918083462132926E-3</v>
      </c>
      <c r="F283" s="2" t="s">
        <v>567</v>
      </c>
      <c r="G283" s="2" t="s">
        <v>568</v>
      </c>
      <c r="H283" s="2" t="s">
        <v>2683</v>
      </c>
      <c r="I283" s="2" t="s">
        <v>2685</v>
      </c>
      <c r="J283" s="2">
        <v>0</v>
      </c>
      <c r="K283" s="2">
        <v>0</v>
      </c>
      <c r="L283" s="2">
        <v>0</v>
      </c>
      <c r="M283" s="5">
        <v>1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5">
        <v>1</v>
      </c>
      <c r="Y283" s="2">
        <v>0</v>
      </c>
      <c r="Z283" s="2">
        <v>0</v>
      </c>
      <c r="AA283" s="2">
        <v>0</v>
      </c>
      <c r="AB283" s="2">
        <v>0</v>
      </c>
    </row>
    <row r="284" spans="1:28" ht="45" x14ac:dyDescent="0.25">
      <c r="A284" s="2">
        <v>283</v>
      </c>
      <c r="B284" s="5">
        <v>5.7446808510638298E-2</v>
      </c>
      <c r="C284" s="5">
        <v>2.6506024096385541E-2</v>
      </c>
      <c r="D284" s="5">
        <v>3.5999999999999997E-2</v>
      </c>
      <c r="E284" s="5">
        <v>4.7913446676970638E-3</v>
      </c>
      <c r="F284" s="2" t="s">
        <v>569</v>
      </c>
      <c r="G284" s="2" t="s">
        <v>570</v>
      </c>
      <c r="H284" s="2" t="s">
        <v>2683</v>
      </c>
      <c r="I284" s="2" t="s">
        <v>2685</v>
      </c>
      <c r="J284" s="2">
        <v>0</v>
      </c>
      <c r="K284" s="2">
        <v>0</v>
      </c>
      <c r="L284" s="2">
        <v>0</v>
      </c>
      <c r="M284" s="5">
        <v>1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5">
        <v>1</v>
      </c>
      <c r="Y284" s="2">
        <v>0</v>
      </c>
      <c r="Z284" s="2">
        <v>0</v>
      </c>
      <c r="AA284" s="2">
        <v>0</v>
      </c>
      <c r="AB284" s="2">
        <v>0</v>
      </c>
    </row>
    <row r="285" spans="1:28" ht="45" x14ac:dyDescent="0.25">
      <c r="A285" s="2">
        <v>284</v>
      </c>
      <c r="B285" s="5">
        <v>4.1489361702127657E-2</v>
      </c>
      <c r="C285" s="5">
        <v>5.4216867469879519E-2</v>
      </c>
      <c r="D285" s="5">
        <v>4.0000000000000001E-3</v>
      </c>
      <c r="E285" s="5">
        <v>1.066460587326121E-2</v>
      </c>
      <c r="F285" s="2" t="s">
        <v>571</v>
      </c>
      <c r="G285" s="2" t="s">
        <v>572</v>
      </c>
      <c r="H285" s="2" t="s">
        <v>2683</v>
      </c>
      <c r="I285" s="2" t="s">
        <v>2685</v>
      </c>
      <c r="J285" s="2">
        <v>0</v>
      </c>
      <c r="K285" s="2">
        <v>0</v>
      </c>
      <c r="L285" s="2">
        <v>0</v>
      </c>
      <c r="M285" s="5">
        <v>1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5">
        <v>1</v>
      </c>
      <c r="Y285" s="2">
        <v>0</v>
      </c>
      <c r="Z285" s="2">
        <v>0</v>
      </c>
      <c r="AA285" s="2">
        <v>0</v>
      </c>
      <c r="AB285" s="2">
        <v>0</v>
      </c>
    </row>
    <row r="286" spans="1:28" ht="45" x14ac:dyDescent="0.25">
      <c r="A286" s="2">
        <v>285</v>
      </c>
      <c r="B286" s="5">
        <v>5.6382978723404253E-2</v>
      </c>
      <c r="C286" s="5">
        <v>4.0963855421686748E-2</v>
      </c>
      <c r="D286" s="5">
        <v>1.2E-2</v>
      </c>
      <c r="E286" s="5">
        <v>1.1128284389489949E-2</v>
      </c>
      <c r="F286" s="2" t="s">
        <v>573</v>
      </c>
      <c r="G286" s="2" t="s">
        <v>574</v>
      </c>
      <c r="H286" s="2" t="s">
        <v>2683</v>
      </c>
      <c r="I286" s="2" t="s">
        <v>2685</v>
      </c>
      <c r="J286" s="2">
        <v>0</v>
      </c>
      <c r="K286" s="2">
        <v>0</v>
      </c>
      <c r="L286" s="2">
        <v>0</v>
      </c>
      <c r="M286" s="5">
        <v>1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5">
        <v>1</v>
      </c>
      <c r="Y286" s="2">
        <v>0</v>
      </c>
      <c r="Z286" s="2">
        <v>0</v>
      </c>
      <c r="AA286" s="2">
        <v>0</v>
      </c>
      <c r="AB286" s="2">
        <v>0</v>
      </c>
    </row>
    <row r="287" spans="1:28" ht="45" x14ac:dyDescent="0.25">
      <c r="A287" s="2">
        <v>286</v>
      </c>
      <c r="B287" s="5">
        <v>3.085106382978723E-2</v>
      </c>
      <c r="C287" s="5">
        <v>4.0963855421686748E-2</v>
      </c>
      <c r="D287" s="5">
        <v>1E-3</v>
      </c>
      <c r="E287" s="5">
        <v>1.004636785162288E-2</v>
      </c>
      <c r="F287" s="2" t="s">
        <v>575</v>
      </c>
      <c r="G287" s="2" t="s">
        <v>576</v>
      </c>
      <c r="H287" s="2" t="s">
        <v>2683</v>
      </c>
      <c r="I287" s="2" t="s">
        <v>2685</v>
      </c>
      <c r="J287" s="2">
        <v>0</v>
      </c>
      <c r="K287" s="2">
        <v>0</v>
      </c>
      <c r="L287" s="2">
        <v>0</v>
      </c>
      <c r="M287" s="5">
        <v>1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5">
        <v>1</v>
      </c>
      <c r="Y287" s="2">
        <v>0</v>
      </c>
      <c r="Z287" s="2">
        <v>0</v>
      </c>
      <c r="AA287" s="2">
        <v>0</v>
      </c>
      <c r="AB287" s="2">
        <v>0</v>
      </c>
    </row>
    <row r="288" spans="1:28" ht="90" x14ac:dyDescent="0.25">
      <c r="A288" s="2">
        <v>287</v>
      </c>
      <c r="B288" s="5">
        <v>0.1106382978723404</v>
      </c>
      <c r="C288" s="5">
        <v>4.6987951807228923E-2</v>
      </c>
      <c r="D288" s="5">
        <v>6.0000000000000001E-3</v>
      </c>
      <c r="E288" s="5">
        <v>2.76661514683153E-2</v>
      </c>
      <c r="F288" s="2" t="s">
        <v>577</v>
      </c>
      <c r="G288" s="2" t="s">
        <v>578</v>
      </c>
      <c r="H288" s="2" t="s">
        <v>2683</v>
      </c>
      <c r="I288" s="2" t="s">
        <v>2685</v>
      </c>
      <c r="J288" s="2">
        <v>0</v>
      </c>
      <c r="K288" s="2">
        <v>0</v>
      </c>
      <c r="L288" s="2">
        <v>0</v>
      </c>
      <c r="M288" s="5">
        <v>1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5">
        <v>1</v>
      </c>
      <c r="Y288" s="2">
        <v>0</v>
      </c>
      <c r="Z288" s="2">
        <v>0</v>
      </c>
      <c r="AA288" s="2">
        <v>0</v>
      </c>
      <c r="AB288" s="2">
        <v>0</v>
      </c>
    </row>
    <row r="289" spans="1:28" ht="45" x14ac:dyDescent="0.25">
      <c r="A289" s="2">
        <v>288</v>
      </c>
      <c r="B289" s="5">
        <v>5.2127659574468077E-2</v>
      </c>
      <c r="C289" s="5">
        <v>3.2530120481927723E-2</v>
      </c>
      <c r="D289" s="5">
        <v>0.01</v>
      </c>
      <c r="E289" s="5">
        <v>1.298299845440495E-2</v>
      </c>
      <c r="F289" s="2" t="s">
        <v>579</v>
      </c>
      <c r="G289" s="2" t="s">
        <v>580</v>
      </c>
      <c r="H289" s="2" t="s">
        <v>2683</v>
      </c>
      <c r="I289" s="2" t="s">
        <v>2685</v>
      </c>
      <c r="J289" s="2">
        <v>0</v>
      </c>
      <c r="K289" s="2">
        <v>0</v>
      </c>
      <c r="L289" s="2">
        <v>0</v>
      </c>
      <c r="M289" s="5">
        <v>1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5">
        <v>1</v>
      </c>
      <c r="Y289" s="2">
        <v>0</v>
      </c>
      <c r="Z289" s="2">
        <v>0</v>
      </c>
      <c r="AA289" s="2">
        <v>0</v>
      </c>
      <c r="AB289" s="2">
        <v>0</v>
      </c>
    </row>
    <row r="290" spans="1:28" ht="45" x14ac:dyDescent="0.25">
      <c r="A290" s="2">
        <v>289</v>
      </c>
      <c r="B290" s="5">
        <v>9.2553191489361697E-2</v>
      </c>
      <c r="C290" s="5">
        <v>9.6385542168674704E-2</v>
      </c>
      <c r="D290" s="5">
        <v>0.02</v>
      </c>
      <c r="E290" s="5">
        <v>1.8392581143740341E-2</v>
      </c>
      <c r="F290" s="2" t="s">
        <v>581</v>
      </c>
      <c r="G290" s="2" t="s">
        <v>582</v>
      </c>
      <c r="H290" s="2" t="s">
        <v>2683</v>
      </c>
      <c r="I290" s="2" t="s">
        <v>2685</v>
      </c>
      <c r="J290" s="2">
        <v>0</v>
      </c>
      <c r="K290" s="2">
        <v>0</v>
      </c>
      <c r="L290" s="2">
        <v>0</v>
      </c>
      <c r="M290" s="5">
        <v>1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5">
        <v>1</v>
      </c>
      <c r="Y290" s="2">
        <v>0</v>
      </c>
      <c r="Z290" s="2">
        <v>0</v>
      </c>
      <c r="AA290" s="2">
        <v>0</v>
      </c>
      <c r="AB290" s="2">
        <v>0</v>
      </c>
    </row>
    <row r="291" spans="1:28" ht="45" x14ac:dyDescent="0.25">
      <c r="A291" s="2">
        <v>290</v>
      </c>
      <c r="B291" s="5">
        <v>0.13617021276595739</v>
      </c>
      <c r="C291" s="5">
        <v>0.1445783132530121</v>
      </c>
      <c r="D291" s="5">
        <v>6.5000000000000002E-2</v>
      </c>
      <c r="E291" s="5">
        <v>1.9165378670788259E-2</v>
      </c>
      <c r="F291" s="2" t="s">
        <v>583</v>
      </c>
      <c r="G291" s="2" t="s">
        <v>584</v>
      </c>
      <c r="H291" s="2" t="s">
        <v>2683</v>
      </c>
      <c r="I291" s="2" t="s">
        <v>2685</v>
      </c>
      <c r="J291" s="2">
        <v>0</v>
      </c>
      <c r="K291" s="2">
        <v>0</v>
      </c>
      <c r="L291" s="2">
        <v>0</v>
      </c>
      <c r="M291" s="5">
        <v>1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5">
        <v>1</v>
      </c>
      <c r="Y291" s="2">
        <v>0</v>
      </c>
      <c r="Z291" s="2">
        <v>0</v>
      </c>
      <c r="AA291" s="2">
        <v>0</v>
      </c>
      <c r="AB291" s="2">
        <v>0</v>
      </c>
    </row>
    <row r="292" spans="1:28" ht="45" x14ac:dyDescent="0.25">
      <c r="A292" s="2">
        <v>291</v>
      </c>
      <c r="B292" s="5">
        <v>3.9361702127659583E-2</v>
      </c>
      <c r="C292" s="5">
        <v>3.012048192771084E-2</v>
      </c>
      <c r="D292" s="5">
        <v>8.0000000000000002E-3</v>
      </c>
      <c r="E292" s="5">
        <v>1.066460587326121E-2</v>
      </c>
      <c r="F292" s="2" t="s">
        <v>585</v>
      </c>
      <c r="G292" s="2" t="s">
        <v>586</v>
      </c>
      <c r="H292" s="2" t="s">
        <v>2683</v>
      </c>
      <c r="I292" s="2" t="s">
        <v>2685</v>
      </c>
      <c r="J292" s="2">
        <v>0</v>
      </c>
      <c r="K292" s="2">
        <v>0</v>
      </c>
      <c r="L292" s="2">
        <v>0</v>
      </c>
      <c r="M292" s="5">
        <v>1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5">
        <v>1</v>
      </c>
      <c r="Y292" s="2">
        <v>0</v>
      </c>
      <c r="Z292" s="2">
        <v>0</v>
      </c>
      <c r="AA292" s="2">
        <v>0</v>
      </c>
      <c r="AB292" s="2">
        <v>0</v>
      </c>
    </row>
    <row r="293" spans="1:28" ht="30" x14ac:dyDescent="0.25">
      <c r="A293" s="2">
        <v>292</v>
      </c>
      <c r="B293" s="5">
        <v>0.3202127659574468</v>
      </c>
      <c r="C293" s="5">
        <v>0.1710843373493976</v>
      </c>
      <c r="D293" s="5">
        <v>0.109</v>
      </c>
      <c r="E293" s="5">
        <v>7.5734157650695522E-2</v>
      </c>
      <c r="F293" s="2" t="s">
        <v>587</v>
      </c>
      <c r="G293" s="2" t="s">
        <v>588</v>
      </c>
      <c r="H293" s="2" t="s">
        <v>2694</v>
      </c>
      <c r="I293" s="2" t="s">
        <v>2685</v>
      </c>
      <c r="J293" s="5">
        <v>1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5">
        <v>1</v>
      </c>
      <c r="Y293" s="2">
        <v>0</v>
      </c>
      <c r="Z293" s="2">
        <v>0</v>
      </c>
      <c r="AA293" s="2">
        <v>0</v>
      </c>
      <c r="AB293" s="2">
        <v>0</v>
      </c>
    </row>
    <row r="294" spans="1:28" ht="45" x14ac:dyDescent="0.25">
      <c r="A294" s="2">
        <v>293</v>
      </c>
      <c r="B294" s="5">
        <v>6.5957446808510636E-2</v>
      </c>
      <c r="C294" s="5">
        <v>4.8192771084337352E-2</v>
      </c>
      <c r="D294" s="5">
        <v>5.0000000000000001E-3</v>
      </c>
      <c r="E294" s="5">
        <v>1.6228748068006182E-2</v>
      </c>
      <c r="F294" s="2" t="s">
        <v>589</v>
      </c>
      <c r="G294" s="2" t="s">
        <v>590</v>
      </c>
      <c r="H294" s="2" t="s">
        <v>2683</v>
      </c>
      <c r="I294" s="2" t="s">
        <v>2685</v>
      </c>
      <c r="J294" s="2">
        <v>0</v>
      </c>
      <c r="K294" s="2">
        <v>0</v>
      </c>
      <c r="L294" s="2">
        <v>0</v>
      </c>
      <c r="M294" s="5">
        <v>1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5">
        <v>1</v>
      </c>
      <c r="Y294" s="2">
        <v>0</v>
      </c>
      <c r="Z294" s="2">
        <v>0</v>
      </c>
      <c r="AA294" s="2">
        <v>0</v>
      </c>
      <c r="AB294" s="2">
        <v>0</v>
      </c>
    </row>
    <row r="295" spans="1:28" ht="30" x14ac:dyDescent="0.25">
      <c r="A295" s="2">
        <v>294</v>
      </c>
      <c r="B295" s="5">
        <v>4.7872340425531908E-2</v>
      </c>
      <c r="C295" s="5">
        <v>5.301204819277109E-2</v>
      </c>
      <c r="D295" s="5">
        <v>0.08</v>
      </c>
      <c r="E295" s="5">
        <v>7.7279752704791343E-4</v>
      </c>
      <c r="F295" s="2" t="s">
        <v>591</v>
      </c>
      <c r="G295" s="2" t="s">
        <v>592</v>
      </c>
      <c r="H295" s="2" t="s">
        <v>2683</v>
      </c>
      <c r="I295" s="2" t="s">
        <v>2685</v>
      </c>
      <c r="J295" s="2">
        <v>0</v>
      </c>
      <c r="K295" s="2">
        <v>0</v>
      </c>
      <c r="L295" s="2">
        <v>0</v>
      </c>
      <c r="M295" s="5">
        <v>1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5">
        <v>1</v>
      </c>
      <c r="Y295" s="2">
        <v>0</v>
      </c>
      <c r="Z295" s="2">
        <v>0</v>
      </c>
      <c r="AA295" s="2">
        <v>0</v>
      </c>
      <c r="AB295" s="2">
        <v>0</v>
      </c>
    </row>
    <row r="296" spans="1:28" ht="45" x14ac:dyDescent="0.25">
      <c r="A296" s="2">
        <v>295</v>
      </c>
      <c r="B296" s="5">
        <v>4.7872340425531908E-2</v>
      </c>
      <c r="C296" s="5">
        <v>5.301204819277109E-2</v>
      </c>
      <c r="D296" s="5">
        <v>5.0000000000000001E-3</v>
      </c>
      <c r="E296" s="5">
        <v>1.3137557959814529E-2</v>
      </c>
      <c r="F296" s="2" t="s">
        <v>593</v>
      </c>
      <c r="G296" s="2" t="s">
        <v>594</v>
      </c>
      <c r="H296" s="2" t="s">
        <v>2683</v>
      </c>
      <c r="I296" s="2" t="s">
        <v>2685</v>
      </c>
      <c r="J296" s="2">
        <v>0</v>
      </c>
      <c r="K296" s="2">
        <v>0</v>
      </c>
      <c r="L296" s="2">
        <v>0</v>
      </c>
      <c r="M296" s="5">
        <v>1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5">
        <v>1</v>
      </c>
      <c r="Y296" s="2">
        <v>0</v>
      </c>
      <c r="Z296" s="2">
        <v>0</v>
      </c>
      <c r="AA296" s="2">
        <v>0</v>
      </c>
      <c r="AB296" s="2">
        <v>0</v>
      </c>
    </row>
    <row r="297" spans="1:28" ht="30" x14ac:dyDescent="0.25">
      <c r="A297" s="2">
        <v>296</v>
      </c>
      <c r="B297" s="5">
        <v>5.6382978723404253E-2</v>
      </c>
      <c r="C297" s="5">
        <v>3.8554216867469883E-2</v>
      </c>
      <c r="D297" s="5">
        <v>2.5000000000000001E-2</v>
      </c>
      <c r="E297" s="5">
        <v>1.174652241112828E-2</v>
      </c>
      <c r="F297" s="2" t="s">
        <v>595</v>
      </c>
      <c r="G297" s="2" t="s">
        <v>596</v>
      </c>
      <c r="H297" s="2" t="s">
        <v>2683</v>
      </c>
      <c r="I297" s="2" t="s">
        <v>2685</v>
      </c>
      <c r="J297" s="2">
        <v>0</v>
      </c>
      <c r="K297" s="2">
        <v>0</v>
      </c>
      <c r="L297" s="2">
        <v>0</v>
      </c>
      <c r="M297" s="5">
        <v>1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5">
        <v>1</v>
      </c>
      <c r="Y297" s="2">
        <v>0</v>
      </c>
      <c r="Z297" s="2">
        <v>0</v>
      </c>
      <c r="AA297" s="2">
        <v>0</v>
      </c>
      <c r="AB297" s="2">
        <v>0</v>
      </c>
    </row>
    <row r="298" spans="1:28" ht="45" x14ac:dyDescent="0.25">
      <c r="A298" s="2">
        <v>297</v>
      </c>
      <c r="B298" s="5">
        <v>7.2340425531914901E-2</v>
      </c>
      <c r="C298" s="5">
        <v>2.4096385542168679E-2</v>
      </c>
      <c r="D298" s="5">
        <v>0.01</v>
      </c>
      <c r="E298" s="5">
        <v>2.349304482225657E-2</v>
      </c>
      <c r="F298" s="2" t="s">
        <v>597</v>
      </c>
      <c r="G298" s="2" t="s">
        <v>598</v>
      </c>
      <c r="H298" s="2" t="s">
        <v>2683</v>
      </c>
      <c r="I298" s="2" t="s">
        <v>2685</v>
      </c>
      <c r="J298" s="2">
        <v>0</v>
      </c>
      <c r="K298" s="2">
        <v>0</v>
      </c>
      <c r="L298" s="2">
        <v>0</v>
      </c>
      <c r="M298" s="5">
        <v>1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5">
        <v>1</v>
      </c>
      <c r="Y298" s="2">
        <v>0</v>
      </c>
      <c r="Z298" s="2">
        <v>0</v>
      </c>
      <c r="AA298" s="2">
        <v>0</v>
      </c>
      <c r="AB298" s="2">
        <v>0</v>
      </c>
    </row>
    <row r="299" spans="1:28" ht="75" x14ac:dyDescent="0.25">
      <c r="A299" s="2">
        <v>298</v>
      </c>
      <c r="B299" s="5">
        <v>7.7659574468085107E-2</v>
      </c>
      <c r="C299" s="5">
        <v>8.1927710843373497E-2</v>
      </c>
      <c r="D299" s="5">
        <v>1.2E-2</v>
      </c>
      <c r="E299" s="5">
        <v>2.009273570324575E-2</v>
      </c>
      <c r="F299" s="2" t="s">
        <v>599</v>
      </c>
      <c r="G299" s="2" t="s">
        <v>600</v>
      </c>
      <c r="H299" s="2" t="s">
        <v>2683</v>
      </c>
      <c r="I299" s="2" t="s">
        <v>2685</v>
      </c>
      <c r="J299" s="2">
        <v>0</v>
      </c>
      <c r="K299" s="2">
        <v>0</v>
      </c>
      <c r="L299" s="2">
        <v>0</v>
      </c>
      <c r="M299" s="5">
        <v>1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5">
        <v>1</v>
      </c>
      <c r="Y299" s="2">
        <v>0</v>
      </c>
      <c r="Z299" s="2">
        <v>0</v>
      </c>
      <c r="AA299" s="2">
        <v>0</v>
      </c>
      <c r="AB299" s="2">
        <v>0</v>
      </c>
    </row>
    <row r="300" spans="1:28" ht="45" x14ac:dyDescent="0.25">
      <c r="A300" s="2">
        <v>299</v>
      </c>
      <c r="B300" s="5">
        <v>0.1531914893617021</v>
      </c>
      <c r="C300" s="5">
        <v>0.15301204819277109</v>
      </c>
      <c r="D300" s="5">
        <v>1.2E-2</v>
      </c>
      <c r="E300" s="5">
        <v>3.8948995363214833E-2</v>
      </c>
      <c r="F300" s="2" t="s">
        <v>601</v>
      </c>
      <c r="G300" s="2" t="s">
        <v>602</v>
      </c>
      <c r="H300" s="2" t="s">
        <v>2683</v>
      </c>
      <c r="I300" s="2" t="s">
        <v>2685</v>
      </c>
      <c r="J300" s="2">
        <v>0</v>
      </c>
      <c r="K300" s="2">
        <v>0</v>
      </c>
      <c r="L300" s="2">
        <v>0</v>
      </c>
      <c r="M300" s="5">
        <v>1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5">
        <v>1</v>
      </c>
      <c r="Y300" s="2">
        <v>0</v>
      </c>
      <c r="Z300" s="2">
        <v>0</v>
      </c>
      <c r="AA300" s="2">
        <v>0</v>
      </c>
      <c r="AB300" s="2">
        <v>0</v>
      </c>
    </row>
    <row r="301" spans="1:28" ht="45" x14ac:dyDescent="0.25">
      <c r="A301" s="2">
        <v>300</v>
      </c>
      <c r="B301" s="5">
        <v>5.3191489361702128E-2</v>
      </c>
      <c r="C301" s="5">
        <v>7.4698795180722893E-2</v>
      </c>
      <c r="D301" s="5">
        <v>1.0999999999999999E-2</v>
      </c>
      <c r="E301" s="5">
        <v>1.097372488408037E-2</v>
      </c>
      <c r="F301" s="2" t="s">
        <v>603</v>
      </c>
      <c r="G301" s="2" t="s">
        <v>604</v>
      </c>
      <c r="H301" s="2" t="s">
        <v>2683</v>
      </c>
      <c r="I301" s="2" t="s">
        <v>2685</v>
      </c>
      <c r="J301" s="2">
        <v>0</v>
      </c>
      <c r="K301" s="2">
        <v>0</v>
      </c>
      <c r="L301" s="2">
        <v>0</v>
      </c>
      <c r="M301" s="5">
        <v>1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5">
        <v>1</v>
      </c>
      <c r="Y301" s="2">
        <v>0</v>
      </c>
      <c r="Z301" s="2">
        <v>0</v>
      </c>
      <c r="AA301" s="2">
        <v>0</v>
      </c>
      <c r="AB301" s="2">
        <v>0</v>
      </c>
    </row>
    <row r="302" spans="1:28" ht="30" x14ac:dyDescent="0.25">
      <c r="A302" s="2">
        <v>301</v>
      </c>
      <c r="B302" s="5">
        <v>7.8723404255319152E-2</v>
      </c>
      <c r="C302" s="5">
        <v>7.5903614457831323E-2</v>
      </c>
      <c r="D302" s="5">
        <v>6.9999999999999993E-3</v>
      </c>
      <c r="E302" s="5">
        <v>1.653786707882535E-2</v>
      </c>
      <c r="F302" s="2" t="s">
        <v>605</v>
      </c>
      <c r="G302" s="2" t="s">
        <v>606</v>
      </c>
      <c r="H302" s="2" t="s">
        <v>2683</v>
      </c>
      <c r="I302" s="2" t="s">
        <v>2685</v>
      </c>
      <c r="J302" s="2">
        <v>0</v>
      </c>
      <c r="K302" s="2">
        <v>0</v>
      </c>
      <c r="L302" s="2">
        <v>0</v>
      </c>
      <c r="M302" s="5">
        <v>1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5">
        <v>1</v>
      </c>
      <c r="Y302" s="2">
        <v>0</v>
      </c>
      <c r="Z302" s="2">
        <v>0</v>
      </c>
      <c r="AA302" s="2">
        <v>0</v>
      </c>
      <c r="AB302" s="2">
        <v>0</v>
      </c>
    </row>
    <row r="303" spans="1:28" ht="45" x14ac:dyDescent="0.25">
      <c r="A303" s="2">
        <v>302</v>
      </c>
      <c r="B303" s="5">
        <v>5.8510638297872342E-2</v>
      </c>
      <c r="C303" s="5">
        <v>4.8192771084337352E-2</v>
      </c>
      <c r="D303" s="5">
        <v>5.0000000000000001E-3</v>
      </c>
      <c r="E303" s="5">
        <v>1.3137557959814529E-2</v>
      </c>
      <c r="F303" s="2" t="s">
        <v>607</v>
      </c>
      <c r="G303" s="2" t="s">
        <v>608</v>
      </c>
      <c r="H303" s="2" t="s">
        <v>2683</v>
      </c>
      <c r="I303" s="2" t="s">
        <v>2685</v>
      </c>
      <c r="J303" s="2">
        <v>0</v>
      </c>
      <c r="K303" s="2">
        <v>0</v>
      </c>
      <c r="L303" s="2">
        <v>0</v>
      </c>
      <c r="M303" s="5">
        <v>1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5">
        <v>1</v>
      </c>
      <c r="Y303" s="2">
        <v>0</v>
      </c>
      <c r="Z303" s="2">
        <v>0</v>
      </c>
      <c r="AA303" s="2">
        <v>0</v>
      </c>
      <c r="AB303" s="2">
        <v>0</v>
      </c>
    </row>
    <row r="304" spans="1:28" ht="60" x14ac:dyDescent="0.25">
      <c r="A304" s="2">
        <v>303</v>
      </c>
      <c r="B304" s="5">
        <v>3.2978723404255318E-2</v>
      </c>
      <c r="C304" s="5">
        <v>4.457831325301205E-2</v>
      </c>
      <c r="D304" s="5">
        <v>6.0000000000000001E-3</v>
      </c>
      <c r="E304" s="5">
        <v>7.4188562596599686E-3</v>
      </c>
      <c r="F304" s="2" t="s">
        <v>609</v>
      </c>
      <c r="G304" s="2" t="s">
        <v>610</v>
      </c>
      <c r="H304" s="2" t="s">
        <v>2683</v>
      </c>
      <c r="I304" s="2" t="s">
        <v>2685</v>
      </c>
      <c r="J304" s="2">
        <v>0</v>
      </c>
      <c r="K304" s="2">
        <v>0</v>
      </c>
      <c r="L304" s="2">
        <v>0</v>
      </c>
      <c r="M304" s="5">
        <v>1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5">
        <v>1</v>
      </c>
      <c r="Y304" s="2">
        <v>0</v>
      </c>
      <c r="Z304" s="2">
        <v>0</v>
      </c>
      <c r="AA304" s="2">
        <v>0</v>
      </c>
      <c r="AB304" s="2">
        <v>0</v>
      </c>
    </row>
    <row r="305" spans="1:28" ht="45" x14ac:dyDescent="0.25">
      <c r="A305" s="2">
        <v>304</v>
      </c>
      <c r="B305" s="5">
        <v>5.3191489361702128E-2</v>
      </c>
      <c r="C305" s="5">
        <v>7.4698795180722893E-2</v>
      </c>
      <c r="D305" s="5">
        <v>1.0999999999999999E-2</v>
      </c>
      <c r="E305" s="5">
        <v>1.097372488408037E-2</v>
      </c>
      <c r="F305" s="2" t="s">
        <v>611</v>
      </c>
      <c r="G305" s="2" t="s">
        <v>612</v>
      </c>
      <c r="H305" s="2" t="s">
        <v>2683</v>
      </c>
      <c r="I305" s="2" t="s">
        <v>2685</v>
      </c>
      <c r="J305" s="2">
        <v>0</v>
      </c>
      <c r="K305" s="2">
        <v>0</v>
      </c>
      <c r="L305" s="2">
        <v>0</v>
      </c>
      <c r="M305" s="5">
        <v>1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5">
        <v>1</v>
      </c>
      <c r="Y305" s="2">
        <v>0</v>
      </c>
      <c r="Z305" s="2">
        <v>0</v>
      </c>
      <c r="AA305" s="2">
        <v>0</v>
      </c>
      <c r="AB305" s="2">
        <v>0</v>
      </c>
    </row>
    <row r="306" spans="1:28" ht="45" x14ac:dyDescent="0.25">
      <c r="A306" s="2">
        <v>305</v>
      </c>
      <c r="B306" s="5">
        <v>3.8297872340425532E-2</v>
      </c>
      <c r="C306" s="5">
        <v>3.1325301204819279E-2</v>
      </c>
      <c r="D306" s="5">
        <v>9.0000000000000011E-3</v>
      </c>
      <c r="E306" s="5">
        <v>9.4281298299845433E-3</v>
      </c>
      <c r="F306" s="2" t="s">
        <v>613</v>
      </c>
      <c r="G306" s="2" t="s">
        <v>614</v>
      </c>
      <c r="H306" s="2" t="s">
        <v>2683</v>
      </c>
      <c r="I306" s="2" t="s">
        <v>2685</v>
      </c>
      <c r="J306" s="2">
        <v>0</v>
      </c>
      <c r="K306" s="2">
        <v>0</v>
      </c>
      <c r="L306" s="2">
        <v>0</v>
      </c>
      <c r="M306" s="5">
        <v>1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5">
        <v>1</v>
      </c>
      <c r="Y306" s="2">
        <v>0</v>
      </c>
      <c r="Z306" s="2">
        <v>0</v>
      </c>
      <c r="AA306" s="2">
        <v>0</v>
      </c>
      <c r="AB306" s="2">
        <v>0</v>
      </c>
    </row>
    <row r="307" spans="1:28" ht="30" x14ac:dyDescent="0.25">
      <c r="A307" s="2">
        <v>306</v>
      </c>
      <c r="B307" s="5">
        <v>2.8723404255319149E-2</v>
      </c>
      <c r="C307" s="5">
        <v>1.566265060240964E-2</v>
      </c>
      <c r="D307" s="5">
        <v>2E-3</v>
      </c>
      <c r="E307" s="5">
        <v>9.1190108191653782E-3</v>
      </c>
      <c r="F307" s="2" t="s">
        <v>615</v>
      </c>
      <c r="G307" s="2" t="s">
        <v>616</v>
      </c>
      <c r="H307" s="2" t="s">
        <v>2683</v>
      </c>
      <c r="I307" s="2" t="s">
        <v>2685</v>
      </c>
      <c r="J307" s="2">
        <v>0</v>
      </c>
      <c r="K307" s="2">
        <v>0</v>
      </c>
      <c r="L307" s="2">
        <v>0</v>
      </c>
      <c r="M307" s="5">
        <v>1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5">
        <v>1</v>
      </c>
      <c r="Y307" s="2">
        <v>0</v>
      </c>
      <c r="Z307" s="2">
        <v>0</v>
      </c>
      <c r="AA307" s="2">
        <v>0</v>
      </c>
      <c r="AB307" s="2">
        <v>0</v>
      </c>
    </row>
    <row r="308" spans="1:28" ht="45" x14ac:dyDescent="0.25">
      <c r="A308" s="2">
        <v>307</v>
      </c>
      <c r="B308" s="5">
        <v>6.2765957446808518E-2</v>
      </c>
      <c r="C308" s="5">
        <v>3.6144578313253017E-2</v>
      </c>
      <c r="D308" s="5">
        <v>4.0000000000000001E-3</v>
      </c>
      <c r="E308" s="5">
        <v>2.0865533230293661E-2</v>
      </c>
      <c r="F308" s="2" t="s">
        <v>617</v>
      </c>
      <c r="G308" s="2" t="s">
        <v>618</v>
      </c>
      <c r="H308" s="2" t="s">
        <v>2683</v>
      </c>
      <c r="I308" s="2" t="s">
        <v>2685</v>
      </c>
      <c r="J308" s="2">
        <v>0</v>
      </c>
      <c r="K308" s="2">
        <v>0</v>
      </c>
      <c r="L308" s="2">
        <v>0</v>
      </c>
      <c r="M308" s="5">
        <v>1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5">
        <v>1</v>
      </c>
      <c r="Y308" s="2">
        <v>0</v>
      </c>
      <c r="Z308" s="2">
        <v>0</v>
      </c>
      <c r="AA308" s="2">
        <v>0</v>
      </c>
      <c r="AB308" s="2">
        <v>0</v>
      </c>
    </row>
    <row r="309" spans="1:28" ht="30" x14ac:dyDescent="0.25">
      <c r="A309" s="2">
        <v>308</v>
      </c>
      <c r="B309" s="5">
        <v>7.5531914893617019E-2</v>
      </c>
      <c r="C309" s="5">
        <v>4.9397590361445781E-2</v>
      </c>
      <c r="D309" s="5">
        <v>2.1000000000000001E-2</v>
      </c>
      <c r="E309" s="5">
        <v>1.9010819165378671E-2</v>
      </c>
      <c r="F309" s="2" t="s">
        <v>619</v>
      </c>
      <c r="G309" s="2" t="s">
        <v>620</v>
      </c>
      <c r="H309" s="2" t="s">
        <v>2683</v>
      </c>
      <c r="I309" s="2" t="s">
        <v>2685</v>
      </c>
      <c r="J309" s="2">
        <v>0</v>
      </c>
      <c r="K309" s="2">
        <v>0</v>
      </c>
      <c r="L309" s="2">
        <v>0</v>
      </c>
      <c r="M309" s="5">
        <v>1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5">
        <v>1</v>
      </c>
      <c r="Y309" s="2">
        <v>0</v>
      </c>
      <c r="Z309" s="2">
        <v>0</v>
      </c>
      <c r="AA309" s="2">
        <v>0</v>
      </c>
      <c r="AB309" s="2">
        <v>0</v>
      </c>
    </row>
    <row r="310" spans="1:28" ht="45" x14ac:dyDescent="0.25">
      <c r="A310" s="2">
        <v>309</v>
      </c>
      <c r="B310" s="5">
        <v>2.8723404255319149E-2</v>
      </c>
      <c r="C310" s="5">
        <v>1.566265060240964E-2</v>
      </c>
      <c r="D310" s="5">
        <v>2E-3</v>
      </c>
      <c r="E310" s="5">
        <v>9.1190108191653782E-3</v>
      </c>
      <c r="F310" s="2" t="s">
        <v>621</v>
      </c>
      <c r="G310" s="2" t="s">
        <v>622</v>
      </c>
      <c r="H310" s="2" t="s">
        <v>2683</v>
      </c>
      <c r="I310" s="2" t="s">
        <v>2685</v>
      </c>
      <c r="J310" s="2">
        <v>0</v>
      </c>
      <c r="K310" s="2">
        <v>0</v>
      </c>
      <c r="L310" s="2">
        <v>0</v>
      </c>
      <c r="M310" s="5">
        <v>1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5">
        <v>1</v>
      </c>
      <c r="Y310" s="2">
        <v>0</v>
      </c>
      <c r="Z310" s="2">
        <v>0</v>
      </c>
      <c r="AA310" s="2">
        <v>0</v>
      </c>
      <c r="AB310" s="2">
        <v>0</v>
      </c>
    </row>
    <row r="311" spans="1:28" ht="45" x14ac:dyDescent="0.25">
      <c r="A311" s="2">
        <v>310</v>
      </c>
      <c r="B311" s="5">
        <v>7.4468085106382975E-2</v>
      </c>
      <c r="C311" s="5">
        <v>3.4939759036144581E-2</v>
      </c>
      <c r="D311" s="5">
        <v>3.0000000000000001E-3</v>
      </c>
      <c r="E311" s="5">
        <v>2.1483771251931991E-2</v>
      </c>
      <c r="F311" s="2" t="s">
        <v>623</v>
      </c>
      <c r="G311" s="2" t="s">
        <v>624</v>
      </c>
      <c r="H311" s="2" t="s">
        <v>2683</v>
      </c>
      <c r="I311" s="2" t="s">
        <v>2685</v>
      </c>
      <c r="J311" s="2">
        <v>0</v>
      </c>
      <c r="K311" s="2">
        <v>0</v>
      </c>
      <c r="L311" s="2">
        <v>0</v>
      </c>
      <c r="M311" s="5">
        <v>1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5">
        <v>1</v>
      </c>
      <c r="Y311" s="2">
        <v>0</v>
      </c>
      <c r="Z311" s="2">
        <v>0</v>
      </c>
      <c r="AA311" s="2">
        <v>0</v>
      </c>
      <c r="AB311" s="2">
        <v>0</v>
      </c>
    </row>
    <row r="312" spans="1:28" ht="45" x14ac:dyDescent="0.25">
      <c r="A312" s="2">
        <v>311</v>
      </c>
      <c r="B312" s="5">
        <v>0.05</v>
      </c>
      <c r="C312" s="5">
        <v>3.3734939759036138E-2</v>
      </c>
      <c r="D312" s="5">
        <v>4.0000000000000001E-3</v>
      </c>
      <c r="E312" s="5">
        <v>1.6074188562596601E-2</v>
      </c>
      <c r="F312" s="2" t="s">
        <v>625</v>
      </c>
      <c r="G312" s="2" t="s">
        <v>626</v>
      </c>
      <c r="H312" s="2" t="s">
        <v>2683</v>
      </c>
      <c r="I312" s="2" t="s">
        <v>2685</v>
      </c>
      <c r="J312" s="2">
        <v>0</v>
      </c>
      <c r="K312" s="2">
        <v>0</v>
      </c>
      <c r="L312" s="2">
        <v>0</v>
      </c>
      <c r="M312" s="5">
        <v>1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5">
        <v>1</v>
      </c>
      <c r="Y312" s="2">
        <v>0</v>
      </c>
      <c r="Z312" s="2">
        <v>0</v>
      </c>
      <c r="AA312" s="2">
        <v>0</v>
      </c>
      <c r="AB312" s="2">
        <v>0</v>
      </c>
    </row>
    <row r="313" spans="1:28" ht="30" x14ac:dyDescent="0.25">
      <c r="A313" s="2">
        <v>312</v>
      </c>
      <c r="B313" s="5">
        <v>5.9574468085106393E-2</v>
      </c>
      <c r="C313" s="5">
        <v>3.7349397590361447E-2</v>
      </c>
      <c r="D313" s="5">
        <v>3.0000000000000001E-3</v>
      </c>
      <c r="E313" s="5">
        <v>2.009273570324575E-2</v>
      </c>
      <c r="F313" s="2" t="s">
        <v>627</v>
      </c>
      <c r="G313" s="2" t="s">
        <v>628</v>
      </c>
      <c r="H313" s="2" t="s">
        <v>2683</v>
      </c>
      <c r="I313" s="2" t="s">
        <v>2685</v>
      </c>
      <c r="J313" s="2">
        <v>0</v>
      </c>
      <c r="K313" s="2">
        <v>0</v>
      </c>
      <c r="L313" s="2">
        <v>0</v>
      </c>
      <c r="M313" s="5">
        <v>1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5">
        <v>1</v>
      </c>
      <c r="Y313" s="2">
        <v>0</v>
      </c>
      <c r="Z313" s="2">
        <v>0</v>
      </c>
      <c r="AA313" s="2">
        <v>0</v>
      </c>
      <c r="AB313" s="2">
        <v>0</v>
      </c>
    </row>
    <row r="314" spans="1:28" ht="45" x14ac:dyDescent="0.25">
      <c r="A314" s="2">
        <v>313</v>
      </c>
      <c r="B314" s="5">
        <v>6.5957446808510636E-2</v>
      </c>
      <c r="C314" s="5">
        <v>4.457831325301205E-2</v>
      </c>
      <c r="D314" s="5">
        <v>3.0000000000000001E-3</v>
      </c>
      <c r="E314" s="5">
        <v>1.715610510046368E-2</v>
      </c>
      <c r="F314" s="2" t="s">
        <v>629</v>
      </c>
      <c r="G314" s="2" t="s">
        <v>630</v>
      </c>
      <c r="H314" s="2" t="s">
        <v>2683</v>
      </c>
      <c r="I314" s="2" t="s">
        <v>2685</v>
      </c>
      <c r="J314" s="2">
        <v>0</v>
      </c>
      <c r="K314" s="2">
        <v>0</v>
      </c>
      <c r="L314" s="2">
        <v>0</v>
      </c>
      <c r="M314" s="5">
        <v>1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5">
        <v>1</v>
      </c>
      <c r="Y314" s="2">
        <v>0</v>
      </c>
      <c r="Z314" s="2">
        <v>0</v>
      </c>
      <c r="AA314" s="2">
        <v>0</v>
      </c>
      <c r="AB314" s="2">
        <v>0</v>
      </c>
    </row>
    <row r="315" spans="1:28" ht="90" x14ac:dyDescent="0.25">
      <c r="A315" s="2">
        <v>314</v>
      </c>
      <c r="B315" s="5">
        <v>5.9574468085106393E-2</v>
      </c>
      <c r="C315" s="5">
        <v>3.7349397590361447E-2</v>
      </c>
      <c r="D315" s="5">
        <v>3.0000000000000001E-3</v>
      </c>
      <c r="E315" s="5">
        <v>2.009273570324575E-2</v>
      </c>
      <c r="F315" s="2" t="s">
        <v>631</v>
      </c>
      <c r="G315" s="2" t="s">
        <v>632</v>
      </c>
      <c r="H315" s="2" t="s">
        <v>2683</v>
      </c>
      <c r="I315" s="2" t="s">
        <v>2685</v>
      </c>
      <c r="J315" s="2">
        <v>0</v>
      </c>
      <c r="K315" s="2">
        <v>0</v>
      </c>
      <c r="L315" s="2">
        <v>0</v>
      </c>
      <c r="M315" s="5">
        <v>1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5">
        <v>1</v>
      </c>
      <c r="Y315" s="2">
        <v>0</v>
      </c>
      <c r="Z315" s="2">
        <v>0</v>
      </c>
      <c r="AA315" s="2">
        <v>0</v>
      </c>
      <c r="AB315" s="2">
        <v>0</v>
      </c>
    </row>
    <row r="316" spans="1:28" ht="45" x14ac:dyDescent="0.25">
      <c r="A316" s="2">
        <v>315</v>
      </c>
      <c r="B316" s="5">
        <v>5.1063829787234047E-2</v>
      </c>
      <c r="C316" s="5">
        <v>3.6144578313253017E-2</v>
      </c>
      <c r="D316" s="5">
        <v>3.0000000000000001E-3</v>
      </c>
      <c r="E316" s="5">
        <v>1.6692426584234931E-2</v>
      </c>
      <c r="F316" s="2" t="s">
        <v>633</v>
      </c>
      <c r="G316" s="2" t="s">
        <v>634</v>
      </c>
      <c r="H316" s="2" t="s">
        <v>2683</v>
      </c>
      <c r="I316" s="2" t="s">
        <v>2685</v>
      </c>
      <c r="J316" s="2">
        <v>0</v>
      </c>
      <c r="K316" s="2">
        <v>0</v>
      </c>
      <c r="L316" s="2">
        <v>0</v>
      </c>
      <c r="M316" s="5">
        <v>1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5">
        <v>1</v>
      </c>
      <c r="Y316" s="2">
        <v>0</v>
      </c>
      <c r="Z316" s="2">
        <v>0</v>
      </c>
      <c r="AA316" s="2">
        <v>0</v>
      </c>
      <c r="AB316" s="2">
        <v>0</v>
      </c>
    </row>
    <row r="317" spans="1:28" ht="45" x14ac:dyDescent="0.25">
      <c r="A317" s="2">
        <v>316</v>
      </c>
      <c r="B317" s="5">
        <v>4.8936170212765959E-2</v>
      </c>
      <c r="C317" s="5">
        <v>3.3734939759036138E-2</v>
      </c>
      <c r="D317" s="5">
        <v>2E-3</v>
      </c>
      <c r="E317" s="5">
        <v>1.267387944358578E-2</v>
      </c>
      <c r="F317" s="2" t="s">
        <v>635</v>
      </c>
      <c r="G317" s="2" t="s">
        <v>636</v>
      </c>
      <c r="H317" s="2" t="s">
        <v>2683</v>
      </c>
      <c r="I317" s="2" t="s">
        <v>2685</v>
      </c>
      <c r="J317" s="2">
        <v>0</v>
      </c>
      <c r="K317" s="2">
        <v>0</v>
      </c>
      <c r="L317" s="2">
        <v>0</v>
      </c>
      <c r="M317" s="5">
        <v>1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5">
        <v>1</v>
      </c>
      <c r="Y317" s="2">
        <v>0</v>
      </c>
      <c r="Z317" s="2">
        <v>0</v>
      </c>
      <c r="AA317" s="2">
        <v>0</v>
      </c>
      <c r="AB317" s="2">
        <v>0</v>
      </c>
    </row>
    <row r="318" spans="1:28" ht="60" x14ac:dyDescent="0.25">
      <c r="A318" s="2">
        <v>317</v>
      </c>
      <c r="B318" s="5">
        <v>5.8510638297872342E-2</v>
      </c>
      <c r="C318" s="5">
        <v>2.0481927710843371E-2</v>
      </c>
      <c r="D318" s="5">
        <v>1E-3</v>
      </c>
      <c r="E318" s="5">
        <v>1.8392581143740341E-2</v>
      </c>
      <c r="F318" s="2" t="s">
        <v>637</v>
      </c>
      <c r="G318" s="2" t="s">
        <v>638</v>
      </c>
      <c r="H318" s="2" t="s">
        <v>2683</v>
      </c>
      <c r="I318" s="2" t="s">
        <v>2685</v>
      </c>
      <c r="J318" s="2">
        <v>0</v>
      </c>
      <c r="K318" s="2">
        <v>0</v>
      </c>
      <c r="L318" s="2">
        <v>0</v>
      </c>
      <c r="M318" s="5">
        <v>1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5">
        <v>1</v>
      </c>
      <c r="Y318" s="2">
        <v>0</v>
      </c>
      <c r="Z318" s="2">
        <v>0</v>
      </c>
      <c r="AA318" s="2">
        <v>0</v>
      </c>
      <c r="AB318" s="2">
        <v>0</v>
      </c>
    </row>
    <row r="319" spans="1:28" ht="45" x14ac:dyDescent="0.25">
      <c r="A319" s="2">
        <v>318</v>
      </c>
      <c r="B319" s="5">
        <v>0.27659574468085107</v>
      </c>
      <c r="C319" s="5">
        <v>2.4096385542168679E-2</v>
      </c>
      <c r="D319" s="5">
        <v>0.15</v>
      </c>
      <c r="E319" s="5">
        <v>8.1916537867078823E-2</v>
      </c>
      <c r="F319" s="2" t="s">
        <v>639</v>
      </c>
      <c r="G319" s="2" t="s">
        <v>640</v>
      </c>
      <c r="H319" s="2" t="s">
        <v>2681</v>
      </c>
      <c r="I319" s="2" t="s">
        <v>2682</v>
      </c>
      <c r="J319" s="2">
        <v>0</v>
      </c>
      <c r="K319" s="2">
        <v>0</v>
      </c>
      <c r="L319" s="2">
        <v>0</v>
      </c>
      <c r="M319" s="2">
        <v>0</v>
      </c>
      <c r="N319" s="5">
        <v>1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5">
        <v>1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</row>
    <row r="320" spans="1:28" ht="30" x14ac:dyDescent="0.25">
      <c r="A320" s="2">
        <v>319</v>
      </c>
      <c r="B320" s="5">
        <v>0.40638297872340429</v>
      </c>
      <c r="C320" s="5">
        <v>0.67108433734939765</v>
      </c>
      <c r="D320" s="5">
        <v>0.14099999999999999</v>
      </c>
      <c r="E320" s="5">
        <v>1.236476043276661E-2</v>
      </c>
      <c r="F320" s="2" t="s">
        <v>641</v>
      </c>
      <c r="G320" s="2" t="s">
        <v>642</v>
      </c>
      <c r="H320" s="2" t="s">
        <v>2684</v>
      </c>
      <c r="I320" s="2" t="s">
        <v>2682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5">
        <v>1</v>
      </c>
      <c r="Q320" s="2">
        <v>0</v>
      </c>
      <c r="R320" s="2">
        <v>0</v>
      </c>
      <c r="S320" s="2">
        <v>0</v>
      </c>
      <c r="T320" s="2">
        <v>0</v>
      </c>
      <c r="U320" s="5">
        <v>1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</row>
    <row r="321" spans="1:28" ht="45" x14ac:dyDescent="0.25">
      <c r="A321" s="2">
        <v>320</v>
      </c>
      <c r="B321" s="5">
        <v>0.46063829787234051</v>
      </c>
      <c r="C321" s="5">
        <v>0.66265060240963858</v>
      </c>
      <c r="D321" s="5">
        <v>0.09</v>
      </c>
      <c r="E321" s="2">
        <v>0</v>
      </c>
      <c r="F321" s="2" t="s">
        <v>643</v>
      </c>
      <c r="G321" s="2" t="s">
        <v>644</v>
      </c>
      <c r="H321" s="2" t="s">
        <v>2688</v>
      </c>
      <c r="I321" s="2" t="s">
        <v>2689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5">
        <v>1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5">
        <v>1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</row>
    <row r="322" spans="1:28" ht="45" x14ac:dyDescent="0.25">
      <c r="A322" s="2">
        <v>321</v>
      </c>
      <c r="B322" s="5">
        <v>0.63617021276595742</v>
      </c>
      <c r="C322" s="5">
        <v>0.89518072289156625</v>
      </c>
      <c r="D322" s="5">
        <v>0.26900000000000002</v>
      </c>
      <c r="E322" s="5">
        <v>1.4219474497681611E-2</v>
      </c>
      <c r="F322" s="2" t="s">
        <v>645</v>
      </c>
      <c r="G322" s="2" t="s">
        <v>646</v>
      </c>
      <c r="H322" s="2" t="s">
        <v>2684</v>
      </c>
      <c r="I322" s="2" t="s">
        <v>2682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5">
        <v>1</v>
      </c>
      <c r="Q322" s="2">
        <v>0</v>
      </c>
      <c r="R322" s="2">
        <v>0</v>
      </c>
      <c r="S322" s="2">
        <v>0</v>
      </c>
      <c r="T322" s="2">
        <v>0</v>
      </c>
      <c r="U322" s="5">
        <v>1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 spans="1:28" ht="90" x14ac:dyDescent="0.25">
      <c r="A323" s="2">
        <v>322</v>
      </c>
      <c r="B323" s="5">
        <v>8.1914893617021284E-2</v>
      </c>
      <c r="C323" s="5">
        <v>0.16626506024096391</v>
      </c>
      <c r="D323" s="5">
        <v>1.9E-2</v>
      </c>
      <c r="E323" s="5">
        <v>1.081916537867079E-3</v>
      </c>
      <c r="F323" s="2" t="s">
        <v>647</v>
      </c>
      <c r="G323" s="2" t="s">
        <v>648</v>
      </c>
      <c r="H323" s="2" t="s">
        <v>2688</v>
      </c>
      <c r="I323" s="2" t="s">
        <v>2689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5">
        <v>1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5">
        <v>1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 spans="1:28" ht="60" x14ac:dyDescent="0.25">
      <c r="A324" s="2">
        <v>323</v>
      </c>
      <c r="B324" s="5">
        <v>0.1106382978723404</v>
      </c>
      <c r="C324" s="5">
        <v>0.26385542168674703</v>
      </c>
      <c r="D324" s="5">
        <v>1.0999999999999999E-2</v>
      </c>
      <c r="E324" s="2">
        <v>0</v>
      </c>
      <c r="F324" s="2" t="s">
        <v>649</v>
      </c>
      <c r="G324" s="2" t="s">
        <v>650</v>
      </c>
      <c r="H324" s="2" t="s">
        <v>2688</v>
      </c>
      <c r="I324" s="2" t="s">
        <v>2689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5">
        <v>1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5">
        <v>1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</row>
    <row r="325" spans="1:28" ht="30" x14ac:dyDescent="0.25">
      <c r="A325" s="2">
        <v>324</v>
      </c>
      <c r="B325" s="5">
        <v>0.26382978723404249</v>
      </c>
      <c r="C325" s="5">
        <v>0.1204819277108434</v>
      </c>
      <c r="D325" s="5">
        <v>2.3E-2</v>
      </c>
      <c r="E325" s="5">
        <v>6.3214837712519317E-2</v>
      </c>
      <c r="F325" s="2" t="s">
        <v>651</v>
      </c>
      <c r="G325" s="2" t="s">
        <v>351</v>
      </c>
      <c r="H325" s="2" t="s">
        <v>2681</v>
      </c>
      <c r="I325" s="2" t="s">
        <v>2682</v>
      </c>
      <c r="J325" s="2">
        <v>0</v>
      </c>
      <c r="K325" s="2">
        <v>0</v>
      </c>
      <c r="L325" s="2">
        <v>0</v>
      </c>
      <c r="M325" s="2">
        <v>0</v>
      </c>
      <c r="N325" s="5">
        <v>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5">
        <v>1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</row>
    <row r="326" spans="1:28" ht="60" x14ac:dyDescent="0.25">
      <c r="A326" s="2">
        <v>325</v>
      </c>
      <c r="B326" s="5">
        <v>0.42021276595744678</v>
      </c>
      <c r="C326" s="5">
        <v>3.6144578313253017E-2</v>
      </c>
      <c r="D326" s="5">
        <v>5.7000000000000002E-2</v>
      </c>
      <c r="E326" s="5">
        <v>0.12550231839258111</v>
      </c>
      <c r="F326" s="2" t="s">
        <v>652</v>
      </c>
      <c r="G326" s="2" t="s">
        <v>653</v>
      </c>
      <c r="H326" s="2" t="s">
        <v>2681</v>
      </c>
      <c r="I326" s="2" t="s">
        <v>2691</v>
      </c>
      <c r="J326" s="2">
        <v>0</v>
      </c>
      <c r="K326" s="2">
        <v>0</v>
      </c>
      <c r="L326" s="2">
        <v>0</v>
      </c>
      <c r="M326" s="2">
        <v>0</v>
      </c>
      <c r="N326" s="5">
        <v>1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5">
        <v>1</v>
      </c>
      <c r="Z326" s="2">
        <v>0</v>
      </c>
      <c r="AA326" s="2">
        <v>0</v>
      </c>
      <c r="AB326" s="2">
        <v>0</v>
      </c>
    </row>
    <row r="327" spans="1:28" ht="75" x14ac:dyDescent="0.25">
      <c r="A327" s="2">
        <v>326</v>
      </c>
      <c r="B327" s="5">
        <v>0.31702127659574469</v>
      </c>
      <c r="C327" s="5">
        <v>4.457831325301205E-2</v>
      </c>
      <c r="D327" s="5">
        <v>2.1000000000000001E-2</v>
      </c>
      <c r="E327" s="5">
        <v>0.101854714064915</v>
      </c>
      <c r="F327" s="2" t="s">
        <v>654</v>
      </c>
      <c r="G327" s="2" t="s">
        <v>655</v>
      </c>
      <c r="H327" s="2" t="s">
        <v>2681</v>
      </c>
      <c r="I327" s="2" t="s">
        <v>2691</v>
      </c>
      <c r="J327" s="2">
        <v>0</v>
      </c>
      <c r="K327" s="2">
        <v>0</v>
      </c>
      <c r="L327" s="2">
        <v>0</v>
      </c>
      <c r="M327" s="2">
        <v>0</v>
      </c>
      <c r="N327" s="5">
        <v>1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5">
        <v>1</v>
      </c>
      <c r="Z327" s="2">
        <v>0</v>
      </c>
      <c r="AA327" s="2">
        <v>0</v>
      </c>
      <c r="AB327" s="2">
        <v>0</v>
      </c>
    </row>
    <row r="328" spans="1:28" ht="75" x14ac:dyDescent="0.25">
      <c r="A328" s="2">
        <v>327</v>
      </c>
      <c r="B328" s="5">
        <v>0.39148936170212773</v>
      </c>
      <c r="C328" s="5">
        <v>3.1325301204819279E-2</v>
      </c>
      <c r="D328" s="5">
        <v>8.5999999999999993E-2</v>
      </c>
      <c r="E328" s="5">
        <v>0.10819165378670791</v>
      </c>
      <c r="F328" s="2" t="s">
        <v>656</v>
      </c>
      <c r="G328" s="2" t="s">
        <v>657</v>
      </c>
      <c r="H328" s="2" t="s">
        <v>2681</v>
      </c>
      <c r="I328" s="2" t="s">
        <v>2691</v>
      </c>
      <c r="J328" s="2">
        <v>0</v>
      </c>
      <c r="K328" s="2">
        <v>0</v>
      </c>
      <c r="L328" s="2">
        <v>0</v>
      </c>
      <c r="M328" s="2">
        <v>0</v>
      </c>
      <c r="N328" s="5">
        <v>1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5">
        <v>1</v>
      </c>
      <c r="Z328" s="2">
        <v>0</v>
      </c>
      <c r="AA328" s="2">
        <v>0</v>
      </c>
      <c r="AB328" s="2">
        <v>0</v>
      </c>
    </row>
    <row r="329" spans="1:28" ht="75" x14ac:dyDescent="0.25">
      <c r="A329" s="2">
        <v>328</v>
      </c>
      <c r="B329" s="5">
        <v>0.37021276595744679</v>
      </c>
      <c r="C329" s="5">
        <v>4.8192771084337354E-3</v>
      </c>
      <c r="D329" s="5">
        <v>3.7999999999999999E-2</v>
      </c>
      <c r="E329" s="5">
        <v>0.1176197836166924</v>
      </c>
      <c r="F329" s="2" t="s">
        <v>658</v>
      </c>
      <c r="G329" s="2" t="s">
        <v>659</v>
      </c>
      <c r="H329" s="2" t="s">
        <v>2681</v>
      </c>
      <c r="I329" s="2" t="s">
        <v>2691</v>
      </c>
      <c r="J329" s="2">
        <v>0</v>
      </c>
      <c r="K329" s="2">
        <v>0</v>
      </c>
      <c r="L329" s="2">
        <v>0</v>
      </c>
      <c r="M329" s="2">
        <v>0</v>
      </c>
      <c r="N329" s="5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5">
        <v>1</v>
      </c>
      <c r="Z329" s="2">
        <v>0</v>
      </c>
      <c r="AA329" s="2">
        <v>0</v>
      </c>
      <c r="AB329" s="2">
        <v>0</v>
      </c>
    </row>
    <row r="330" spans="1:28" ht="45" x14ac:dyDescent="0.25">
      <c r="A330" s="2">
        <v>329</v>
      </c>
      <c r="B330" s="5">
        <v>0.35212765957446812</v>
      </c>
      <c r="C330" s="5">
        <v>2.289156626506024E-2</v>
      </c>
      <c r="D330" s="5">
        <v>7.5999999999999998E-2</v>
      </c>
      <c r="E330" s="5">
        <v>9.8608964451313744E-2</v>
      </c>
      <c r="F330" s="2" t="s">
        <v>660</v>
      </c>
      <c r="G330" s="2" t="s">
        <v>661</v>
      </c>
      <c r="H330" s="2" t="s">
        <v>2684</v>
      </c>
      <c r="I330" s="2" t="s">
        <v>2691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5">
        <v>1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5">
        <v>1</v>
      </c>
      <c r="Z330" s="2">
        <v>0</v>
      </c>
      <c r="AA330" s="2">
        <v>0</v>
      </c>
      <c r="AB330" s="2">
        <v>0</v>
      </c>
    </row>
    <row r="331" spans="1:28" ht="45" x14ac:dyDescent="0.25">
      <c r="A331" s="2">
        <v>330</v>
      </c>
      <c r="B331" s="5">
        <v>0.39680851063829792</v>
      </c>
      <c r="C331" s="5">
        <v>5.1807228915662647E-2</v>
      </c>
      <c r="D331" s="5">
        <v>0.16500000000000001</v>
      </c>
      <c r="E331" s="5">
        <v>8.0216383307573413E-2</v>
      </c>
      <c r="F331" s="2" t="s">
        <v>662</v>
      </c>
      <c r="G331" s="2" t="s">
        <v>663</v>
      </c>
      <c r="H331" s="2" t="s">
        <v>2681</v>
      </c>
      <c r="I331" s="2" t="s">
        <v>2691</v>
      </c>
      <c r="J331" s="2">
        <v>0</v>
      </c>
      <c r="K331" s="2">
        <v>0</v>
      </c>
      <c r="L331" s="2">
        <v>0</v>
      </c>
      <c r="M331" s="2">
        <v>0</v>
      </c>
      <c r="N331" s="5">
        <v>1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5">
        <v>1</v>
      </c>
      <c r="Z331" s="2">
        <v>0</v>
      </c>
      <c r="AA331" s="2">
        <v>0</v>
      </c>
      <c r="AB331" s="2">
        <v>0</v>
      </c>
    </row>
    <row r="332" spans="1:28" ht="45" x14ac:dyDescent="0.25">
      <c r="A332" s="2">
        <v>331</v>
      </c>
      <c r="B332" s="5">
        <v>1.861702127659574E-2</v>
      </c>
      <c r="C332" s="5">
        <v>3.9759036144578312E-2</v>
      </c>
      <c r="D332" s="5">
        <v>2.3E-2</v>
      </c>
      <c r="E332" s="5">
        <v>6.1051004636785158E-2</v>
      </c>
      <c r="F332" s="2" t="s">
        <v>664</v>
      </c>
      <c r="G332" s="2" t="s">
        <v>665</v>
      </c>
      <c r="H332" s="2" t="s">
        <v>2681</v>
      </c>
      <c r="I332" s="2" t="s">
        <v>2682</v>
      </c>
      <c r="J332" s="2">
        <v>0</v>
      </c>
      <c r="K332" s="2">
        <v>0</v>
      </c>
      <c r="L332" s="2">
        <v>0</v>
      </c>
      <c r="M332" s="2">
        <v>0</v>
      </c>
      <c r="N332" s="5">
        <v>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5">
        <v>1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</row>
    <row r="333" spans="1:28" ht="45" x14ac:dyDescent="0.25">
      <c r="A333" s="2">
        <v>332</v>
      </c>
      <c r="B333" s="5">
        <v>0.3372340425531915</v>
      </c>
      <c r="C333" s="5">
        <v>0.18915662650602411</v>
      </c>
      <c r="D333" s="5">
        <v>0.27700000000000002</v>
      </c>
      <c r="E333" s="2">
        <v>0</v>
      </c>
      <c r="F333" s="2" t="s">
        <v>666</v>
      </c>
      <c r="G333" s="2" t="s">
        <v>667</v>
      </c>
      <c r="H333" s="2" t="s">
        <v>2688</v>
      </c>
      <c r="I333" s="2" t="s">
        <v>2689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5">
        <v>1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5">
        <v>1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</row>
    <row r="334" spans="1:28" ht="45" x14ac:dyDescent="0.25">
      <c r="A334" s="2">
        <v>333</v>
      </c>
      <c r="B334" s="5">
        <v>0.2148936170212766</v>
      </c>
      <c r="C334" s="5">
        <v>0.2060240963855422</v>
      </c>
      <c r="D334" s="5">
        <v>0.14799999999999999</v>
      </c>
      <c r="E334" s="2">
        <v>0</v>
      </c>
      <c r="F334" s="2" t="s">
        <v>668</v>
      </c>
      <c r="G334" s="2" t="s">
        <v>669</v>
      </c>
      <c r="H334" s="2" t="s">
        <v>2688</v>
      </c>
      <c r="I334" s="2" t="s">
        <v>2689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5">
        <v>1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5">
        <v>1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</row>
    <row r="335" spans="1:28" ht="60" x14ac:dyDescent="0.25">
      <c r="A335" s="2">
        <v>334</v>
      </c>
      <c r="B335" s="5">
        <v>0.1063829787234043</v>
      </c>
      <c r="C335" s="5">
        <v>0.2</v>
      </c>
      <c r="D335" s="5">
        <v>3.3000000000000002E-2</v>
      </c>
      <c r="E335" s="5">
        <v>1.5455950540958271E-3</v>
      </c>
      <c r="F335" s="2" t="s">
        <v>670</v>
      </c>
      <c r="G335" s="2" t="s">
        <v>671</v>
      </c>
      <c r="H335" s="2" t="s">
        <v>2681</v>
      </c>
      <c r="I335" s="2" t="s">
        <v>2682</v>
      </c>
      <c r="J335" s="2">
        <v>0</v>
      </c>
      <c r="K335" s="2">
        <v>0</v>
      </c>
      <c r="L335" s="2">
        <v>0</v>
      </c>
      <c r="M335" s="2">
        <v>0</v>
      </c>
      <c r="N335" s="5">
        <v>1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5">
        <v>1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</row>
    <row r="336" spans="1:28" ht="45" x14ac:dyDescent="0.25">
      <c r="A336" s="2">
        <v>335</v>
      </c>
      <c r="B336" s="5">
        <v>6.702127659574468E-2</v>
      </c>
      <c r="C336" s="5">
        <v>1.204819277108434E-2</v>
      </c>
      <c r="D336" s="5">
        <v>2E-3</v>
      </c>
      <c r="E336" s="5">
        <v>2.4884080370942811E-2</v>
      </c>
      <c r="F336" s="2" t="s">
        <v>672</v>
      </c>
      <c r="G336" s="2" t="s">
        <v>673</v>
      </c>
      <c r="H336" s="2" t="s">
        <v>2683</v>
      </c>
      <c r="I336" s="2" t="s">
        <v>2686</v>
      </c>
      <c r="J336" s="2">
        <v>0</v>
      </c>
      <c r="K336" s="2">
        <v>0</v>
      </c>
      <c r="L336" s="2">
        <v>0</v>
      </c>
      <c r="M336" s="5">
        <v>1</v>
      </c>
      <c r="N336" s="2">
        <v>0</v>
      </c>
      <c r="O336" s="2">
        <v>0</v>
      </c>
      <c r="P336" s="2">
        <v>0</v>
      </c>
      <c r="Q336" s="5">
        <v>1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</row>
    <row r="337" spans="1:28" ht="45" x14ac:dyDescent="0.25">
      <c r="A337" s="2">
        <v>336</v>
      </c>
      <c r="B337" s="5">
        <v>0.14255319148936171</v>
      </c>
      <c r="C337" s="5">
        <v>3.012048192771084E-2</v>
      </c>
      <c r="D337" s="5">
        <v>0.03</v>
      </c>
      <c r="E337" s="5">
        <v>4.3276661514683151E-2</v>
      </c>
      <c r="F337" s="2" t="s">
        <v>674</v>
      </c>
      <c r="G337" s="2" t="s">
        <v>675</v>
      </c>
      <c r="H337" s="2" t="s">
        <v>2683</v>
      </c>
      <c r="I337" s="2" t="s">
        <v>2686</v>
      </c>
      <c r="J337" s="2">
        <v>0</v>
      </c>
      <c r="K337" s="2">
        <v>0</v>
      </c>
      <c r="L337" s="2">
        <v>0</v>
      </c>
      <c r="M337" s="5">
        <v>1</v>
      </c>
      <c r="N337" s="2">
        <v>0</v>
      </c>
      <c r="O337" s="2">
        <v>0</v>
      </c>
      <c r="P337" s="2">
        <v>0</v>
      </c>
      <c r="Q337" s="5">
        <v>1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 spans="1:28" ht="30" x14ac:dyDescent="0.25">
      <c r="A338" s="2">
        <v>337</v>
      </c>
      <c r="B338" s="5">
        <v>8.5106382978723402E-2</v>
      </c>
      <c r="C338" s="5">
        <v>6.024096385542169E-3</v>
      </c>
      <c r="D338" s="5">
        <v>6.0000000000000001E-3</v>
      </c>
      <c r="E338" s="5">
        <v>2.8129829984544049E-2</v>
      </c>
      <c r="F338" s="2" t="s">
        <v>676</v>
      </c>
      <c r="G338" s="2" t="s">
        <v>677</v>
      </c>
      <c r="H338" s="2" t="s">
        <v>2683</v>
      </c>
      <c r="I338" s="2" t="s">
        <v>2682</v>
      </c>
      <c r="J338" s="2">
        <v>0</v>
      </c>
      <c r="K338" s="2">
        <v>0</v>
      </c>
      <c r="L338" s="2">
        <v>0</v>
      </c>
      <c r="M338" s="5">
        <v>1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5">
        <v>1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</row>
    <row r="339" spans="1:28" ht="30" x14ac:dyDescent="0.25">
      <c r="A339" s="2">
        <v>338</v>
      </c>
      <c r="B339" s="5">
        <v>1.9148936170212769E-2</v>
      </c>
      <c r="C339" s="5">
        <v>1.204819277108434E-2</v>
      </c>
      <c r="D339" s="5">
        <v>2E-3</v>
      </c>
      <c r="E339" s="5">
        <v>5.8732612055641424E-3</v>
      </c>
      <c r="F339" s="2" t="s">
        <v>678</v>
      </c>
      <c r="G339" s="2" t="s">
        <v>679</v>
      </c>
      <c r="H339" s="2" t="s">
        <v>2684</v>
      </c>
      <c r="I339" s="2" t="s">
        <v>2682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5">
        <v>1</v>
      </c>
      <c r="Q339" s="2">
        <v>0</v>
      </c>
      <c r="R339" s="2">
        <v>0</v>
      </c>
      <c r="S339" s="2">
        <v>0</v>
      </c>
      <c r="T339" s="2">
        <v>0</v>
      </c>
      <c r="U339" s="5">
        <v>1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</row>
    <row r="340" spans="1:28" ht="30" x14ac:dyDescent="0.25">
      <c r="A340" s="2">
        <v>339</v>
      </c>
      <c r="B340" s="5">
        <v>0.1042553191489362</v>
      </c>
      <c r="C340" s="5">
        <v>1.6867469879518069E-2</v>
      </c>
      <c r="D340" s="5">
        <v>2E-3</v>
      </c>
      <c r="E340" s="5">
        <v>3.9258114374034002E-2</v>
      </c>
      <c r="F340" s="2" t="s">
        <v>680</v>
      </c>
      <c r="G340" s="2" t="s">
        <v>681</v>
      </c>
      <c r="H340" s="2" t="s">
        <v>2683</v>
      </c>
      <c r="I340" s="2" t="s">
        <v>2682</v>
      </c>
      <c r="J340" s="2">
        <v>0</v>
      </c>
      <c r="K340" s="2">
        <v>0</v>
      </c>
      <c r="L340" s="2">
        <v>0</v>
      </c>
      <c r="M340" s="5">
        <v>1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5">
        <v>1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</row>
    <row r="341" spans="1:28" ht="45" x14ac:dyDescent="0.25">
      <c r="A341" s="2">
        <v>340</v>
      </c>
      <c r="B341" s="5">
        <v>0.26382978723404249</v>
      </c>
      <c r="C341" s="5">
        <v>0.4361445783132531</v>
      </c>
      <c r="D341" s="5">
        <v>6.9000000000000006E-2</v>
      </c>
      <c r="E341" s="5">
        <v>1.561051004636785E-2</v>
      </c>
      <c r="F341" s="2" t="s">
        <v>682</v>
      </c>
      <c r="G341" s="2" t="s">
        <v>683</v>
      </c>
      <c r="H341" s="2" t="s">
        <v>2684</v>
      </c>
      <c r="I341" s="2" t="s">
        <v>2689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5">
        <v>1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5">
        <v>1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</row>
    <row r="342" spans="1:28" ht="30" x14ac:dyDescent="0.25">
      <c r="A342" s="2">
        <v>341</v>
      </c>
      <c r="B342" s="5">
        <v>0.62765957446808507</v>
      </c>
      <c r="C342" s="5">
        <v>0.22289156626506029</v>
      </c>
      <c r="D342" s="5">
        <v>0.57000000000000006</v>
      </c>
      <c r="E342" s="2">
        <v>0</v>
      </c>
      <c r="F342" s="2" t="s">
        <v>684</v>
      </c>
      <c r="G342" s="2" t="s">
        <v>685</v>
      </c>
      <c r="H342" s="2" t="s">
        <v>2684</v>
      </c>
      <c r="I342" s="2" t="s">
        <v>2682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5">
        <v>1</v>
      </c>
      <c r="Q342" s="2">
        <v>0</v>
      </c>
      <c r="R342" s="2">
        <v>0</v>
      </c>
      <c r="S342" s="2">
        <v>0</v>
      </c>
      <c r="T342" s="2">
        <v>0</v>
      </c>
      <c r="U342" s="5">
        <v>1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</row>
    <row r="343" spans="1:28" ht="60" x14ac:dyDescent="0.25">
      <c r="A343" s="2">
        <v>342</v>
      </c>
      <c r="B343" s="5">
        <v>0.36702127659574468</v>
      </c>
      <c r="C343" s="5">
        <v>0.1445783132530121</v>
      </c>
      <c r="D343" s="5">
        <v>1.4999999999999999E-2</v>
      </c>
      <c r="E343" s="5">
        <v>0.1105100463678516</v>
      </c>
      <c r="F343" s="2" t="s">
        <v>686</v>
      </c>
      <c r="G343" s="2" t="s">
        <v>687</v>
      </c>
      <c r="H343" s="2" t="s">
        <v>2684</v>
      </c>
      <c r="I343" s="2" t="s">
        <v>2687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5">
        <v>1</v>
      </c>
      <c r="Q343" s="2">
        <v>0</v>
      </c>
      <c r="R343" s="2">
        <v>0</v>
      </c>
      <c r="S343" s="5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</row>
    <row r="344" spans="1:28" ht="45" x14ac:dyDescent="0.25">
      <c r="A344" s="2">
        <v>343</v>
      </c>
      <c r="B344" s="5">
        <v>0.42872340425531907</v>
      </c>
      <c r="C344" s="5">
        <v>0.127710843373494</v>
      </c>
      <c r="D344" s="5">
        <v>2.1999999999999999E-2</v>
      </c>
      <c r="E344" s="5">
        <v>0.131839258114374</v>
      </c>
      <c r="F344" s="2" t="s">
        <v>688</v>
      </c>
      <c r="G344" s="2" t="s">
        <v>689</v>
      </c>
      <c r="H344" s="2" t="s">
        <v>2688</v>
      </c>
      <c r="I344" s="2" t="s">
        <v>2687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5">
        <v>1</v>
      </c>
      <c r="P344" s="2">
        <v>0</v>
      </c>
      <c r="Q344" s="2">
        <v>0</v>
      </c>
      <c r="R344" s="2">
        <v>0</v>
      </c>
      <c r="S344" s="5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</row>
    <row r="345" spans="1:28" ht="30" x14ac:dyDescent="0.25">
      <c r="A345" s="2">
        <v>344</v>
      </c>
      <c r="B345" s="5">
        <v>0.37765957446808512</v>
      </c>
      <c r="C345" s="5">
        <v>0.21445783132530119</v>
      </c>
      <c r="D345" s="5">
        <v>4.5999999999999999E-2</v>
      </c>
      <c r="E345" s="5">
        <v>9.381761978361669E-2</v>
      </c>
      <c r="F345" s="2" t="s">
        <v>690</v>
      </c>
      <c r="G345" s="2" t="s">
        <v>691</v>
      </c>
      <c r="H345" s="2" t="s">
        <v>2684</v>
      </c>
      <c r="I345" s="2" t="s">
        <v>2687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5">
        <v>1</v>
      </c>
      <c r="Q345" s="2">
        <v>0</v>
      </c>
      <c r="R345" s="2">
        <v>0</v>
      </c>
      <c r="S345" s="5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</row>
    <row r="346" spans="1:28" ht="30" x14ac:dyDescent="0.25">
      <c r="A346" s="2">
        <v>345</v>
      </c>
      <c r="B346" s="5">
        <v>0.12978723404255321</v>
      </c>
      <c r="C346" s="5">
        <v>4.2168674698795178E-2</v>
      </c>
      <c r="D346" s="5">
        <v>4.4999999999999998E-2</v>
      </c>
      <c r="E346" s="5">
        <v>2.704791344667697E-2</v>
      </c>
      <c r="F346" s="2" t="s">
        <v>692</v>
      </c>
      <c r="G346" s="2" t="s">
        <v>693</v>
      </c>
      <c r="H346" s="2" t="s">
        <v>2684</v>
      </c>
      <c r="I346" s="2" t="s">
        <v>2682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5">
        <v>1</v>
      </c>
      <c r="Q346" s="2">
        <v>0</v>
      </c>
      <c r="R346" s="2">
        <v>0</v>
      </c>
      <c r="S346" s="2">
        <v>0</v>
      </c>
      <c r="T346" s="2">
        <v>0</v>
      </c>
      <c r="U346" s="5">
        <v>1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</row>
    <row r="347" spans="1:28" ht="45" x14ac:dyDescent="0.25">
      <c r="A347" s="2">
        <v>346</v>
      </c>
      <c r="B347" s="5">
        <v>0.57234042553191489</v>
      </c>
      <c r="C347" s="5">
        <v>0.16385542168674699</v>
      </c>
      <c r="D347" s="5">
        <v>0.30299999999999999</v>
      </c>
      <c r="E347" s="5">
        <v>8.12982998454405E-2</v>
      </c>
      <c r="F347" s="2" t="s">
        <v>694</v>
      </c>
      <c r="G347" s="2" t="s">
        <v>695</v>
      </c>
      <c r="H347" s="2" t="s">
        <v>2684</v>
      </c>
      <c r="I347" s="2" t="s">
        <v>2682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5">
        <v>1</v>
      </c>
      <c r="Q347" s="2">
        <v>0</v>
      </c>
      <c r="R347" s="2">
        <v>0</v>
      </c>
      <c r="S347" s="2">
        <v>0</v>
      </c>
      <c r="T347" s="2">
        <v>0</v>
      </c>
      <c r="U347" s="5">
        <v>1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</row>
    <row r="348" spans="1:28" ht="45" x14ac:dyDescent="0.25">
      <c r="A348" s="2">
        <v>347</v>
      </c>
      <c r="B348" s="5">
        <v>0.55744680851063833</v>
      </c>
      <c r="C348" s="5">
        <v>0.16024096385542169</v>
      </c>
      <c r="D348" s="5">
        <v>0.29199999999999998</v>
      </c>
      <c r="E348" s="5">
        <v>8.0370942812983001E-2</v>
      </c>
      <c r="F348" s="2" t="s">
        <v>696</v>
      </c>
      <c r="G348" s="2" t="s">
        <v>697</v>
      </c>
      <c r="H348" s="2" t="s">
        <v>2684</v>
      </c>
      <c r="I348" s="2" t="s">
        <v>2687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5">
        <v>1</v>
      </c>
      <c r="Q348" s="2">
        <v>0</v>
      </c>
      <c r="R348" s="2">
        <v>0</v>
      </c>
      <c r="S348" s="5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</row>
    <row r="349" spans="1:28" ht="60" x14ac:dyDescent="0.25">
      <c r="A349" s="2">
        <v>348</v>
      </c>
      <c r="B349" s="5">
        <v>0.60106382978723405</v>
      </c>
      <c r="C349" s="5">
        <v>0.21927710843373491</v>
      </c>
      <c r="D349" s="5">
        <v>0.38400000000000001</v>
      </c>
      <c r="E349" s="5">
        <v>5.6877897990726421E-2</v>
      </c>
      <c r="F349" s="2" t="s">
        <v>698</v>
      </c>
      <c r="G349" s="2" t="s">
        <v>699</v>
      </c>
      <c r="H349" s="2" t="s">
        <v>2684</v>
      </c>
      <c r="I349" s="2" t="s">
        <v>2687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5">
        <v>1</v>
      </c>
      <c r="Q349" s="2">
        <v>0</v>
      </c>
      <c r="R349" s="2">
        <v>0</v>
      </c>
      <c r="S349" s="5">
        <v>1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</row>
    <row r="350" spans="1:28" ht="30" x14ac:dyDescent="0.25">
      <c r="A350" s="2">
        <v>349</v>
      </c>
      <c r="B350" s="5">
        <v>7.4468085106382975E-2</v>
      </c>
      <c r="C350" s="5">
        <v>7.2289156626506026E-3</v>
      </c>
      <c r="D350" s="2">
        <v>0</v>
      </c>
      <c r="E350" s="5">
        <v>2.9211746522411128E-2</v>
      </c>
      <c r="F350" s="2" t="s">
        <v>700</v>
      </c>
      <c r="G350" s="2" t="s">
        <v>701</v>
      </c>
      <c r="H350" s="2" t="s">
        <v>2684</v>
      </c>
      <c r="I350" s="2" t="s">
        <v>2682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5">
        <v>1</v>
      </c>
      <c r="Q350" s="2">
        <v>0</v>
      </c>
      <c r="R350" s="2">
        <v>0</v>
      </c>
      <c r="S350" s="2">
        <v>0</v>
      </c>
      <c r="T350" s="2">
        <v>0</v>
      </c>
      <c r="U350" s="5">
        <v>1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</row>
    <row r="351" spans="1:28" ht="90" x14ac:dyDescent="0.25">
      <c r="A351" s="2">
        <v>350</v>
      </c>
      <c r="B351" s="5">
        <v>0.22340425531914901</v>
      </c>
      <c r="C351" s="5">
        <v>4.8192771084337352E-2</v>
      </c>
      <c r="D351" s="5">
        <v>0.125</v>
      </c>
      <c r="E351" s="5">
        <v>3.1839258114374033E-2</v>
      </c>
      <c r="F351" s="2" t="s">
        <v>702</v>
      </c>
      <c r="G351" s="2" t="s">
        <v>703</v>
      </c>
      <c r="H351" s="2" t="s">
        <v>2683</v>
      </c>
      <c r="I351" s="2" t="s">
        <v>2693</v>
      </c>
      <c r="J351" s="2">
        <v>0</v>
      </c>
      <c r="K351" s="2">
        <v>0</v>
      </c>
      <c r="L351" s="2">
        <v>0</v>
      </c>
      <c r="M351" s="5">
        <v>1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5">
        <v>1</v>
      </c>
      <c r="AA351" s="2">
        <v>0</v>
      </c>
      <c r="AB351" s="2">
        <v>0</v>
      </c>
    </row>
    <row r="352" spans="1:28" ht="45" x14ac:dyDescent="0.25">
      <c r="A352" s="2">
        <v>351</v>
      </c>
      <c r="B352" s="5">
        <v>0.16670212765957451</v>
      </c>
      <c r="C352" s="5">
        <v>3.6144578313253017E-2</v>
      </c>
      <c r="D352" s="5">
        <v>1.7000000000000001E-2</v>
      </c>
      <c r="E352" s="5">
        <v>5.0540958268933553E-2</v>
      </c>
      <c r="F352" s="2" t="s">
        <v>704</v>
      </c>
      <c r="G352" s="2" t="s">
        <v>705</v>
      </c>
      <c r="H352" s="2" t="s">
        <v>2683</v>
      </c>
      <c r="I352" s="2" t="s">
        <v>2693</v>
      </c>
      <c r="J352" s="2">
        <v>0</v>
      </c>
      <c r="K352" s="2">
        <v>0</v>
      </c>
      <c r="L352" s="2">
        <v>0</v>
      </c>
      <c r="M352" s="5">
        <v>1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5">
        <v>1</v>
      </c>
      <c r="AA352" s="2">
        <v>0</v>
      </c>
      <c r="AB352" s="2">
        <v>0</v>
      </c>
    </row>
    <row r="353" spans="1:28" ht="30" x14ac:dyDescent="0.25">
      <c r="A353" s="2">
        <v>352</v>
      </c>
      <c r="B353" s="5">
        <v>0.16170212765957451</v>
      </c>
      <c r="C353" s="2">
        <v>0</v>
      </c>
      <c r="D353" s="2">
        <v>0</v>
      </c>
      <c r="E353" s="5">
        <v>5.8114374034003102E-2</v>
      </c>
      <c r="F353" s="2" t="s">
        <v>706</v>
      </c>
      <c r="G353" s="2" t="s">
        <v>707</v>
      </c>
      <c r="H353" s="2" t="s">
        <v>2683</v>
      </c>
      <c r="I353" s="2" t="s">
        <v>2682</v>
      </c>
      <c r="J353" s="2">
        <v>0</v>
      </c>
      <c r="K353" s="2">
        <v>0</v>
      </c>
      <c r="L353" s="2">
        <v>0</v>
      </c>
      <c r="M353" s="5">
        <v>1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5">
        <v>1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</row>
    <row r="354" spans="1:28" ht="105" x14ac:dyDescent="0.25">
      <c r="A354" s="2">
        <v>353</v>
      </c>
      <c r="B354" s="5">
        <v>4.7659574468085102E-2</v>
      </c>
      <c r="C354" s="2">
        <v>0</v>
      </c>
      <c r="D354" s="2">
        <v>0</v>
      </c>
      <c r="E354" s="5">
        <v>1.7465224111282849E-2</v>
      </c>
      <c r="F354" s="2" t="s">
        <v>708</v>
      </c>
      <c r="G354" s="2" t="s">
        <v>709</v>
      </c>
      <c r="H354" s="2" t="s">
        <v>2697</v>
      </c>
      <c r="I354" s="2" t="s">
        <v>2682</v>
      </c>
      <c r="J354" s="2">
        <v>0</v>
      </c>
      <c r="K354" s="2">
        <v>0</v>
      </c>
      <c r="L354" s="5">
        <v>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5">
        <v>1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</row>
    <row r="355" spans="1:28" ht="45" x14ac:dyDescent="0.25">
      <c r="A355" s="2">
        <v>354</v>
      </c>
      <c r="B355" s="5">
        <v>0.28723404255319152</v>
      </c>
      <c r="C355" s="5">
        <v>0.1481927710843374</v>
      </c>
      <c r="D355" s="5">
        <v>0.159</v>
      </c>
      <c r="E355" s="5">
        <v>2.9829984544049459E-2</v>
      </c>
      <c r="F355" s="2" t="s">
        <v>710</v>
      </c>
      <c r="G355" s="2" t="s">
        <v>711</v>
      </c>
      <c r="H355" s="2" t="s">
        <v>2683</v>
      </c>
      <c r="I355" s="2" t="s">
        <v>2682</v>
      </c>
      <c r="J355" s="2">
        <v>0</v>
      </c>
      <c r="K355" s="2">
        <v>0</v>
      </c>
      <c r="L355" s="2">
        <v>0</v>
      </c>
      <c r="M355" s="5">
        <v>1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5">
        <v>1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</row>
    <row r="356" spans="1:28" ht="30" x14ac:dyDescent="0.25">
      <c r="A356" s="2">
        <v>355</v>
      </c>
      <c r="B356" s="5">
        <v>0.3425531914893617</v>
      </c>
      <c r="C356" s="5">
        <v>2.891566265060241E-2</v>
      </c>
      <c r="D356" s="5">
        <v>6.0000000000000001E-3</v>
      </c>
      <c r="E356" s="5">
        <v>0.11839258114374029</v>
      </c>
      <c r="F356" s="2" t="s">
        <v>712</v>
      </c>
      <c r="G356" s="2" t="s">
        <v>713</v>
      </c>
      <c r="H356" s="2" t="s">
        <v>2688</v>
      </c>
      <c r="I356" s="2" t="s">
        <v>2690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5">
        <v>1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5">
        <v>1</v>
      </c>
    </row>
    <row r="357" spans="1:28" ht="60" x14ac:dyDescent="0.25">
      <c r="A357" s="2">
        <v>356</v>
      </c>
      <c r="B357" s="5">
        <v>0.14574468085106379</v>
      </c>
      <c r="C357" s="5">
        <v>7.3493975903614464E-2</v>
      </c>
      <c r="D357" s="5">
        <v>3.2000000000000001E-2</v>
      </c>
      <c r="E357" s="5">
        <v>3.2457496136012363E-2</v>
      </c>
      <c r="F357" s="2" t="s">
        <v>714</v>
      </c>
      <c r="G357" s="2" t="s">
        <v>715</v>
      </c>
      <c r="H357" s="2" t="s">
        <v>2681</v>
      </c>
      <c r="I357" s="2" t="s">
        <v>2682</v>
      </c>
      <c r="J357" s="2">
        <v>0</v>
      </c>
      <c r="K357" s="2">
        <v>0</v>
      </c>
      <c r="L357" s="2">
        <v>0</v>
      </c>
      <c r="M357" s="2">
        <v>0</v>
      </c>
      <c r="N357" s="5">
        <v>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5">
        <v>1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</row>
    <row r="358" spans="1:28" ht="45" x14ac:dyDescent="0.25">
      <c r="A358" s="2">
        <v>357</v>
      </c>
      <c r="B358" s="5">
        <v>9.3617021276595741E-2</v>
      </c>
      <c r="C358" s="5">
        <v>9.6385542168674707E-3</v>
      </c>
      <c r="D358" s="5">
        <v>3.0000000000000001E-3</v>
      </c>
      <c r="E358" s="5">
        <v>3.2302936630602783E-2</v>
      </c>
      <c r="F358" s="2" t="s">
        <v>716</v>
      </c>
      <c r="G358" s="2" t="s">
        <v>717</v>
      </c>
      <c r="H358" s="2" t="s">
        <v>2683</v>
      </c>
      <c r="I358" s="2" t="s">
        <v>2690</v>
      </c>
      <c r="J358" s="2">
        <v>0</v>
      </c>
      <c r="K358" s="2">
        <v>0</v>
      </c>
      <c r="L358" s="2">
        <v>0</v>
      </c>
      <c r="M358" s="5">
        <v>1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5">
        <v>1</v>
      </c>
    </row>
    <row r="359" spans="1:28" x14ac:dyDescent="0.25">
      <c r="A359" s="2">
        <v>358</v>
      </c>
      <c r="B359" s="5">
        <v>0.1074468085106383</v>
      </c>
      <c r="C359" s="5">
        <v>2.5301204819277109E-2</v>
      </c>
      <c r="D359" s="5">
        <v>2E-3</v>
      </c>
      <c r="E359" s="5">
        <v>3.5857805255023183E-2</v>
      </c>
      <c r="F359" s="2" t="s">
        <v>718</v>
      </c>
      <c r="G359" s="2" t="s">
        <v>719</v>
      </c>
      <c r="H359" s="2" t="s">
        <v>2688</v>
      </c>
      <c r="I359" s="2" t="s">
        <v>2690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5">
        <v>1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5">
        <v>1</v>
      </c>
    </row>
    <row r="360" spans="1:28" ht="45" x14ac:dyDescent="0.25">
      <c r="A360" s="2">
        <v>359</v>
      </c>
      <c r="B360" s="5">
        <v>9.3617021276595741E-2</v>
      </c>
      <c r="C360" s="5">
        <v>7.2289156626506026E-3</v>
      </c>
      <c r="D360" s="5">
        <v>3.0000000000000001E-3</v>
      </c>
      <c r="E360" s="5">
        <v>3.2302936630602783E-2</v>
      </c>
      <c r="F360" s="2" t="s">
        <v>720</v>
      </c>
      <c r="G360" s="2" t="s">
        <v>721</v>
      </c>
      <c r="H360" s="2" t="s">
        <v>2688</v>
      </c>
      <c r="I360" s="2" t="s">
        <v>2690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5">
        <v>1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5">
        <v>1</v>
      </c>
    </row>
    <row r="361" spans="1:28" ht="60" x14ac:dyDescent="0.25">
      <c r="A361" s="2">
        <v>360</v>
      </c>
      <c r="B361" s="5">
        <v>0.1063829787234043</v>
      </c>
      <c r="C361" s="5">
        <v>1.084337349397591E-2</v>
      </c>
      <c r="D361" s="5">
        <v>3.0000000000000001E-3</v>
      </c>
      <c r="E361" s="5">
        <v>3.6321483771251932E-2</v>
      </c>
      <c r="F361" s="2" t="s">
        <v>722</v>
      </c>
      <c r="G361" s="2" t="s">
        <v>723</v>
      </c>
      <c r="H361" s="2" t="s">
        <v>2688</v>
      </c>
      <c r="I361" s="2" t="s">
        <v>2690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5">
        <v>1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5">
        <v>1</v>
      </c>
    </row>
    <row r="362" spans="1:28" ht="45" x14ac:dyDescent="0.25">
      <c r="A362" s="2">
        <v>361</v>
      </c>
      <c r="B362" s="5">
        <v>1.9148936170212769E-2</v>
      </c>
      <c r="C362" s="5">
        <v>9.6385542168674707E-3</v>
      </c>
      <c r="D362" s="5">
        <v>2E-3</v>
      </c>
      <c r="E362" s="5">
        <v>6.33693972179289E-3</v>
      </c>
      <c r="F362" s="2" t="s">
        <v>724</v>
      </c>
      <c r="G362" s="2" t="s">
        <v>725</v>
      </c>
      <c r="H362" s="2" t="s">
        <v>2683</v>
      </c>
      <c r="I362" s="2" t="s">
        <v>2682</v>
      </c>
      <c r="J362" s="2">
        <v>0</v>
      </c>
      <c r="K362" s="2">
        <v>0</v>
      </c>
      <c r="L362" s="2">
        <v>0</v>
      </c>
      <c r="M362" s="5">
        <v>1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5">
        <v>1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</row>
    <row r="363" spans="1:28" ht="105" x14ac:dyDescent="0.25">
      <c r="A363" s="2">
        <v>362</v>
      </c>
      <c r="B363" s="5">
        <v>1.3829787234042551E-2</v>
      </c>
      <c r="C363" s="5">
        <v>3.6144578313253009E-3</v>
      </c>
      <c r="D363" s="5">
        <v>6.0000000000000001E-3</v>
      </c>
      <c r="E363" s="5">
        <v>2.4729520865533232E-3</v>
      </c>
      <c r="F363" s="2" t="s">
        <v>726</v>
      </c>
      <c r="G363" s="2" t="s">
        <v>727</v>
      </c>
      <c r="H363" s="2" t="s">
        <v>2683</v>
      </c>
      <c r="I363" s="2" t="s">
        <v>2682</v>
      </c>
      <c r="J363" s="2">
        <v>0</v>
      </c>
      <c r="K363" s="2">
        <v>0</v>
      </c>
      <c r="L363" s="2">
        <v>0</v>
      </c>
      <c r="M363" s="5">
        <v>1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5">
        <v>1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 spans="1:28" ht="45" x14ac:dyDescent="0.25">
      <c r="A364" s="2">
        <v>363</v>
      </c>
      <c r="B364" s="5">
        <v>7.2340425531914901E-2</v>
      </c>
      <c r="C364" s="5">
        <v>8.4337349397590362E-3</v>
      </c>
      <c r="D364" s="5">
        <v>1E-3</v>
      </c>
      <c r="E364" s="5">
        <v>2.782071097372488E-2</v>
      </c>
      <c r="F364" s="2" t="s">
        <v>728</v>
      </c>
      <c r="G364" s="2" t="s">
        <v>729</v>
      </c>
      <c r="H364" s="2" t="s">
        <v>2684</v>
      </c>
      <c r="I364" s="2" t="s">
        <v>2682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5">
        <v>1</v>
      </c>
      <c r="Q364" s="2">
        <v>0</v>
      </c>
      <c r="R364" s="2">
        <v>0</v>
      </c>
      <c r="S364" s="2">
        <v>0</v>
      </c>
      <c r="T364" s="2">
        <v>0</v>
      </c>
      <c r="U364" s="5">
        <v>1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</row>
    <row r="365" spans="1:28" ht="30" x14ac:dyDescent="0.25">
      <c r="A365" s="2">
        <v>364</v>
      </c>
      <c r="B365" s="5">
        <v>0.1063829787234043</v>
      </c>
      <c r="C365" s="5">
        <v>9.6385542168674707E-3</v>
      </c>
      <c r="D365" s="5">
        <v>2E-3</v>
      </c>
      <c r="E365" s="5">
        <v>3.6785162287480681E-2</v>
      </c>
      <c r="F365" s="2" t="s">
        <v>730</v>
      </c>
      <c r="G365" s="2" t="s">
        <v>731</v>
      </c>
      <c r="H365" s="2" t="s">
        <v>2683</v>
      </c>
      <c r="I365" s="2" t="s">
        <v>2690</v>
      </c>
      <c r="J365" s="2">
        <v>0</v>
      </c>
      <c r="K365" s="2">
        <v>0</v>
      </c>
      <c r="L365" s="2">
        <v>0</v>
      </c>
      <c r="M365" s="5">
        <v>1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5">
        <v>1</v>
      </c>
    </row>
    <row r="366" spans="1:28" ht="60" x14ac:dyDescent="0.25">
      <c r="A366" s="2">
        <v>365</v>
      </c>
      <c r="B366" s="5">
        <v>0.10106382978723399</v>
      </c>
      <c r="C366" s="5">
        <v>1.204819277108434E-2</v>
      </c>
      <c r="D366" s="5">
        <v>1E-3</v>
      </c>
      <c r="E366" s="5">
        <v>3.4930448222565691E-2</v>
      </c>
      <c r="F366" s="2" t="s">
        <v>732</v>
      </c>
      <c r="G366" s="2" t="s">
        <v>733</v>
      </c>
      <c r="H366" s="2" t="s">
        <v>2684</v>
      </c>
      <c r="I366" s="2" t="s">
        <v>2690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5">
        <v>1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5">
        <v>1</v>
      </c>
    </row>
    <row r="367" spans="1:28" ht="45" x14ac:dyDescent="0.25">
      <c r="A367" s="2">
        <v>366</v>
      </c>
      <c r="B367" s="5">
        <v>0.1063829787234043</v>
      </c>
      <c r="C367" s="5">
        <v>9.6385542168674707E-3</v>
      </c>
      <c r="D367" s="5">
        <v>2E-3</v>
      </c>
      <c r="E367" s="5">
        <v>3.6785162287480681E-2</v>
      </c>
      <c r="F367" s="2" t="s">
        <v>734</v>
      </c>
      <c r="G367" s="2" t="s">
        <v>735</v>
      </c>
      <c r="H367" s="2" t="s">
        <v>2683</v>
      </c>
      <c r="I367" s="2" t="s">
        <v>2690</v>
      </c>
      <c r="J367" s="2">
        <v>0</v>
      </c>
      <c r="K367" s="2">
        <v>0</v>
      </c>
      <c r="L367" s="2">
        <v>0</v>
      </c>
      <c r="M367" s="5">
        <v>1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5">
        <v>1</v>
      </c>
    </row>
    <row r="368" spans="1:28" ht="45" x14ac:dyDescent="0.25">
      <c r="A368" s="2">
        <v>367</v>
      </c>
      <c r="B368" s="5">
        <v>8.1914893617021284E-2</v>
      </c>
      <c r="C368" s="5">
        <v>7.2289156626506026E-3</v>
      </c>
      <c r="D368" s="5">
        <v>2E-3</v>
      </c>
      <c r="E368" s="5">
        <v>2.8438948995363211E-2</v>
      </c>
      <c r="F368" s="2" t="s">
        <v>736</v>
      </c>
      <c r="G368" s="2" t="s">
        <v>737</v>
      </c>
      <c r="H368" s="2" t="s">
        <v>2684</v>
      </c>
      <c r="I368" s="2" t="s">
        <v>2690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5">
        <v>1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5">
        <v>1</v>
      </c>
    </row>
    <row r="369" spans="1:28" ht="45" x14ac:dyDescent="0.25">
      <c r="A369" s="2">
        <v>368</v>
      </c>
      <c r="B369" s="5">
        <v>0.3595744680851064</v>
      </c>
      <c r="C369" s="5">
        <v>1.8072289156626509E-2</v>
      </c>
      <c r="D369" s="5">
        <v>6.9999999999999993E-3</v>
      </c>
      <c r="E369" s="5">
        <v>0.12565687789799071</v>
      </c>
      <c r="F369" s="2" t="s">
        <v>738</v>
      </c>
      <c r="G369" s="2" t="s">
        <v>739</v>
      </c>
      <c r="H369" s="2" t="s">
        <v>2681</v>
      </c>
      <c r="I369" s="2" t="s">
        <v>2682</v>
      </c>
      <c r="J369" s="2">
        <v>0</v>
      </c>
      <c r="K369" s="2">
        <v>0</v>
      </c>
      <c r="L369" s="2">
        <v>0</v>
      </c>
      <c r="M369" s="2">
        <v>0</v>
      </c>
      <c r="N369" s="5">
        <v>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5">
        <v>1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</row>
    <row r="370" spans="1:28" ht="30" x14ac:dyDescent="0.25">
      <c r="A370" s="2">
        <v>369</v>
      </c>
      <c r="B370" s="5">
        <v>0.20319148936170209</v>
      </c>
      <c r="C370" s="5">
        <v>5.4216867469879519E-2</v>
      </c>
      <c r="D370" s="5">
        <v>1.4999999999999999E-2</v>
      </c>
      <c r="E370" s="5">
        <v>6.1360123647604327E-2</v>
      </c>
      <c r="F370" s="2" t="s">
        <v>740</v>
      </c>
      <c r="G370" s="2" t="s">
        <v>741</v>
      </c>
      <c r="H370" s="2" t="s">
        <v>2684</v>
      </c>
      <c r="I370" s="2" t="s">
        <v>2682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5">
        <v>1</v>
      </c>
      <c r="Q370" s="2">
        <v>0</v>
      </c>
      <c r="R370" s="2">
        <v>0</v>
      </c>
      <c r="S370" s="2">
        <v>0</v>
      </c>
      <c r="T370" s="2">
        <v>0</v>
      </c>
      <c r="U370" s="5">
        <v>1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</row>
    <row r="371" spans="1:28" ht="30" x14ac:dyDescent="0.25">
      <c r="A371" s="2">
        <v>370</v>
      </c>
      <c r="B371" s="5">
        <v>0.36914893617021283</v>
      </c>
      <c r="C371" s="5">
        <v>1.566265060240964E-2</v>
      </c>
      <c r="D371" s="5">
        <v>6.9999999999999993E-3</v>
      </c>
      <c r="E371" s="5">
        <v>0.12952086553323031</v>
      </c>
      <c r="F371" s="2" t="s">
        <v>742</v>
      </c>
      <c r="G371" s="2" t="s">
        <v>743</v>
      </c>
      <c r="H371" s="2" t="s">
        <v>2688</v>
      </c>
      <c r="I371" s="2" t="s">
        <v>2690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5">
        <v>1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5">
        <v>1</v>
      </c>
    </row>
    <row r="372" spans="1:28" ht="45" x14ac:dyDescent="0.25">
      <c r="A372" s="2">
        <v>371</v>
      </c>
      <c r="B372" s="5">
        <v>0.20744680851063829</v>
      </c>
      <c r="C372" s="5">
        <v>4.8192771084337354E-3</v>
      </c>
      <c r="D372" s="5">
        <v>1.7000000000000001E-2</v>
      </c>
      <c r="E372" s="5">
        <v>6.8624420401854708E-2</v>
      </c>
      <c r="F372" s="2" t="s">
        <v>744</v>
      </c>
      <c r="G372" s="2" t="s">
        <v>745</v>
      </c>
      <c r="H372" s="2" t="s">
        <v>2688</v>
      </c>
      <c r="I372" s="2" t="s">
        <v>2690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5">
        <v>1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5">
        <v>1</v>
      </c>
    </row>
    <row r="373" spans="1:28" ht="45" x14ac:dyDescent="0.25">
      <c r="A373" s="2">
        <v>372</v>
      </c>
      <c r="B373" s="5">
        <v>0.41382978723404262</v>
      </c>
      <c r="C373" s="2">
        <v>0</v>
      </c>
      <c r="D373" s="2">
        <v>0</v>
      </c>
      <c r="E373" s="5">
        <v>0.14064914992272021</v>
      </c>
      <c r="F373" s="2" t="s">
        <v>746</v>
      </c>
      <c r="G373" s="2" t="s">
        <v>747</v>
      </c>
      <c r="H373" s="2" t="s">
        <v>2681</v>
      </c>
      <c r="I373" s="2" t="s">
        <v>2682</v>
      </c>
      <c r="J373" s="2">
        <v>0</v>
      </c>
      <c r="K373" s="2">
        <v>0</v>
      </c>
      <c r="L373" s="2">
        <v>0</v>
      </c>
      <c r="M373" s="2">
        <v>0</v>
      </c>
      <c r="N373" s="5">
        <v>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5">
        <v>1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</row>
    <row r="374" spans="1:28" ht="45" x14ac:dyDescent="0.25">
      <c r="A374" s="2">
        <v>373</v>
      </c>
      <c r="B374" s="5">
        <v>0.10106382978723399</v>
      </c>
      <c r="C374" s="5">
        <v>1.8072289156626509E-2</v>
      </c>
      <c r="D374" s="5">
        <v>1E-3</v>
      </c>
      <c r="E374" s="5">
        <v>3.4621329211746522E-2</v>
      </c>
      <c r="F374" s="2" t="s">
        <v>748</v>
      </c>
      <c r="G374" s="2" t="s">
        <v>749</v>
      </c>
      <c r="H374" s="2" t="s">
        <v>2688</v>
      </c>
      <c r="I374" s="2" t="s">
        <v>2690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5">
        <v>1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5">
        <v>1</v>
      </c>
    </row>
    <row r="375" spans="1:28" ht="75" x14ac:dyDescent="0.25">
      <c r="A375" s="2">
        <v>374</v>
      </c>
      <c r="B375" s="5">
        <v>0.13936170212765961</v>
      </c>
      <c r="C375" s="5">
        <v>1.3253012048192771E-2</v>
      </c>
      <c r="D375" s="5">
        <v>2E-3</v>
      </c>
      <c r="E375" s="5">
        <v>4.837712519319938E-2</v>
      </c>
      <c r="F375" s="2" t="s">
        <v>750</v>
      </c>
      <c r="G375" s="2" t="s">
        <v>751</v>
      </c>
      <c r="H375" s="2" t="s">
        <v>2688</v>
      </c>
      <c r="I375" s="2" t="s">
        <v>2690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5">
        <v>1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5">
        <v>1</v>
      </c>
    </row>
    <row r="376" spans="1:28" ht="45" x14ac:dyDescent="0.25">
      <c r="A376" s="2">
        <v>375</v>
      </c>
      <c r="B376" s="5">
        <v>0.29148936170212769</v>
      </c>
      <c r="C376" s="5">
        <v>2.0481927710843371E-2</v>
      </c>
      <c r="D376" s="5">
        <v>5.4000000000000013E-2</v>
      </c>
      <c r="E376" s="5">
        <v>8.5780525502318392E-2</v>
      </c>
      <c r="F376" s="2" t="s">
        <v>752</v>
      </c>
      <c r="G376" s="2" t="s">
        <v>753</v>
      </c>
      <c r="H376" s="2" t="s">
        <v>2684</v>
      </c>
      <c r="I376" s="2" t="s">
        <v>2691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5">
        <v>1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5">
        <v>1</v>
      </c>
      <c r="Z376" s="2">
        <v>0</v>
      </c>
      <c r="AA376" s="2">
        <v>0</v>
      </c>
      <c r="AB376" s="2">
        <v>0</v>
      </c>
    </row>
    <row r="377" spans="1:28" ht="45" x14ac:dyDescent="0.25">
      <c r="A377" s="2">
        <v>376</v>
      </c>
      <c r="B377" s="5">
        <v>0.43297872340425531</v>
      </c>
      <c r="C377" s="5">
        <v>7.7108433734939766E-2</v>
      </c>
      <c r="D377" s="5">
        <v>0.28199999999999997</v>
      </c>
      <c r="E377" s="5">
        <v>4.945904173106646E-2</v>
      </c>
      <c r="F377" s="2" t="s">
        <v>754</v>
      </c>
      <c r="G377" s="2" t="s">
        <v>755</v>
      </c>
      <c r="H377" s="2" t="s">
        <v>2684</v>
      </c>
      <c r="I377" s="2" t="s">
        <v>2691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5">
        <v>1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5">
        <v>1</v>
      </c>
      <c r="Z377" s="2">
        <v>0</v>
      </c>
      <c r="AA377" s="2">
        <v>0</v>
      </c>
      <c r="AB377" s="2">
        <v>0</v>
      </c>
    </row>
    <row r="378" spans="1:28" ht="45" x14ac:dyDescent="0.25">
      <c r="A378" s="2">
        <v>377</v>
      </c>
      <c r="B378" s="5">
        <v>3.7234042553191488E-2</v>
      </c>
      <c r="C378" s="5">
        <v>2.0481927710843371E-2</v>
      </c>
      <c r="D378" s="5">
        <v>2E-3</v>
      </c>
      <c r="E378" s="5">
        <v>1.1901081916537871E-2</v>
      </c>
      <c r="F378" s="2" t="s">
        <v>756</v>
      </c>
      <c r="G378" s="2" t="s">
        <v>757</v>
      </c>
      <c r="H378" s="2" t="s">
        <v>2684</v>
      </c>
      <c r="I378" s="2" t="s">
        <v>2682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5">
        <v>1</v>
      </c>
      <c r="Q378" s="2">
        <v>0</v>
      </c>
      <c r="R378" s="2">
        <v>0</v>
      </c>
      <c r="S378" s="2">
        <v>0</v>
      </c>
      <c r="T378" s="2">
        <v>0</v>
      </c>
      <c r="U378" s="5">
        <v>1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</row>
    <row r="379" spans="1:28" ht="45" x14ac:dyDescent="0.25">
      <c r="A379" s="2">
        <v>378</v>
      </c>
      <c r="B379" s="5">
        <v>0.37234042553191488</v>
      </c>
      <c r="C379" s="5">
        <v>1.6867469879518069E-2</v>
      </c>
      <c r="D379" s="5">
        <v>0.14399999999999999</v>
      </c>
      <c r="E379" s="5">
        <v>8.2843894899536322E-2</v>
      </c>
      <c r="F379" s="2" t="s">
        <v>758</v>
      </c>
      <c r="G379" s="2" t="s">
        <v>759</v>
      </c>
      <c r="H379" s="2" t="s">
        <v>2688</v>
      </c>
      <c r="I379" s="2" t="s">
        <v>2687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5">
        <v>1</v>
      </c>
      <c r="P379" s="2">
        <v>0</v>
      </c>
      <c r="Q379" s="2">
        <v>0</v>
      </c>
      <c r="R379" s="2">
        <v>0</v>
      </c>
      <c r="S379" s="5">
        <v>1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</row>
    <row r="380" spans="1:28" ht="45" x14ac:dyDescent="0.25">
      <c r="A380" s="2">
        <v>379</v>
      </c>
      <c r="B380" s="5">
        <v>0.49148936170212759</v>
      </c>
      <c r="C380" s="5">
        <v>3.7349397590361447E-2</v>
      </c>
      <c r="D380" s="5">
        <v>0.24399999999999999</v>
      </c>
      <c r="E380" s="5">
        <v>8.9180834621329211E-2</v>
      </c>
      <c r="F380" s="2" t="s">
        <v>760</v>
      </c>
      <c r="G380" s="2" t="s">
        <v>761</v>
      </c>
      <c r="H380" s="2" t="s">
        <v>2688</v>
      </c>
      <c r="I380" s="2" t="s">
        <v>2692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5">
        <v>1</v>
      </c>
      <c r="P380" s="2">
        <v>0</v>
      </c>
      <c r="Q380" s="2">
        <v>0</v>
      </c>
      <c r="R380" s="5">
        <v>1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</row>
    <row r="381" spans="1:28" ht="30" x14ac:dyDescent="0.25">
      <c r="A381" s="2">
        <v>380</v>
      </c>
      <c r="B381" s="5">
        <v>7.9787234042553196E-2</v>
      </c>
      <c r="C381" s="5">
        <v>9.8795180722891562E-2</v>
      </c>
      <c r="D381" s="5">
        <v>0.02</v>
      </c>
      <c r="E381" s="5">
        <v>9.2735703245749607E-3</v>
      </c>
      <c r="F381" s="2" t="s">
        <v>762</v>
      </c>
      <c r="G381" s="2" t="s">
        <v>763</v>
      </c>
      <c r="H381" s="2" t="s">
        <v>2696</v>
      </c>
      <c r="I381" s="2" t="s">
        <v>2682</v>
      </c>
      <c r="J381" s="2">
        <v>0</v>
      </c>
      <c r="K381" s="5">
        <v>1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5">
        <v>1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</row>
    <row r="382" spans="1:28" ht="30" x14ac:dyDescent="0.25">
      <c r="A382" s="2">
        <v>381</v>
      </c>
      <c r="B382" s="5">
        <v>0.38297872340425532</v>
      </c>
      <c r="C382" s="5">
        <v>1.566265060240964E-2</v>
      </c>
      <c r="D382" s="5">
        <v>6.4000000000000001E-2</v>
      </c>
      <c r="E382" s="5">
        <v>0.1148377125193199</v>
      </c>
      <c r="F382" s="2" t="s">
        <v>764</v>
      </c>
      <c r="G382" s="2" t="s">
        <v>765</v>
      </c>
      <c r="H382" s="2" t="s">
        <v>2684</v>
      </c>
      <c r="I382" s="2" t="s">
        <v>2690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5">
        <v>1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5">
        <v>1</v>
      </c>
    </row>
    <row r="383" spans="1:28" ht="45" x14ac:dyDescent="0.25">
      <c r="A383" s="2">
        <v>382</v>
      </c>
      <c r="B383" s="5">
        <v>0.1823404255319149</v>
      </c>
      <c r="C383" s="5">
        <v>4.8192771084337352E-2</v>
      </c>
      <c r="D383" s="5">
        <v>0.04</v>
      </c>
      <c r="E383" s="5">
        <v>4.945904173106646E-2</v>
      </c>
      <c r="F383" s="2" t="s">
        <v>766</v>
      </c>
      <c r="G383" s="2" t="s">
        <v>767</v>
      </c>
      <c r="H383" s="2" t="s">
        <v>2683</v>
      </c>
      <c r="I383" s="2" t="s">
        <v>2690</v>
      </c>
      <c r="J383" s="2">
        <v>0</v>
      </c>
      <c r="K383" s="2">
        <v>0</v>
      </c>
      <c r="L383" s="2">
        <v>0</v>
      </c>
      <c r="M383" s="5">
        <v>1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5">
        <v>1</v>
      </c>
    </row>
    <row r="384" spans="1:28" ht="45" x14ac:dyDescent="0.25">
      <c r="A384" s="2">
        <v>383</v>
      </c>
      <c r="B384" s="5">
        <v>0.1531914893617021</v>
      </c>
      <c r="C384" s="5">
        <v>1.3253012048192771E-2</v>
      </c>
      <c r="D384" s="5">
        <v>4.0000000000000001E-3</v>
      </c>
      <c r="E384" s="5">
        <v>5.2704791344667698E-2</v>
      </c>
      <c r="F384" s="2" t="s">
        <v>768</v>
      </c>
      <c r="G384" s="2" t="s">
        <v>769</v>
      </c>
      <c r="H384" s="2" t="s">
        <v>2683</v>
      </c>
      <c r="I384" s="2" t="s">
        <v>2686</v>
      </c>
      <c r="J384" s="2">
        <v>0</v>
      </c>
      <c r="K384" s="2">
        <v>0</v>
      </c>
      <c r="L384" s="2">
        <v>0</v>
      </c>
      <c r="M384" s="5">
        <v>1</v>
      </c>
      <c r="N384" s="2">
        <v>0</v>
      </c>
      <c r="O384" s="2">
        <v>0</v>
      </c>
      <c r="P384" s="2">
        <v>0</v>
      </c>
      <c r="Q384" s="5">
        <v>1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</row>
    <row r="385" spans="1:28" ht="30" x14ac:dyDescent="0.25">
      <c r="A385" s="2">
        <v>384</v>
      </c>
      <c r="B385" s="5">
        <v>0.21702127659574469</v>
      </c>
      <c r="C385" s="5">
        <v>6.024096385542169E-3</v>
      </c>
      <c r="D385" s="5">
        <v>1.4E-2</v>
      </c>
      <c r="E385" s="5">
        <v>7.3261205564142187E-2</v>
      </c>
      <c r="F385" s="2" t="s">
        <v>770</v>
      </c>
      <c r="G385" s="2" t="s">
        <v>771</v>
      </c>
      <c r="H385" s="2" t="s">
        <v>2683</v>
      </c>
      <c r="I385" s="2" t="s">
        <v>2690</v>
      </c>
      <c r="J385" s="2">
        <v>0</v>
      </c>
      <c r="K385" s="2">
        <v>0</v>
      </c>
      <c r="L385" s="2">
        <v>0</v>
      </c>
      <c r="M385" s="5">
        <v>1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5">
        <v>1</v>
      </c>
    </row>
    <row r="386" spans="1:28" ht="30" x14ac:dyDescent="0.25">
      <c r="A386" s="2">
        <v>385</v>
      </c>
      <c r="B386" s="5">
        <v>0.1212765957446809</v>
      </c>
      <c r="C386" s="5">
        <v>0.19638554216867471</v>
      </c>
      <c r="D386" s="5">
        <v>4.5999999999999999E-2</v>
      </c>
      <c r="E386" s="5">
        <v>1.236476043276662E-3</v>
      </c>
      <c r="F386" s="2" t="s">
        <v>772</v>
      </c>
      <c r="G386" s="2" t="s">
        <v>110</v>
      </c>
      <c r="H386" s="2" t="s">
        <v>2681</v>
      </c>
      <c r="I386" s="2" t="s">
        <v>2682</v>
      </c>
      <c r="J386" s="2">
        <v>0</v>
      </c>
      <c r="K386" s="2">
        <v>0</v>
      </c>
      <c r="L386" s="2">
        <v>0</v>
      </c>
      <c r="M386" s="2">
        <v>0</v>
      </c>
      <c r="N386" s="5">
        <v>1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5">
        <v>1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</row>
    <row r="387" spans="1:28" ht="45" x14ac:dyDescent="0.25">
      <c r="A387" s="2">
        <v>386</v>
      </c>
      <c r="B387" s="5">
        <v>0.1117021276595745</v>
      </c>
      <c r="C387" s="5">
        <v>0.2</v>
      </c>
      <c r="D387" s="5">
        <v>3.3000000000000002E-2</v>
      </c>
      <c r="E387" s="5">
        <v>1.5455950540958271E-3</v>
      </c>
      <c r="F387" s="2" t="s">
        <v>773</v>
      </c>
      <c r="G387" s="2" t="s">
        <v>774</v>
      </c>
      <c r="H387" s="2" t="s">
        <v>2681</v>
      </c>
      <c r="I387" s="2" t="s">
        <v>2682</v>
      </c>
      <c r="J387" s="2">
        <v>0</v>
      </c>
      <c r="K387" s="2">
        <v>0</v>
      </c>
      <c r="L387" s="2">
        <v>0</v>
      </c>
      <c r="M387" s="2">
        <v>0</v>
      </c>
      <c r="N387" s="5">
        <v>1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5">
        <v>1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</row>
    <row r="388" spans="1:28" ht="45" x14ac:dyDescent="0.25">
      <c r="A388" s="2">
        <v>387</v>
      </c>
      <c r="B388" s="5">
        <v>0.15</v>
      </c>
      <c r="C388" s="5">
        <v>0.18072289156626509</v>
      </c>
      <c r="D388" s="5">
        <v>8.1000000000000003E-2</v>
      </c>
      <c r="E388" s="5">
        <v>1.3910355486862439E-3</v>
      </c>
      <c r="F388" s="2" t="s">
        <v>775</v>
      </c>
      <c r="G388" s="2" t="s">
        <v>776</v>
      </c>
      <c r="H388" s="2" t="s">
        <v>2688</v>
      </c>
      <c r="I388" s="2" t="s">
        <v>2689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5">
        <v>1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5">
        <v>1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</row>
    <row r="389" spans="1:28" ht="90" x14ac:dyDescent="0.25">
      <c r="A389" s="2">
        <v>388</v>
      </c>
      <c r="B389" s="5">
        <v>5.6382978723404253E-2</v>
      </c>
      <c r="C389" s="5">
        <v>1.9277108433734941E-2</v>
      </c>
      <c r="D389" s="5">
        <v>1.6E-2</v>
      </c>
      <c r="E389" s="5">
        <v>1.360123647604328E-2</v>
      </c>
      <c r="F389" s="2" t="s">
        <v>777</v>
      </c>
      <c r="G389" s="2" t="s">
        <v>778</v>
      </c>
      <c r="H389" s="2" t="s">
        <v>2683</v>
      </c>
      <c r="I389" s="2" t="s">
        <v>2682</v>
      </c>
      <c r="J389" s="2">
        <v>0</v>
      </c>
      <c r="K389" s="2">
        <v>0</v>
      </c>
      <c r="L389" s="2">
        <v>0</v>
      </c>
      <c r="M389" s="5">
        <v>1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5">
        <v>1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</row>
    <row r="390" spans="1:28" ht="60" x14ac:dyDescent="0.25">
      <c r="A390" s="2">
        <v>389</v>
      </c>
      <c r="B390" s="5">
        <v>0.1702127659574468</v>
      </c>
      <c r="C390" s="5">
        <v>3.9759036144578312E-2</v>
      </c>
      <c r="D390" s="5">
        <v>9.1999999999999998E-2</v>
      </c>
      <c r="E390" s="5">
        <v>2.472952086553323E-2</v>
      </c>
      <c r="F390" s="2" t="s">
        <v>779</v>
      </c>
      <c r="G390" s="2" t="s">
        <v>780</v>
      </c>
      <c r="H390" s="2" t="s">
        <v>2683</v>
      </c>
      <c r="I390" s="2" t="s">
        <v>2685</v>
      </c>
      <c r="J390" s="2">
        <v>0</v>
      </c>
      <c r="K390" s="2">
        <v>0</v>
      </c>
      <c r="L390" s="2">
        <v>0</v>
      </c>
      <c r="M390" s="5">
        <v>1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5">
        <v>1</v>
      </c>
      <c r="Y390" s="2">
        <v>0</v>
      </c>
      <c r="Z390" s="2">
        <v>0</v>
      </c>
      <c r="AA390" s="2">
        <v>0</v>
      </c>
      <c r="AB390" s="2">
        <v>0</v>
      </c>
    </row>
    <row r="391" spans="1:28" ht="30" x14ac:dyDescent="0.25">
      <c r="A391" s="2">
        <v>390</v>
      </c>
      <c r="B391" s="5">
        <v>0.39148936170212773</v>
      </c>
      <c r="C391" s="2">
        <v>0</v>
      </c>
      <c r="D391" s="2">
        <v>0</v>
      </c>
      <c r="E391" s="5">
        <v>0.14683153013910349</v>
      </c>
      <c r="F391" s="2" t="s">
        <v>781</v>
      </c>
      <c r="G391" s="2" t="s">
        <v>782</v>
      </c>
      <c r="H391" s="2" t="s">
        <v>2688</v>
      </c>
      <c r="I391" s="2" t="s">
        <v>2695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5">
        <v>1</v>
      </c>
      <c r="P391" s="2">
        <v>0</v>
      </c>
      <c r="Q391" s="2">
        <v>0</v>
      </c>
      <c r="R391" s="2">
        <v>0</v>
      </c>
      <c r="S391" s="2">
        <v>0</v>
      </c>
      <c r="T391" s="5">
        <v>1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</row>
    <row r="392" spans="1:28" ht="30" x14ac:dyDescent="0.25">
      <c r="A392" s="2">
        <v>391</v>
      </c>
      <c r="B392" s="5">
        <v>0.41063829787234041</v>
      </c>
      <c r="C392" s="5">
        <v>3.6144578313253017E-2</v>
      </c>
      <c r="D392" s="5">
        <v>0.1</v>
      </c>
      <c r="E392" s="5">
        <v>0.1174652241112828</v>
      </c>
      <c r="F392" s="2" t="s">
        <v>783</v>
      </c>
      <c r="G392" s="2" t="s">
        <v>784</v>
      </c>
      <c r="H392" s="2" t="s">
        <v>2688</v>
      </c>
      <c r="I392" s="2" t="s">
        <v>2686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5">
        <v>1</v>
      </c>
      <c r="P392" s="2">
        <v>0</v>
      </c>
      <c r="Q392" s="5">
        <v>1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</row>
    <row r="393" spans="1:28" ht="75" x14ac:dyDescent="0.25">
      <c r="A393" s="2">
        <v>392</v>
      </c>
      <c r="B393" s="5">
        <v>0.37872340425531908</v>
      </c>
      <c r="C393" s="5">
        <v>4.8192771084337354E-3</v>
      </c>
      <c r="D393" s="5">
        <v>5.0000000000000001E-3</v>
      </c>
      <c r="E393" s="5">
        <v>0.14003091190108191</v>
      </c>
      <c r="F393" s="2" t="s">
        <v>785</v>
      </c>
      <c r="G393" s="2" t="s">
        <v>786</v>
      </c>
      <c r="H393" s="2" t="s">
        <v>2688</v>
      </c>
      <c r="I393" s="2" t="s">
        <v>2695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5">
        <v>1</v>
      </c>
      <c r="P393" s="2">
        <v>0</v>
      </c>
      <c r="Q393" s="2">
        <v>0</v>
      </c>
      <c r="R393" s="2">
        <v>0</v>
      </c>
      <c r="S393" s="2">
        <v>0</v>
      </c>
      <c r="T393" s="5">
        <v>1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</row>
    <row r="394" spans="1:28" ht="45" x14ac:dyDescent="0.25">
      <c r="A394" s="2">
        <v>393</v>
      </c>
      <c r="B394" s="5">
        <v>0.41914893617021282</v>
      </c>
      <c r="C394" s="2">
        <v>0</v>
      </c>
      <c r="D394" s="2">
        <v>0</v>
      </c>
      <c r="E394" s="5">
        <v>0.1452859350850077</v>
      </c>
      <c r="F394" s="2" t="s">
        <v>787</v>
      </c>
      <c r="G394" s="2" t="s">
        <v>788</v>
      </c>
      <c r="H394" s="2" t="s">
        <v>2688</v>
      </c>
      <c r="I394" s="2" t="s">
        <v>2695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5">
        <v>1</v>
      </c>
      <c r="P394" s="2">
        <v>0</v>
      </c>
      <c r="Q394" s="2">
        <v>0</v>
      </c>
      <c r="R394" s="2">
        <v>0</v>
      </c>
      <c r="S394" s="2">
        <v>0</v>
      </c>
      <c r="T394" s="5">
        <v>1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</row>
    <row r="395" spans="1:28" ht="60" x14ac:dyDescent="0.25">
      <c r="A395" s="2">
        <v>394</v>
      </c>
      <c r="B395" s="5">
        <v>5.5319148936170223E-2</v>
      </c>
      <c r="C395" s="5">
        <v>0.1204819277108434</v>
      </c>
      <c r="D395" s="5">
        <v>5.0000000000000001E-3</v>
      </c>
      <c r="E395" s="5">
        <v>2.7820710973724878E-3</v>
      </c>
      <c r="F395" s="2" t="s">
        <v>789</v>
      </c>
      <c r="G395" s="2" t="s">
        <v>790</v>
      </c>
      <c r="H395" s="2" t="s">
        <v>2696</v>
      </c>
      <c r="I395" s="2" t="s">
        <v>2695</v>
      </c>
      <c r="J395" s="2">
        <v>0</v>
      </c>
      <c r="K395" s="5">
        <v>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5">
        <v>1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</row>
    <row r="396" spans="1:28" ht="30" x14ac:dyDescent="0.25">
      <c r="A396" s="2">
        <v>395</v>
      </c>
      <c r="B396" s="5">
        <v>0.11276595744680851</v>
      </c>
      <c r="C396" s="5">
        <v>0.1987951807228916</v>
      </c>
      <c r="D396" s="5">
        <v>3.3000000000000002E-2</v>
      </c>
      <c r="E396" s="5">
        <v>3.8639876352395668E-3</v>
      </c>
      <c r="F396" s="2" t="s">
        <v>791</v>
      </c>
      <c r="G396" s="2" t="s">
        <v>792</v>
      </c>
      <c r="H396" s="2" t="s">
        <v>2688</v>
      </c>
      <c r="I396" s="2" t="s">
        <v>2695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5">
        <v>1</v>
      </c>
      <c r="P396" s="2">
        <v>0</v>
      </c>
      <c r="Q396" s="2">
        <v>0</v>
      </c>
      <c r="R396" s="2">
        <v>0</v>
      </c>
      <c r="S396" s="2">
        <v>0</v>
      </c>
      <c r="T396" s="5">
        <v>1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</row>
    <row r="397" spans="1:28" ht="45" x14ac:dyDescent="0.25">
      <c r="A397" s="2">
        <v>396</v>
      </c>
      <c r="B397" s="5">
        <v>0.1574468085106383</v>
      </c>
      <c r="C397" s="5">
        <v>0.1204819277108434</v>
      </c>
      <c r="D397" s="5">
        <v>9.8000000000000004E-2</v>
      </c>
      <c r="E397" s="5">
        <v>7.7279752704791354E-3</v>
      </c>
      <c r="F397" s="2" t="s">
        <v>793</v>
      </c>
      <c r="G397" s="2" t="s">
        <v>794</v>
      </c>
      <c r="H397" s="2" t="s">
        <v>2688</v>
      </c>
      <c r="I397" s="2" t="s">
        <v>2695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5">
        <v>1</v>
      </c>
      <c r="P397" s="2">
        <v>0</v>
      </c>
      <c r="Q397" s="2">
        <v>0</v>
      </c>
      <c r="R397" s="2">
        <v>0</v>
      </c>
      <c r="S397" s="2">
        <v>0</v>
      </c>
      <c r="T397" s="5">
        <v>1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</row>
    <row r="398" spans="1:28" ht="30" x14ac:dyDescent="0.25">
      <c r="A398" s="2">
        <v>397</v>
      </c>
      <c r="B398" s="5">
        <v>0.13404255319148939</v>
      </c>
      <c r="C398" s="5">
        <v>5.0602409638554217E-2</v>
      </c>
      <c r="D398" s="5">
        <v>9.4E-2</v>
      </c>
      <c r="E398" s="5">
        <v>9.5826893353941275E-3</v>
      </c>
      <c r="F398" s="2" t="s">
        <v>795</v>
      </c>
      <c r="G398" s="2" t="s">
        <v>796</v>
      </c>
      <c r="H398" s="2" t="s">
        <v>2688</v>
      </c>
      <c r="I398" s="2" t="s">
        <v>2695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5">
        <v>1</v>
      </c>
      <c r="P398" s="2">
        <v>0</v>
      </c>
      <c r="Q398" s="2">
        <v>0</v>
      </c>
      <c r="R398" s="2">
        <v>0</v>
      </c>
      <c r="S398" s="2">
        <v>0</v>
      </c>
      <c r="T398" s="5">
        <v>1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</row>
    <row r="399" spans="1:28" ht="45" x14ac:dyDescent="0.25">
      <c r="A399" s="2">
        <v>398</v>
      </c>
      <c r="B399" s="5">
        <v>0.1170212765957447</v>
      </c>
      <c r="C399" s="5">
        <v>7.1084337349397592E-2</v>
      </c>
      <c r="D399" s="5">
        <v>8.199999999999999E-2</v>
      </c>
      <c r="E399" s="5">
        <v>4.9459041731066463E-3</v>
      </c>
      <c r="F399" s="2" t="s">
        <v>797</v>
      </c>
      <c r="G399" s="2" t="s">
        <v>798</v>
      </c>
      <c r="H399" s="2" t="s">
        <v>2696</v>
      </c>
      <c r="I399" s="2" t="s">
        <v>2695</v>
      </c>
      <c r="J399" s="2">
        <v>0</v>
      </c>
      <c r="K399" s="5">
        <v>1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5">
        <v>1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</row>
    <row r="400" spans="1:28" ht="30" x14ac:dyDescent="0.25">
      <c r="A400" s="2">
        <v>399</v>
      </c>
      <c r="B400" s="5">
        <v>0.15212765957446811</v>
      </c>
      <c r="C400" s="5">
        <v>4.8192771084337352E-2</v>
      </c>
      <c r="D400" s="5">
        <v>0.114</v>
      </c>
      <c r="E400" s="5">
        <v>9.2735703245749607E-3</v>
      </c>
      <c r="F400" s="2" t="s">
        <v>799</v>
      </c>
      <c r="G400" s="2" t="s">
        <v>800</v>
      </c>
      <c r="H400" s="2" t="s">
        <v>2696</v>
      </c>
      <c r="I400" s="2" t="s">
        <v>2695</v>
      </c>
      <c r="J400" s="2">
        <v>0</v>
      </c>
      <c r="K400" s="5">
        <v>1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5">
        <v>1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</row>
    <row r="401" spans="1:28" ht="30" x14ac:dyDescent="0.25">
      <c r="A401" s="2">
        <v>400</v>
      </c>
      <c r="B401" s="5">
        <v>0.18723404255319151</v>
      </c>
      <c r="C401" s="5">
        <v>8.7951807228915671E-2</v>
      </c>
      <c r="D401" s="5">
        <v>0.14899999999999999</v>
      </c>
      <c r="E401" s="5">
        <v>4.9459041731066463E-3</v>
      </c>
      <c r="F401" s="2" t="s">
        <v>801</v>
      </c>
      <c r="G401" s="2" t="s">
        <v>802</v>
      </c>
      <c r="H401" s="2" t="s">
        <v>2696</v>
      </c>
      <c r="I401" s="2" t="s">
        <v>2695</v>
      </c>
      <c r="J401" s="2">
        <v>0</v>
      </c>
      <c r="K401" s="5">
        <v>1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5">
        <v>1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 ht="45" x14ac:dyDescent="0.25">
      <c r="A402" s="2">
        <v>401</v>
      </c>
      <c r="B402" s="5">
        <v>0.1404255319148936</v>
      </c>
      <c r="C402" s="5">
        <v>0.108433734939759</v>
      </c>
      <c r="D402" s="5">
        <v>7.2000000000000008E-2</v>
      </c>
      <c r="E402" s="5">
        <v>1.205564142194745E-2</v>
      </c>
      <c r="F402" s="2" t="s">
        <v>803</v>
      </c>
      <c r="G402" s="2" t="s">
        <v>804</v>
      </c>
      <c r="H402" s="2" t="s">
        <v>2696</v>
      </c>
      <c r="I402" s="2" t="s">
        <v>2695</v>
      </c>
      <c r="J402" s="2">
        <v>0</v>
      </c>
      <c r="K402" s="5">
        <v>1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5">
        <v>1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</row>
    <row r="403" spans="1:28" ht="45" x14ac:dyDescent="0.25">
      <c r="A403" s="2">
        <v>402</v>
      </c>
      <c r="B403" s="5">
        <v>0.20425531914893619</v>
      </c>
      <c r="C403" s="5">
        <v>0.15301204819277109</v>
      </c>
      <c r="D403" s="5">
        <v>0.10100000000000001</v>
      </c>
      <c r="E403" s="5">
        <v>1.9629057187017001E-2</v>
      </c>
      <c r="F403" s="2" t="s">
        <v>805</v>
      </c>
      <c r="G403" s="2" t="s">
        <v>806</v>
      </c>
      <c r="H403" s="2" t="s">
        <v>2681</v>
      </c>
      <c r="I403" s="2" t="s">
        <v>2682</v>
      </c>
      <c r="J403" s="2">
        <v>0</v>
      </c>
      <c r="K403" s="2">
        <v>0</v>
      </c>
      <c r="L403" s="2">
        <v>0</v>
      </c>
      <c r="M403" s="2">
        <v>0</v>
      </c>
      <c r="N403" s="5">
        <v>1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5">
        <v>1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</row>
    <row r="404" spans="1:28" ht="30" x14ac:dyDescent="0.25">
      <c r="A404" s="2">
        <v>403</v>
      </c>
      <c r="B404" s="5">
        <v>0.23191489361702131</v>
      </c>
      <c r="C404" s="5">
        <v>6.024096385542169E-3</v>
      </c>
      <c r="D404" s="5">
        <v>2.5000000000000001E-2</v>
      </c>
      <c r="E404" s="5">
        <v>7.4961360123647597E-2</v>
      </c>
      <c r="F404" s="2" t="s">
        <v>807</v>
      </c>
      <c r="G404" s="2" t="s">
        <v>808</v>
      </c>
      <c r="H404" s="2" t="s">
        <v>2683</v>
      </c>
      <c r="I404" s="2" t="s">
        <v>2690</v>
      </c>
      <c r="J404" s="2">
        <v>0</v>
      </c>
      <c r="K404" s="2">
        <v>0</v>
      </c>
      <c r="L404" s="2">
        <v>0</v>
      </c>
      <c r="M404" s="5">
        <v>1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5">
        <v>1</v>
      </c>
    </row>
    <row r="405" spans="1:28" ht="30" x14ac:dyDescent="0.25">
      <c r="A405" s="2">
        <v>404</v>
      </c>
      <c r="B405" s="5">
        <v>0.41382978723404262</v>
      </c>
      <c r="C405" s="5">
        <v>0.20361445783132531</v>
      </c>
      <c r="D405" s="5">
        <v>0.35</v>
      </c>
      <c r="E405" s="5">
        <v>4.6367851622874798E-4</v>
      </c>
      <c r="F405" s="2" t="s">
        <v>809</v>
      </c>
      <c r="G405" s="2" t="s">
        <v>810</v>
      </c>
      <c r="H405" s="2" t="s">
        <v>2681</v>
      </c>
      <c r="I405" s="2" t="s">
        <v>2682</v>
      </c>
      <c r="J405" s="2">
        <v>0</v>
      </c>
      <c r="K405" s="2">
        <v>0</v>
      </c>
      <c r="L405" s="2">
        <v>0</v>
      </c>
      <c r="M405" s="2">
        <v>0</v>
      </c>
      <c r="N405" s="5">
        <v>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5">
        <v>1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</row>
    <row r="406" spans="1:28" ht="30" x14ac:dyDescent="0.25">
      <c r="A406" s="2">
        <v>405</v>
      </c>
      <c r="B406" s="5">
        <v>6.9148936170212769E-2</v>
      </c>
      <c r="C406" s="5">
        <v>0.1204819277108434</v>
      </c>
      <c r="D406" s="5">
        <v>0.01</v>
      </c>
      <c r="E406" s="5">
        <v>5.4095826893353939E-3</v>
      </c>
      <c r="F406" s="2" t="s">
        <v>811</v>
      </c>
      <c r="G406" s="2" t="s">
        <v>812</v>
      </c>
      <c r="H406" s="2" t="s">
        <v>2688</v>
      </c>
      <c r="I406" s="2" t="s">
        <v>2682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5">
        <v>1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5">
        <v>1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</row>
    <row r="407" spans="1:28" ht="30" x14ac:dyDescent="0.25">
      <c r="A407" s="2">
        <v>406</v>
      </c>
      <c r="B407" s="5">
        <v>0.14255319148936171</v>
      </c>
      <c r="C407" s="5">
        <v>0.23734939759036139</v>
      </c>
      <c r="D407" s="5">
        <v>4.8000000000000001E-2</v>
      </c>
      <c r="E407" s="5">
        <v>2.6275115919629061E-3</v>
      </c>
      <c r="F407" s="2" t="s">
        <v>813</v>
      </c>
      <c r="G407" s="2" t="s">
        <v>814</v>
      </c>
      <c r="H407" s="2" t="s">
        <v>2681</v>
      </c>
      <c r="I407" s="2" t="s">
        <v>2682</v>
      </c>
      <c r="J407" s="2">
        <v>0</v>
      </c>
      <c r="K407" s="2">
        <v>0</v>
      </c>
      <c r="L407" s="2">
        <v>0</v>
      </c>
      <c r="M407" s="2">
        <v>0</v>
      </c>
      <c r="N407" s="5">
        <v>1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5">
        <v>1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</row>
    <row r="408" spans="1:28" ht="30" x14ac:dyDescent="0.25">
      <c r="A408" s="2">
        <v>407</v>
      </c>
      <c r="B408" s="5">
        <v>0.1446808510638298</v>
      </c>
      <c r="C408" s="5">
        <v>0.23734939759036139</v>
      </c>
      <c r="D408" s="5">
        <v>3.2000000000000001E-2</v>
      </c>
      <c r="E408" s="5">
        <v>9.2735703245749607E-3</v>
      </c>
      <c r="F408" s="2" t="s">
        <v>815</v>
      </c>
      <c r="G408" s="2" t="s">
        <v>816</v>
      </c>
      <c r="H408" s="2" t="s">
        <v>2688</v>
      </c>
      <c r="I408" s="2" t="s">
        <v>2689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5">
        <v>1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5">
        <v>1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</row>
    <row r="409" spans="1:28" ht="45" x14ac:dyDescent="0.25">
      <c r="A409" s="2">
        <v>408</v>
      </c>
      <c r="B409" s="5">
        <v>0.41489361702127658</v>
      </c>
      <c r="C409" s="5">
        <v>0.1710843373493976</v>
      </c>
      <c r="D409" s="5">
        <v>7.400000000000001E-2</v>
      </c>
      <c r="E409" s="5">
        <v>0.1054095826893354</v>
      </c>
      <c r="F409" s="2" t="s">
        <v>817</v>
      </c>
      <c r="G409" s="2" t="s">
        <v>818</v>
      </c>
      <c r="H409" s="2" t="s">
        <v>2681</v>
      </c>
      <c r="I409" s="2" t="s">
        <v>2682</v>
      </c>
      <c r="J409" s="2">
        <v>0</v>
      </c>
      <c r="K409" s="2">
        <v>0</v>
      </c>
      <c r="L409" s="2">
        <v>0</v>
      </c>
      <c r="M409" s="2">
        <v>0</v>
      </c>
      <c r="N409" s="5">
        <v>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5">
        <v>1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</row>
    <row r="410" spans="1:28" ht="30" x14ac:dyDescent="0.25">
      <c r="A410" s="2">
        <v>409</v>
      </c>
      <c r="B410" s="5">
        <v>0.1351063829787234</v>
      </c>
      <c r="C410" s="5">
        <v>1.445783132530121E-2</v>
      </c>
      <c r="D410" s="5">
        <v>5.0000000000000001E-3</v>
      </c>
      <c r="E410" s="5">
        <v>4.5595054095826891E-2</v>
      </c>
      <c r="F410" s="2" t="s">
        <v>819</v>
      </c>
      <c r="G410" s="2" t="s">
        <v>820</v>
      </c>
      <c r="H410" s="2" t="s">
        <v>2688</v>
      </c>
      <c r="I410" s="2" t="s">
        <v>2690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5">
        <v>1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5">
        <v>1</v>
      </c>
    </row>
    <row r="411" spans="1:28" ht="60" x14ac:dyDescent="0.25">
      <c r="A411" s="2">
        <v>410</v>
      </c>
      <c r="B411" s="5">
        <v>0.15531914893617019</v>
      </c>
      <c r="C411" s="5">
        <v>0.2132530120481928</v>
      </c>
      <c r="D411" s="5">
        <v>5.8999999999999997E-2</v>
      </c>
      <c r="E411" s="5">
        <v>8.6553323029366306E-3</v>
      </c>
      <c r="F411" s="2" t="s">
        <v>821</v>
      </c>
      <c r="G411" s="2" t="s">
        <v>822</v>
      </c>
      <c r="H411" s="2" t="s">
        <v>2688</v>
      </c>
      <c r="I411" s="2" t="s">
        <v>2689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5">
        <v>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5">
        <v>1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</row>
    <row r="412" spans="1:28" ht="45" x14ac:dyDescent="0.25">
      <c r="A412" s="2">
        <v>411</v>
      </c>
      <c r="B412" s="5">
        <v>0.4042553191489362</v>
      </c>
      <c r="C412" s="5">
        <v>0.40481927710843379</v>
      </c>
      <c r="D412" s="5">
        <v>0.27500000000000002</v>
      </c>
      <c r="E412" s="2">
        <v>0</v>
      </c>
      <c r="F412" s="2" t="s">
        <v>823</v>
      </c>
      <c r="G412" s="2" t="s">
        <v>824</v>
      </c>
      <c r="H412" s="2" t="s">
        <v>2684</v>
      </c>
      <c r="I412" s="2" t="s">
        <v>2689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5">
        <v>1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5">
        <v>1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</row>
    <row r="413" spans="1:28" ht="45" x14ac:dyDescent="0.25">
      <c r="A413" s="2">
        <v>412</v>
      </c>
      <c r="B413" s="5">
        <v>0.48510638297872338</v>
      </c>
      <c r="C413" s="5">
        <v>0.56024096385542177</v>
      </c>
      <c r="D413" s="5">
        <v>0.24399999999999999</v>
      </c>
      <c r="E413" s="2">
        <v>0</v>
      </c>
      <c r="F413" s="2" t="s">
        <v>825</v>
      </c>
      <c r="G413" s="2" t="s">
        <v>826</v>
      </c>
      <c r="H413" s="2" t="s">
        <v>2684</v>
      </c>
      <c r="I413" s="2" t="s">
        <v>2689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5">
        <v>1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5">
        <v>1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</row>
    <row r="414" spans="1:28" ht="45" x14ac:dyDescent="0.25">
      <c r="A414" s="2">
        <v>413</v>
      </c>
      <c r="B414" s="5">
        <v>0.37021276595744679</v>
      </c>
      <c r="C414" s="5">
        <v>0.2253012048192771</v>
      </c>
      <c r="D414" s="5">
        <v>0.29499999999999998</v>
      </c>
      <c r="E414" s="2">
        <v>0</v>
      </c>
      <c r="F414" s="2" t="s">
        <v>827</v>
      </c>
      <c r="G414" s="2" t="s">
        <v>828</v>
      </c>
      <c r="H414" s="2" t="s">
        <v>2684</v>
      </c>
      <c r="I414" s="2" t="s">
        <v>2689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5">
        <v>1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5">
        <v>1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</row>
    <row r="415" spans="1:28" ht="30" x14ac:dyDescent="0.25">
      <c r="A415" s="2">
        <v>414</v>
      </c>
      <c r="B415" s="5">
        <v>0.2053191489361702</v>
      </c>
      <c r="C415" s="5">
        <v>0.50602409638554224</v>
      </c>
      <c r="D415" s="5">
        <v>1.4999999999999999E-2</v>
      </c>
      <c r="E415" s="2">
        <v>0</v>
      </c>
      <c r="F415" s="2" t="s">
        <v>829</v>
      </c>
      <c r="G415" s="2" t="s">
        <v>830</v>
      </c>
      <c r="H415" s="2" t="s">
        <v>2688</v>
      </c>
      <c r="I415" s="2" t="s">
        <v>2689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5">
        <v>1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5">
        <v>1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</row>
    <row r="416" spans="1:28" ht="60" x14ac:dyDescent="0.25">
      <c r="A416" s="2">
        <v>415</v>
      </c>
      <c r="B416" s="5">
        <v>0.45744680851063829</v>
      </c>
      <c r="C416" s="5">
        <v>0.70120481927710854</v>
      </c>
      <c r="D416" s="5">
        <v>0.23599999999999999</v>
      </c>
      <c r="E416" s="2">
        <v>0</v>
      </c>
      <c r="F416" s="2" t="s">
        <v>831</v>
      </c>
      <c r="G416" s="2" t="s">
        <v>832</v>
      </c>
      <c r="H416" s="2" t="s">
        <v>2684</v>
      </c>
      <c r="I416" s="2" t="s">
        <v>2689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5">
        <v>1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5">
        <v>1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 spans="1:28" ht="45" x14ac:dyDescent="0.25">
      <c r="A417" s="2">
        <v>416</v>
      </c>
      <c r="B417" s="5">
        <v>0.69361702127659575</v>
      </c>
      <c r="C417" s="5">
        <v>0.48674698795180732</v>
      </c>
      <c r="D417" s="5">
        <v>0.54300000000000004</v>
      </c>
      <c r="E417" s="2">
        <v>0</v>
      </c>
      <c r="F417" s="2" t="s">
        <v>833</v>
      </c>
      <c r="G417" s="2" t="s">
        <v>834</v>
      </c>
      <c r="H417" s="2" t="s">
        <v>2684</v>
      </c>
      <c r="I417" s="2" t="s">
        <v>2689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5">
        <v>1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5">
        <v>1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</row>
    <row r="418" spans="1:28" ht="45" x14ac:dyDescent="0.25">
      <c r="A418" s="2">
        <v>417</v>
      </c>
      <c r="B418" s="5">
        <v>0.33936170212765959</v>
      </c>
      <c r="C418" s="5">
        <v>8.313253012048194E-2</v>
      </c>
      <c r="D418" s="5">
        <v>0.317</v>
      </c>
      <c r="E418" s="2">
        <v>0</v>
      </c>
      <c r="F418" s="2" t="s">
        <v>835</v>
      </c>
      <c r="G418" s="2" t="s">
        <v>836</v>
      </c>
      <c r="H418" s="2" t="s">
        <v>2684</v>
      </c>
      <c r="I418" s="2" t="s">
        <v>2689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5">
        <v>1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5">
        <v>1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</row>
    <row r="419" spans="1:28" ht="60" x14ac:dyDescent="0.25">
      <c r="A419" s="2">
        <v>418</v>
      </c>
      <c r="B419" s="5">
        <v>0.45744680851063829</v>
      </c>
      <c r="C419" s="5">
        <v>0.40240963855421691</v>
      </c>
      <c r="D419" s="5">
        <v>0.32400000000000001</v>
      </c>
      <c r="E419" s="2">
        <v>0</v>
      </c>
      <c r="F419" s="2" t="s">
        <v>837</v>
      </c>
      <c r="G419" s="2" t="s">
        <v>838</v>
      </c>
      <c r="H419" s="2" t="s">
        <v>2684</v>
      </c>
      <c r="I419" s="2" t="s">
        <v>2689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5">
        <v>1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5">
        <v>1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</row>
    <row r="420" spans="1:28" ht="60" x14ac:dyDescent="0.25">
      <c r="A420" s="2">
        <v>419</v>
      </c>
      <c r="B420" s="5">
        <v>0.2106382978723404</v>
      </c>
      <c r="C420" s="5">
        <v>0.2289156626506024</v>
      </c>
      <c r="D420" s="5">
        <v>0.13</v>
      </c>
      <c r="E420" s="2">
        <v>0</v>
      </c>
      <c r="F420" s="2" t="s">
        <v>839</v>
      </c>
      <c r="G420" s="2" t="s">
        <v>840</v>
      </c>
      <c r="H420" s="2" t="s">
        <v>2683</v>
      </c>
      <c r="I420" s="2" t="s">
        <v>2689</v>
      </c>
      <c r="J420" s="2">
        <v>0</v>
      </c>
      <c r="K420" s="2">
        <v>0</v>
      </c>
      <c r="L420" s="2">
        <v>0</v>
      </c>
      <c r="M420" s="5">
        <v>1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5">
        <v>1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</row>
    <row r="421" spans="1:28" ht="30" x14ac:dyDescent="0.25">
      <c r="A421" s="2">
        <v>420</v>
      </c>
      <c r="B421" s="5">
        <v>0.11382978723404261</v>
      </c>
      <c r="C421" s="5">
        <v>0.1987951807228916</v>
      </c>
      <c r="D421" s="5">
        <v>3.9E-2</v>
      </c>
      <c r="E421" s="5">
        <v>2.3183925811437402E-3</v>
      </c>
      <c r="F421" s="2" t="s">
        <v>841</v>
      </c>
      <c r="G421" s="2" t="s">
        <v>842</v>
      </c>
      <c r="H421" s="2" t="s">
        <v>2688</v>
      </c>
      <c r="I421" s="2" t="s">
        <v>2689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5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5">
        <v>1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</row>
    <row r="422" spans="1:28" ht="30" x14ac:dyDescent="0.25">
      <c r="A422" s="2">
        <v>421</v>
      </c>
      <c r="B422" s="5">
        <v>0.1191489361702128</v>
      </c>
      <c r="C422" s="5">
        <v>0.24096385542168669</v>
      </c>
      <c r="D422" s="5">
        <v>1.2999999999999999E-2</v>
      </c>
      <c r="E422" s="5">
        <v>5.7187017001545598E-3</v>
      </c>
      <c r="F422" s="2" t="s">
        <v>843</v>
      </c>
      <c r="G422" s="2" t="s">
        <v>844</v>
      </c>
      <c r="H422" s="2" t="s">
        <v>2688</v>
      </c>
      <c r="I422" s="2" t="s">
        <v>2689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5">
        <v>1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5">
        <v>1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</row>
    <row r="423" spans="1:28" ht="45" x14ac:dyDescent="0.25">
      <c r="A423" s="2">
        <v>422</v>
      </c>
      <c r="B423" s="5">
        <v>0.13723404255319149</v>
      </c>
      <c r="C423" s="5">
        <v>0.24096385542168669</v>
      </c>
      <c r="D423" s="5">
        <v>4.8000000000000001E-2</v>
      </c>
      <c r="E423" s="2">
        <v>0</v>
      </c>
      <c r="F423" s="2" t="s">
        <v>845</v>
      </c>
      <c r="G423" s="2" t="s">
        <v>846</v>
      </c>
      <c r="H423" s="2" t="s">
        <v>2688</v>
      </c>
      <c r="I423" s="2" t="s">
        <v>2689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5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5">
        <v>1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</row>
    <row r="424" spans="1:28" ht="45" x14ac:dyDescent="0.25">
      <c r="A424" s="2">
        <v>423</v>
      </c>
      <c r="B424" s="5">
        <v>0.31489361702127661</v>
      </c>
      <c r="C424" s="5">
        <v>0.2060240963855422</v>
      </c>
      <c r="D424" s="5">
        <v>0.20300000000000001</v>
      </c>
      <c r="E424" s="5">
        <v>1.7465224111282849E-2</v>
      </c>
      <c r="F424" s="2" t="s">
        <v>847</v>
      </c>
      <c r="G424" s="2" t="s">
        <v>848</v>
      </c>
      <c r="H424" s="2" t="s">
        <v>2683</v>
      </c>
      <c r="I424" s="2" t="s">
        <v>2689</v>
      </c>
      <c r="J424" s="2">
        <v>0</v>
      </c>
      <c r="K424" s="2">
        <v>0</v>
      </c>
      <c r="L424" s="2">
        <v>0</v>
      </c>
      <c r="M424" s="5">
        <v>1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5">
        <v>1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</row>
    <row r="425" spans="1:28" ht="30" x14ac:dyDescent="0.25">
      <c r="A425" s="2">
        <v>424</v>
      </c>
      <c r="B425" s="5">
        <v>0.1180851063829787</v>
      </c>
      <c r="C425" s="5">
        <v>0.23373493975903609</v>
      </c>
      <c r="D425" s="5">
        <v>9.0000000000000011E-3</v>
      </c>
      <c r="E425" s="5">
        <v>7.4188562596599686E-3</v>
      </c>
      <c r="F425" s="2" t="s">
        <v>849</v>
      </c>
      <c r="G425" s="2" t="s">
        <v>850</v>
      </c>
      <c r="H425" s="2" t="s">
        <v>2688</v>
      </c>
      <c r="I425" s="2" t="s">
        <v>2689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5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5">
        <v>1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</row>
    <row r="426" spans="1:28" ht="30" x14ac:dyDescent="0.25">
      <c r="A426" s="2">
        <v>425</v>
      </c>
      <c r="B426" s="5">
        <v>8.2978723404255314E-2</v>
      </c>
      <c r="C426" s="5">
        <v>0.1746987951807229</v>
      </c>
      <c r="D426" s="5">
        <v>6.0000000000000001E-3</v>
      </c>
      <c r="E426" s="5">
        <v>5.7187017001545598E-3</v>
      </c>
      <c r="F426" s="2" t="s">
        <v>851</v>
      </c>
      <c r="G426" s="2" t="s">
        <v>852</v>
      </c>
      <c r="H426" s="2" t="s">
        <v>2688</v>
      </c>
      <c r="I426" s="2" t="s">
        <v>2689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5">
        <v>1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5">
        <v>1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</row>
    <row r="427" spans="1:28" ht="30" x14ac:dyDescent="0.25">
      <c r="A427" s="2">
        <v>426</v>
      </c>
      <c r="B427" s="5">
        <v>0.1531914893617021</v>
      </c>
      <c r="C427" s="5">
        <v>0.21445783132530119</v>
      </c>
      <c r="D427" s="5">
        <v>5.8000000000000003E-2</v>
      </c>
      <c r="E427" s="5">
        <v>8.0370942812983005E-3</v>
      </c>
      <c r="F427" s="2" t="s">
        <v>853</v>
      </c>
      <c r="G427" s="2" t="s">
        <v>854</v>
      </c>
      <c r="H427" s="2" t="s">
        <v>2688</v>
      </c>
      <c r="I427" s="2" t="s">
        <v>2689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5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5">
        <v>1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 spans="1:28" ht="30" x14ac:dyDescent="0.25">
      <c r="A428" s="2">
        <v>427</v>
      </c>
      <c r="B428" s="5">
        <v>0.1308510638297872</v>
      </c>
      <c r="C428" s="5">
        <v>0.1819277108433735</v>
      </c>
      <c r="D428" s="5">
        <v>5.5E-2</v>
      </c>
      <c r="E428" s="5">
        <v>5.100463678516228E-3</v>
      </c>
      <c r="F428" s="2" t="s">
        <v>855</v>
      </c>
      <c r="G428" s="2" t="s">
        <v>856</v>
      </c>
      <c r="H428" s="2" t="s">
        <v>2688</v>
      </c>
      <c r="I428" s="2" t="s">
        <v>2689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5">
        <v>1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5">
        <v>1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</row>
    <row r="429" spans="1:28" ht="90" x14ac:dyDescent="0.25">
      <c r="A429" s="2">
        <v>428</v>
      </c>
      <c r="B429" s="5">
        <v>0.10212765957446809</v>
      </c>
      <c r="C429" s="5">
        <v>0.2289156626506024</v>
      </c>
      <c r="D429" s="5">
        <v>1.7000000000000001E-2</v>
      </c>
      <c r="E429" s="2">
        <v>0</v>
      </c>
      <c r="F429" s="2" t="s">
        <v>857</v>
      </c>
      <c r="G429" s="2" t="s">
        <v>858</v>
      </c>
      <c r="H429" s="2" t="s">
        <v>2688</v>
      </c>
      <c r="I429" s="2" t="s">
        <v>2689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5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5">
        <v>1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</row>
    <row r="430" spans="1:28" ht="45" x14ac:dyDescent="0.25">
      <c r="A430" s="2">
        <v>429</v>
      </c>
      <c r="B430" s="5">
        <v>0.14680851063829789</v>
      </c>
      <c r="C430" s="5">
        <v>0.16867469879518071</v>
      </c>
      <c r="D430" s="5">
        <v>6.9999999999999993E-3</v>
      </c>
      <c r="E430" s="5">
        <v>1.143740340030912E-2</v>
      </c>
      <c r="F430" s="2" t="s">
        <v>859</v>
      </c>
      <c r="G430" s="2" t="s">
        <v>196</v>
      </c>
      <c r="H430" s="2" t="s">
        <v>2688</v>
      </c>
      <c r="I430" s="2" t="s">
        <v>2689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5">
        <v>1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5">
        <v>1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</row>
    <row r="431" spans="1:28" ht="30" x14ac:dyDescent="0.25">
      <c r="A431" s="2">
        <v>430</v>
      </c>
      <c r="B431" s="5">
        <v>0.13617021276595739</v>
      </c>
      <c r="C431" s="5">
        <v>0.2168674698795181</v>
      </c>
      <c r="D431" s="5">
        <v>0.03</v>
      </c>
      <c r="E431" s="5">
        <v>1.1128284389489949E-2</v>
      </c>
      <c r="F431" s="2" t="s">
        <v>860</v>
      </c>
      <c r="G431" s="2" t="s">
        <v>861</v>
      </c>
      <c r="H431" s="2" t="s">
        <v>2688</v>
      </c>
      <c r="I431" s="2" t="s">
        <v>2689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5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5">
        <v>1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</row>
    <row r="432" spans="1:28" ht="45" x14ac:dyDescent="0.25">
      <c r="A432" s="2">
        <v>431</v>
      </c>
      <c r="B432" s="5">
        <v>8.5106382978723402E-2</v>
      </c>
      <c r="C432" s="5">
        <v>0.17710843373493981</v>
      </c>
      <c r="D432" s="5">
        <v>1.4E-2</v>
      </c>
      <c r="E432" s="5">
        <v>3.4003091190108188E-3</v>
      </c>
      <c r="F432" s="2" t="s">
        <v>862</v>
      </c>
      <c r="G432" s="2" t="s">
        <v>863</v>
      </c>
      <c r="H432" s="2" t="s">
        <v>2688</v>
      </c>
      <c r="I432" s="2" t="s">
        <v>2689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5">
        <v>1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5">
        <v>1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</row>
    <row r="433" spans="1:28" ht="30" x14ac:dyDescent="0.25">
      <c r="A433" s="2">
        <v>432</v>
      </c>
      <c r="B433" s="5">
        <v>0.44361702127659569</v>
      </c>
      <c r="C433" s="5">
        <v>0.31204819277108431</v>
      </c>
      <c r="D433" s="5">
        <v>0.19400000000000001</v>
      </c>
      <c r="E433" s="5">
        <v>4.945904173106646E-2</v>
      </c>
      <c r="F433" s="2" t="s">
        <v>864</v>
      </c>
      <c r="G433" s="2" t="s">
        <v>865</v>
      </c>
      <c r="H433" s="2" t="s">
        <v>2684</v>
      </c>
      <c r="I433" s="2" t="s">
        <v>2689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5">
        <v>1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5">
        <v>1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</row>
    <row r="434" spans="1:28" ht="45" x14ac:dyDescent="0.25">
      <c r="A434" s="2">
        <v>433</v>
      </c>
      <c r="B434" s="5">
        <v>8.723404255319149E-2</v>
      </c>
      <c r="C434" s="5">
        <v>8.0722891566265068E-2</v>
      </c>
      <c r="D434" s="5">
        <v>0.01</v>
      </c>
      <c r="E434" s="5">
        <v>1.6846986089644508E-2</v>
      </c>
      <c r="F434" s="2" t="s">
        <v>866</v>
      </c>
      <c r="G434" s="2" t="s">
        <v>867</v>
      </c>
      <c r="H434" s="2" t="s">
        <v>2688</v>
      </c>
      <c r="I434" s="2" t="s">
        <v>2689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5">
        <v>1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5">
        <v>1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</row>
    <row r="435" spans="1:28" ht="30" x14ac:dyDescent="0.25">
      <c r="A435" s="2">
        <v>434</v>
      </c>
      <c r="B435" s="5">
        <v>7.0212765957446813E-2</v>
      </c>
      <c r="C435" s="5">
        <v>0.16867469879518071</v>
      </c>
      <c r="D435" s="2">
        <v>0</v>
      </c>
      <c r="E435" s="2">
        <v>0</v>
      </c>
      <c r="F435" s="2" t="s">
        <v>868</v>
      </c>
      <c r="G435" s="2" t="s">
        <v>869</v>
      </c>
      <c r="H435" s="2" t="s">
        <v>2688</v>
      </c>
      <c r="I435" s="2" t="s">
        <v>2689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5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5">
        <v>1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</row>
    <row r="436" spans="1:28" ht="30" x14ac:dyDescent="0.25">
      <c r="A436" s="2">
        <v>435</v>
      </c>
      <c r="B436" s="5">
        <v>9.5744680851063829E-2</v>
      </c>
      <c r="C436" s="5">
        <v>0.17951807228915659</v>
      </c>
      <c r="D436" s="5">
        <v>2.5000000000000001E-2</v>
      </c>
      <c r="E436" s="5">
        <v>3.2457496136012371E-3</v>
      </c>
      <c r="F436" s="2" t="s">
        <v>870</v>
      </c>
      <c r="G436" s="2" t="s">
        <v>871</v>
      </c>
      <c r="H436" s="2" t="s">
        <v>2688</v>
      </c>
      <c r="I436" s="2" t="s">
        <v>2689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5">
        <v>1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5">
        <v>1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</row>
    <row r="437" spans="1:28" ht="30" x14ac:dyDescent="0.25">
      <c r="A437" s="2">
        <v>436</v>
      </c>
      <c r="B437" s="5">
        <v>9.3617021276595741E-2</v>
      </c>
      <c r="C437" s="5">
        <v>0.1710843373493976</v>
      </c>
      <c r="D437" s="5">
        <v>6.9999999999999993E-3</v>
      </c>
      <c r="E437" s="5">
        <v>9.5826893353941275E-3</v>
      </c>
      <c r="F437" s="2" t="s">
        <v>872</v>
      </c>
      <c r="G437" s="2" t="s">
        <v>873</v>
      </c>
      <c r="H437" s="2" t="s">
        <v>2688</v>
      </c>
      <c r="I437" s="2" t="s">
        <v>2689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5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5">
        <v>1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</row>
    <row r="438" spans="1:28" ht="30" x14ac:dyDescent="0.25">
      <c r="A438" s="2">
        <v>437</v>
      </c>
      <c r="B438" s="5">
        <v>0.1063829787234043</v>
      </c>
      <c r="C438" s="5">
        <v>0.17710843373493981</v>
      </c>
      <c r="D438" s="5">
        <v>2.4E-2</v>
      </c>
      <c r="E438" s="5">
        <v>7.573415765069552E-3</v>
      </c>
      <c r="F438" s="2" t="s">
        <v>874</v>
      </c>
      <c r="G438" s="2" t="s">
        <v>875</v>
      </c>
      <c r="H438" s="2" t="s">
        <v>2688</v>
      </c>
      <c r="I438" s="2" t="s">
        <v>2689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5">
        <v>1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5">
        <v>1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</row>
    <row r="439" spans="1:28" ht="30" x14ac:dyDescent="0.25">
      <c r="A439" s="2">
        <v>438</v>
      </c>
      <c r="B439" s="5">
        <v>0.14255319148936171</v>
      </c>
      <c r="C439" s="5">
        <v>0.30722891566265059</v>
      </c>
      <c r="D439" s="5">
        <v>1.2999999999999999E-2</v>
      </c>
      <c r="E439" s="5">
        <v>7.7279752704791354E-3</v>
      </c>
      <c r="F439" s="2" t="s">
        <v>876</v>
      </c>
      <c r="G439" s="2" t="s">
        <v>877</v>
      </c>
      <c r="H439" s="2" t="s">
        <v>2688</v>
      </c>
      <c r="I439" s="2" t="s">
        <v>2689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5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5">
        <v>1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</row>
    <row r="440" spans="1:28" ht="45" x14ac:dyDescent="0.25">
      <c r="A440" s="2">
        <v>439</v>
      </c>
      <c r="B440" s="5">
        <v>0.21702127659574469</v>
      </c>
      <c r="C440" s="5">
        <v>0.4120481927710844</v>
      </c>
      <c r="D440" s="5">
        <v>5.5999999999999987E-2</v>
      </c>
      <c r="E440" s="5">
        <v>2.9366306027820712E-3</v>
      </c>
      <c r="F440" s="2" t="s">
        <v>878</v>
      </c>
      <c r="G440" s="2" t="s">
        <v>879</v>
      </c>
      <c r="H440" s="2" t="s">
        <v>2688</v>
      </c>
      <c r="I440" s="2" t="s">
        <v>2689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5">
        <v>1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5">
        <v>1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</row>
    <row r="441" spans="1:28" ht="45" x14ac:dyDescent="0.25">
      <c r="A441" s="2">
        <v>440</v>
      </c>
      <c r="B441" s="5">
        <v>0.2106382978723404</v>
      </c>
      <c r="C441" s="5">
        <v>0.43975903614457829</v>
      </c>
      <c r="D441" s="5">
        <v>2.1999999999999999E-2</v>
      </c>
      <c r="E441" s="5">
        <v>8.5007727975270481E-3</v>
      </c>
      <c r="F441" s="2" t="s">
        <v>880</v>
      </c>
      <c r="G441" s="2" t="s">
        <v>881</v>
      </c>
      <c r="H441" s="2" t="s">
        <v>2688</v>
      </c>
      <c r="I441" s="2" t="s">
        <v>2689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5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5">
        <v>1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</row>
    <row r="442" spans="1:28" ht="45" x14ac:dyDescent="0.25">
      <c r="A442" s="2">
        <v>441</v>
      </c>
      <c r="B442" s="5">
        <v>0.1276595744680851</v>
      </c>
      <c r="C442" s="5">
        <v>0.136144578313253</v>
      </c>
      <c r="D442" s="5">
        <v>3.9E-2</v>
      </c>
      <c r="E442" s="5">
        <v>1.5455950540958271E-2</v>
      </c>
      <c r="F442" s="2" t="s">
        <v>882</v>
      </c>
      <c r="G442" s="2" t="s">
        <v>883</v>
      </c>
      <c r="H442" s="2" t="s">
        <v>2688</v>
      </c>
      <c r="I442" s="2" t="s">
        <v>2689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5">
        <v>1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5">
        <v>1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 spans="1:28" ht="45" x14ac:dyDescent="0.25">
      <c r="A443" s="2">
        <v>442</v>
      </c>
      <c r="B443" s="5">
        <v>0.12340425531914891</v>
      </c>
      <c r="C443" s="5">
        <v>0.13493975903614461</v>
      </c>
      <c r="D443" s="5">
        <v>1.2E-2</v>
      </c>
      <c r="E443" s="5">
        <v>1.5765069551777429E-2</v>
      </c>
      <c r="F443" s="2" t="s">
        <v>884</v>
      </c>
      <c r="G443" s="2" t="s">
        <v>883</v>
      </c>
      <c r="H443" s="2" t="s">
        <v>2688</v>
      </c>
      <c r="I443" s="2" t="s">
        <v>2689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5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5">
        <v>1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</row>
    <row r="444" spans="1:28" ht="45" x14ac:dyDescent="0.25">
      <c r="A444" s="2">
        <v>443</v>
      </c>
      <c r="B444" s="5">
        <v>9.1489361702127667E-2</v>
      </c>
      <c r="C444" s="5">
        <v>0.1228915662650602</v>
      </c>
      <c r="D444" s="5">
        <v>1.0999999999999999E-2</v>
      </c>
      <c r="E444" s="5">
        <v>1.3446676970633689E-2</v>
      </c>
      <c r="F444" s="2" t="s">
        <v>885</v>
      </c>
      <c r="G444" s="2" t="s">
        <v>883</v>
      </c>
      <c r="H444" s="2" t="s">
        <v>2688</v>
      </c>
      <c r="I444" s="2" t="s">
        <v>2689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5">
        <v>1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5">
        <v>1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</row>
    <row r="445" spans="1:28" ht="45" x14ac:dyDescent="0.25">
      <c r="A445" s="2">
        <v>444</v>
      </c>
      <c r="B445" s="5">
        <v>0.11382978723404261</v>
      </c>
      <c r="C445" s="5">
        <v>0.236144578313253</v>
      </c>
      <c r="D445" s="5">
        <v>6.9999999999999993E-3</v>
      </c>
      <c r="E445" s="5">
        <v>8.5007727975270481E-3</v>
      </c>
      <c r="F445" s="2" t="s">
        <v>886</v>
      </c>
      <c r="G445" s="2" t="s">
        <v>883</v>
      </c>
      <c r="H445" s="2" t="s">
        <v>2688</v>
      </c>
      <c r="I445" s="2" t="s">
        <v>2689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5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5">
        <v>1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</row>
    <row r="446" spans="1:28" ht="30" x14ac:dyDescent="0.25">
      <c r="A446" s="2">
        <v>445</v>
      </c>
      <c r="B446" s="5">
        <v>8.6170212765957446E-2</v>
      </c>
      <c r="C446" s="5">
        <v>0.13734939759036149</v>
      </c>
      <c r="D446" s="5">
        <v>1.9E-2</v>
      </c>
      <c r="E446" s="5">
        <v>5.8732612055641424E-3</v>
      </c>
      <c r="F446" s="2" t="s">
        <v>887</v>
      </c>
      <c r="G446" s="2" t="s">
        <v>888</v>
      </c>
      <c r="H446" s="2" t="s">
        <v>2688</v>
      </c>
      <c r="I446" s="2" t="s">
        <v>2689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5">
        <v>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5">
        <v>1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</row>
    <row r="447" spans="1:28" ht="30" x14ac:dyDescent="0.25">
      <c r="A447" s="2">
        <v>446</v>
      </c>
      <c r="B447" s="5">
        <v>0.1074468085106383</v>
      </c>
      <c r="C447" s="5">
        <v>0.13855421686746991</v>
      </c>
      <c r="D447" s="5">
        <v>4.0999999999999988E-2</v>
      </c>
      <c r="E447" s="5">
        <v>7.1097372488408027E-3</v>
      </c>
      <c r="F447" s="2" t="s">
        <v>889</v>
      </c>
      <c r="G447" s="2" t="s">
        <v>890</v>
      </c>
      <c r="H447" s="2" t="s">
        <v>2683</v>
      </c>
      <c r="I447" s="2" t="s">
        <v>2689</v>
      </c>
      <c r="J447" s="2">
        <v>0</v>
      </c>
      <c r="K447" s="2">
        <v>0</v>
      </c>
      <c r="L447" s="2">
        <v>0</v>
      </c>
      <c r="M447" s="5">
        <v>1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5">
        <v>1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</row>
    <row r="448" spans="1:28" ht="45" x14ac:dyDescent="0.25">
      <c r="A448" s="2">
        <v>447</v>
      </c>
      <c r="B448" s="5">
        <v>0.1159574468085106</v>
      </c>
      <c r="C448" s="5">
        <v>0.20481927710843381</v>
      </c>
      <c r="D448" s="5">
        <v>0.04</v>
      </c>
      <c r="E448" s="2">
        <v>0</v>
      </c>
      <c r="F448" s="2" t="s">
        <v>891</v>
      </c>
      <c r="G448" s="2" t="s">
        <v>892</v>
      </c>
      <c r="H448" s="2" t="s">
        <v>2688</v>
      </c>
      <c r="I448" s="2" t="s">
        <v>2689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5">
        <v>1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5">
        <v>1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</row>
    <row r="449" spans="1:28" ht="45" x14ac:dyDescent="0.25">
      <c r="A449" s="2">
        <v>448</v>
      </c>
      <c r="B449" s="5">
        <v>0.27765957446808509</v>
      </c>
      <c r="C449" s="5">
        <v>0.45903614457831332</v>
      </c>
      <c r="D449" s="5">
        <v>2.3E-2</v>
      </c>
      <c r="E449" s="5">
        <v>3.3848531684698598E-2</v>
      </c>
      <c r="F449" s="2" t="s">
        <v>893</v>
      </c>
      <c r="G449" s="2" t="s">
        <v>894</v>
      </c>
      <c r="H449" s="2" t="s">
        <v>2688</v>
      </c>
      <c r="I449" s="2" t="s">
        <v>2689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5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5">
        <v>1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</row>
    <row r="450" spans="1:28" ht="30" x14ac:dyDescent="0.25">
      <c r="A450" s="2">
        <v>449</v>
      </c>
      <c r="B450" s="5">
        <v>0.31063829787234037</v>
      </c>
      <c r="C450" s="5">
        <v>0.6987951807228916</v>
      </c>
      <c r="D450" s="5">
        <v>0.04</v>
      </c>
      <c r="E450" s="2">
        <v>0</v>
      </c>
      <c r="F450" s="2" t="s">
        <v>895</v>
      </c>
      <c r="G450" s="2" t="s">
        <v>896</v>
      </c>
      <c r="H450" s="2" t="s">
        <v>2688</v>
      </c>
      <c r="I450" s="2" t="s">
        <v>2689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5">
        <v>1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5">
        <v>1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</row>
    <row r="451" spans="1:28" ht="45" x14ac:dyDescent="0.25">
      <c r="A451" s="2">
        <v>450</v>
      </c>
      <c r="B451" s="5">
        <v>7.8723404255319152E-2</v>
      </c>
      <c r="C451" s="5">
        <v>0.30361445783132529</v>
      </c>
      <c r="D451" s="5">
        <v>1.7000000000000001E-2</v>
      </c>
      <c r="E451" s="2">
        <v>0</v>
      </c>
      <c r="F451" s="2" t="s">
        <v>897</v>
      </c>
      <c r="G451" s="2" t="s">
        <v>898</v>
      </c>
      <c r="H451" s="2" t="s">
        <v>2688</v>
      </c>
      <c r="I451" s="2" t="s">
        <v>2689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5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5">
        <v>1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</row>
    <row r="452" spans="1:28" ht="30" x14ac:dyDescent="0.25">
      <c r="A452" s="2">
        <v>451</v>
      </c>
      <c r="B452" s="5">
        <v>0.28404255319148941</v>
      </c>
      <c r="C452" s="5">
        <v>0.27831325301204818</v>
      </c>
      <c r="D452" s="5">
        <v>0.19400000000000001</v>
      </c>
      <c r="E452" s="5">
        <v>3.0911901081916539E-4</v>
      </c>
      <c r="F452" s="2" t="s">
        <v>899</v>
      </c>
      <c r="G452" s="2" t="s">
        <v>900</v>
      </c>
      <c r="H452" s="2" t="s">
        <v>2684</v>
      </c>
      <c r="I452" s="2" t="s">
        <v>2689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5">
        <v>1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5">
        <v>1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</row>
    <row r="453" spans="1:28" ht="30" x14ac:dyDescent="0.25">
      <c r="A453" s="2">
        <v>452</v>
      </c>
      <c r="B453" s="5">
        <v>0.1074468085106383</v>
      </c>
      <c r="C453" s="5">
        <v>0.1240963855421687</v>
      </c>
      <c r="D453" s="5">
        <v>3.7000000000000012E-2</v>
      </c>
      <c r="E453" s="5">
        <v>1.035548686244204E-2</v>
      </c>
      <c r="F453" s="2" t="s">
        <v>901</v>
      </c>
      <c r="G453" s="2" t="s">
        <v>902</v>
      </c>
      <c r="H453" s="2" t="s">
        <v>2688</v>
      </c>
      <c r="I453" s="2" t="s">
        <v>2689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5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5">
        <v>1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</row>
    <row r="454" spans="1:28" ht="30" x14ac:dyDescent="0.25">
      <c r="A454" s="2">
        <v>453</v>
      </c>
      <c r="B454" s="5">
        <v>0.31702127659574469</v>
      </c>
      <c r="C454" s="5">
        <v>0.55783132530120483</v>
      </c>
      <c r="D454" s="5">
        <v>3.5999999999999997E-2</v>
      </c>
      <c r="E454" s="5">
        <v>3.12210200927357E-2</v>
      </c>
      <c r="F454" s="2" t="s">
        <v>903</v>
      </c>
      <c r="G454" s="2" t="s">
        <v>904</v>
      </c>
      <c r="H454" s="2" t="s">
        <v>2688</v>
      </c>
      <c r="I454" s="2" t="s">
        <v>2689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5">
        <v>1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5">
        <v>1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</row>
    <row r="455" spans="1:28" ht="30" x14ac:dyDescent="0.25">
      <c r="A455" s="2">
        <v>454</v>
      </c>
      <c r="B455" s="5">
        <v>6.063829787234043E-2</v>
      </c>
      <c r="C455" s="5">
        <v>0.12891566265060239</v>
      </c>
      <c r="D455" s="5">
        <v>3.0000000000000001E-3</v>
      </c>
      <c r="E455" s="5">
        <v>3.4003091190108188E-3</v>
      </c>
      <c r="F455" s="2" t="s">
        <v>905</v>
      </c>
      <c r="G455" s="2" t="s">
        <v>906</v>
      </c>
      <c r="H455" s="2" t="s">
        <v>2688</v>
      </c>
      <c r="I455" s="2" t="s">
        <v>2689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5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5">
        <v>1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</row>
    <row r="456" spans="1:28" ht="30" x14ac:dyDescent="0.25">
      <c r="A456" s="2">
        <v>455</v>
      </c>
      <c r="B456" s="5">
        <v>8.1914893617021284E-2</v>
      </c>
      <c r="C456" s="5">
        <v>0.18795180722891569</v>
      </c>
      <c r="D456" s="5">
        <v>9.0000000000000011E-3</v>
      </c>
      <c r="E456" s="5">
        <v>2.4729520865533232E-3</v>
      </c>
      <c r="F456" s="2" t="s">
        <v>907</v>
      </c>
      <c r="G456" s="2" t="s">
        <v>908</v>
      </c>
      <c r="H456" s="2" t="s">
        <v>2688</v>
      </c>
      <c r="I456" s="2" t="s">
        <v>2689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5">
        <v>1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5">
        <v>1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</row>
    <row r="457" spans="1:28" ht="45" x14ac:dyDescent="0.25">
      <c r="A457" s="2">
        <v>456</v>
      </c>
      <c r="B457" s="5">
        <v>9.7872340425531917E-2</v>
      </c>
      <c r="C457" s="5">
        <v>0.24096385542168669</v>
      </c>
      <c r="D457" s="5">
        <v>6.9999999999999993E-3</v>
      </c>
      <c r="E457" s="2">
        <v>0</v>
      </c>
      <c r="F457" s="2" t="s">
        <v>909</v>
      </c>
      <c r="G457" s="2" t="s">
        <v>910</v>
      </c>
      <c r="H457" s="2" t="s">
        <v>2688</v>
      </c>
      <c r="I457" s="2" t="s">
        <v>2689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5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5">
        <v>1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</row>
    <row r="458" spans="1:28" ht="30" x14ac:dyDescent="0.25">
      <c r="A458" s="2">
        <v>457</v>
      </c>
      <c r="B458" s="5">
        <v>8.723404255319149E-2</v>
      </c>
      <c r="C458" s="5">
        <v>0.13734939759036149</v>
      </c>
      <c r="D458" s="5">
        <v>1.2E-2</v>
      </c>
      <c r="E458" s="5">
        <v>9.8918083462132926E-3</v>
      </c>
      <c r="F458" s="2" t="s">
        <v>911</v>
      </c>
      <c r="G458" s="2" t="s">
        <v>912</v>
      </c>
      <c r="H458" s="2" t="s">
        <v>2688</v>
      </c>
      <c r="I458" s="2" t="s">
        <v>2689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5">
        <v>1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5">
        <v>1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</row>
    <row r="459" spans="1:28" ht="30" x14ac:dyDescent="0.25">
      <c r="A459" s="2">
        <v>458</v>
      </c>
      <c r="B459" s="5">
        <v>0.1404255319148936</v>
      </c>
      <c r="C459" s="5">
        <v>0.20481927710843381</v>
      </c>
      <c r="D459" s="5">
        <v>6.7000000000000004E-2</v>
      </c>
      <c r="E459" s="5">
        <v>1.236476043276662E-3</v>
      </c>
      <c r="F459" s="2" t="s">
        <v>913</v>
      </c>
      <c r="G459" s="2" t="s">
        <v>914</v>
      </c>
      <c r="H459" s="2" t="s">
        <v>2688</v>
      </c>
      <c r="I459" s="2" t="s">
        <v>2689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5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5">
        <v>1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</row>
    <row r="460" spans="1:28" ht="45" x14ac:dyDescent="0.25">
      <c r="A460" s="2">
        <v>459</v>
      </c>
      <c r="B460" s="5">
        <v>0.17234042553191489</v>
      </c>
      <c r="C460" s="5">
        <v>0.38192771084337351</v>
      </c>
      <c r="D460" s="5">
        <v>2.8000000000000001E-2</v>
      </c>
      <c r="E460" s="5">
        <v>4.6367851622874798E-4</v>
      </c>
      <c r="F460" s="2" t="s">
        <v>915</v>
      </c>
      <c r="G460" s="2" t="s">
        <v>916</v>
      </c>
      <c r="H460" s="2" t="s">
        <v>2688</v>
      </c>
      <c r="I460" s="2" t="s">
        <v>2689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5">
        <v>1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5">
        <v>1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</row>
    <row r="461" spans="1:28" ht="30" x14ac:dyDescent="0.25">
      <c r="A461" s="2">
        <v>460</v>
      </c>
      <c r="B461" s="5">
        <v>0.1170212765957447</v>
      </c>
      <c r="C461" s="5">
        <v>0.15180722891566259</v>
      </c>
      <c r="D461" s="5">
        <v>4.2000000000000003E-2</v>
      </c>
      <c r="E461" s="5">
        <v>8.3462132921174655E-3</v>
      </c>
      <c r="F461" s="2" t="s">
        <v>917</v>
      </c>
      <c r="G461" s="2" t="s">
        <v>918</v>
      </c>
      <c r="H461" s="2" t="s">
        <v>2688</v>
      </c>
      <c r="I461" s="2" t="s">
        <v>2689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5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5">
        <v>1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</row>
    <row r="462" spans="1:28" ht="30" x14ac:dyDescent="0.25">
      <c r="A462" s="2">
        <v>461</v>
      </c>
      <c r="B462" s="5">
        <v>0.32127659574468093</v>
      </c>
      <c r="C462" s="5">
        <v>0.85180722891566274</v>
      </c>
      <c r="D462" s="5">
        <v>1.9E-2</v>
      </c>
      <c r="E462" s="5">
        <v>6.1823802163833079E-4</v>
      </c>
      <c r="F462" s="2" t="s">
        <v>919</v>
      </c>
      <c r="G462" s="2" t="s">
        <v>920</v>
      </c>
      <c r="H462" s="2" t="s">
        <v>2688</v>
      </c>
      <c r="I462" s="2" t="s">
        <v>2689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5">
        <v>1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5">
        <v>1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</row>
    <row r="463" spans="1:28" ht="45" x14ac:dyDescent="0.25">
      <c r="A463" s="2">
        <v>462</v>
      </c>
      <c r="B463" s="5">
        <v>0.1095744680851064</v>
      </c>
      <c r="C463" s="5">
        <v>0.26506024096385539</v>
      </c>
      <c r="D463" s="5">
        <v>0.01</v>
      </c>
      <c r="E463" s="2">
        <v>0</v>
      </c>
      <c r="F463" s="2" t="s">
        <v>921</v>
      </c>
      <c r="G463" s="2" t="s">
        <v>922</v>
      </c>
      <c r="H463" s="2" t="s">
        <v>2688</v>
      </c>
      <c r="I463" s="2" t="s">
        <v>2689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5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5">
        <v>1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</row>
    <row r="464" spans="1:28" ht="45" x14ac:dyDescent="0.25">
      <c r="A464" s="2">
        <v>463</v>
      </c>
      <c r="B464" s="5">
        <v>7.4468085106382975E-2</v>
      </c>
      <c r="C464" s="5">
        <v>0.13012048192771089</v>
      </c>
      <c r="D464" s="5">
        <v>6.9999999999999993E-3</v>
      </c>
      <c r="E464" s="5">
        <v>8.0370942812983005E-3</v>
      </c>
      <c r="F464" s="2" t="s">
        <v>923</v>
      </c>
      <c r="G464" s="2" t="s">
        <v>924</v>
      </c>
      <c r="H464" s="2" t="s">
        <v>2688</v>
      </c>
      <c r="I464" s="2" t="s">
        <v>2689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5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5">
        <v>1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 spans="1:28" ht="45" x14ac:dyDescent="0.25">
      <c r="A465" s="2">
        <v>464</v>
      </c>
      <c r="B465" s="5">
        <v>0.15638297872340429</v>
      </c>
      <c r="C465" s="5">
        <v>0.21084337349397589</v>
      </c>
      <c r="D465" s="5">
        <v>6.5000000000000002E-2</v>
      </c>
      <c r="E465" s="5">
        <v>8.3462132921174655E-3</v>
      </c>
      <c r="F465" s="2" t="s">
        <v>925</v>
      </c>
      <c r="G465" s="2" t="s">
        <v>926</v>
      </c>
      <c r="H465" s="2" t="s">
        <v>2688</v>
      </c>
      <c r="I465" s="2" t="s">
        <v>2689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5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5">
        <v>1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ht="30" x14ac:dyDescent="0.25">
      <c r="A466" s="2">
        <v>465</v>
      </c>
      <c r="B466" s="5">
        <v>0.1159574468085106</v>
      </c>
      <c r="C466" s="5">
        <v>0.26506024096385539</v>
      </c>
      <c r="D466" s="5">
        <v>1.7000000000000001E-2</v>
      </c>
      <c r="E466" s="2">
        <v>0</v>
      </c>
      <c r="F466" s="2" t="s">
        <v>927</v>
      </c>
      <c r="G466" s="2" t="s">
        <v>928</v>
      </c>
      <c r="H466" s="2" t="s">
        <v>2688</v>
      </c>
      <c r="I466" s="2" t="s">
        <v>2689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5">
        <v>1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5">
        <v>1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</row>
    <row r="467" spans="1:28" ht="30" x14ac:dyDescent="0.25">
      <c r="A467" s="2">
        <v>466</v>
      </c>
      <c r="B467" s="5">
        <v>8.723404255319149E-2</v>
      </c>
      <c r="C467" s="5">
        <v>0.2168674698795181</v>
      </c>
      <c r="D467" s="5">
        <v>0.01</v>
      </c>
      <c r="E467" s="5">
        <v>6.1823802163833079E-4</v>
      </c>
      <c r="F467" s="2" t="s">
        <v>929</v>
      </c>
      <c r="G467" s="2" t="s">
        <v>930</v>
      </c>
      <c r="H467" s="2" t="s">
        <v>2688</v>
      </c>
      <c r="I467" s="2" t="s">
        <v>2689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5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5">
        <v>1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 spans="1:28" ht="45" x14ac:dyDescent="0.25">
      <c r="A468" s="2">
        <v>467</v>
      </c>
      <c r="B468" s="5">
        <v>9.5744680851063829E-2</v>
      </c>
      <c r="C468" s="5">
        <v>0.24578313253012049</v>
      </c>
      <c r="D468" s="5">
        <v>9.0000000000000011E-3</v>
      </c>
      <c r="E468" s="2">
        <v>0</v>
      </c>
      <c r="F468" s="2" t="s">
        <v>931</v>
      </c>
      <c r="G468" s="2" t="s">
        <v>932</v>
      </c>
      <c r="H468" s="2" t="s">
        <v>2688</v>
      </c>
      <c r="I468" s="2" t="s">
        <v>2689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5">
        <v>1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5">
        <v>1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</row>
    <row r="469" spans="1:28" ht="30" x14ac:dyDescent="0.25">
      <c r="A469" s="2">
        <v>468</v>
      </c>
      <c r="B469" s="5">
        <v>0.26808510638297872</v>
      </c>
      <c r="C469" s="5">
        <v>0.2397590361445783</v>
      </c>
      <c r="D469" s="5">
        <v>0.191</v>
      </c>
      <c r="E469" s="2">
        <v>0</v>
      </c>
      <c r="F469" s="2" t="s">
        <v>933</v>
      </c>
      <c r="G469" s="2" t="s">
        <v>934</v>
      </c>
      <c r="H469" s="2" t="s">
        <v>2684</v>
      </c>
      <c r="I469" s="2" t="s">
        <v>2689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5">
        <v>1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5">
        <v>1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</row>
    <row r="470" spans="1:28" ht="45" x14ac:dyDescent="0.25">
      <c r="A470" s="2">
        <v>469</v>
      </c>
      <c r="B470" s="5">
        <v>0.1191489361702128</v>
      </c>
      <c r="C470" s="5">
        <v>0.24096385542168669</v>
      </c>
      <c r="D470" s="5">
        <v>0.03</v>
      </c>
      <c r="E470" s="2">
        <v>0</v>
      </c>
      <c r="F470" s="2" t="s">
        <v>935</v>
      </c>
      <c r="G470" s="2" t="s">
        <v>936</v>
      </c>
      <c r="H470" s="2" t="s">
        <v>2688</v>
      </c>
      <c r="I470" s="2" t="s">
        <v>2689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5">
        <v>1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5">
        <v>1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</row>
    <row r="471" spans="1:28" ht="30" x14ac:dyDescent="0.25">
      <c r="A471" s="2">
        <v>470</v>
      </c>
      <c r="B471" s="5">
        <v>0.1106382978723404</v>
      </c>
      <c r="C471" s="5">
        <v>0.18795180722891569</v>
      </c>
      <c r="D471" s="5">
        <v>3.2000000000000001E-2</v>
      </c>
      <c r="E471" s="5">
        <v>3.0911901081916542E-3</v>
      </c>
      <c r="F471" s="2" t="s">
        <v>937</v>
      </c>
      <c r="G471" s="2" t="s">
        <v>938</v>
      </c>
      <c r="H471" s="2" t="s">
        <v>2688</v>
      </c>
      <c r="I471" s="2" t="s">
        <v>2689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5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5">
        <v>1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</row>
    <row r="472" spans="1:28" ht="45" x14ac:dyDescent="0.25">
      <c r="A472" s="2">
        <v>471</v>
      </c>
      <c r="B472" s="5">
        <v>0.27446808510638299</v>
      </c>
      <c r="C472" s="5">
        <v>0.48554216867469879</v>
      </c>
      <c r="D472" s="5">
        <v>2.3E-2</v>
      </c>
      <c r="E472" s="5">
        <v>2.9211746522411128E-2</v>
      </c>
      <c r="F472" s="2" t="s">
        <v>939</v>
      </c>
      <c r="G472" s="2" t="s">
        <v>940</v>
      </c>
      <c r="H472" s="2" t="s">
        <v>2688</v>
      </c>
      <c r="I472" s="2" t="s">
        <v>2689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5">
        <v>1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5">
        <v>1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</row>
    <row r="473" spans="1:28" ht="45" x14ac:dyDescent="0.25">
      <c r="A473" s="2">
        <v>472</v>
      </c>
      <c r="B473" s="5">
        <v>0.1053191489361702</v>
      </c>
      <c r="C473" s="5">
        <v>0.2481927710843374</v>
      </c>
      <c r="D473" s="5">
        <v>1.4E-2</v>
      </c>
      <c r="E473" s="5">
        <v>1.3910355486862439E-3</v>
      </c>
      <c r="F473" s="2" t="s">
        <v>941</v>
      </c>
      <c r="G473" s="2" t="s">
        <v>942</v>
      </c>
      <c r="H473" s="2" t="s">
        <v>2688</v>
      </c>
      <c r="I473" s="2" t="s">
        <v>2689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5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5">
        <v>1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</row>
    <row r="474" spans="1:28" ht="30" x14ac:dyDescent="0.25">
      <c r="A474" s="2">
        <v>473</v>
      </c>
      <c r="B474" s="5">
        <v>9.1489361702127667E-2</v>
      </c>
      <c r="C474" s="5">
        <v>0.19277108433734941</v>
      </c>
      <c r="D474" s="5">
        <v>0.02</v>
      </c>
      <c r="E474" s="2">
        <v>0</v>
      </c>
      <c r="F474" s="2" t="s">
        <v>943</v>
      </c>
      <c r="G474" s="2" t="s">
        <v>944</v>
      </c>
      <c r="H474" s="2" t="s">
        <v>2688</v>
      </c>
      <c r="I474" s="2" t="s">
        <v>2689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5">
        <v>1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5">
        <v>1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</row>
    <row r="475" spans="1:28" ht="90" x14ac:dyDescent="0.25">
      <c r="A475" s="2">
        <v>474</v>
      </c>
      <c r="B475" s="5">
        <v>0.2</v>
      </c>
      <c r="C475" s="5">
        <v>0.2325301204819277</v>
      </c>
      <c r="D475" s="5">
        <v>0.122</v>
      </c>
      <c r="E475" s="2">
        <v>0</v>
      </c>
      <c r="F475" s="2" t="s">
        <v>945</v>
      </c>
      <c r="G475" s="2" t="s">
        <v>946</v>
      </c>
      <c r="H475" s="2" t="s">
        <v>2684</v>
      </c>
      <c r="I475" s="2" t="s">
        <v>2689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5">
        <v>1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5">
        <v>1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</row>
    <row r="476" spans="1:28" ht="45" x14ac:dyDescent="0.25">
      <c r="A476" s="2">
        <v>475</v>
      </c>
      <c r="B476" s="5">
        <v>0.22234042553191491</v>
      </c>
      <c r="C476" s="5">
        <v>0.18313253012048189</v>
      </c>
      <c r="D476" s="5">
        <v>0.113</v>
      </c>
      <c r="E476" s="5">
        <v>1.823802163833076E-2</v>
      </c>
      <c r="F476" s="2" t="s">
        <v>947</v>
      </c>
      <c r="G476" s="2" t="s">
        <v>948</v>
      </c>
      <c r="H476" s="2" t="s">
        <v>2683</v>
      </c>
      <c r="I476" s="2" t="s">
        <v>2689</v>
      </c>
      <c r="J476" s="2">
        <v>0</v>
      </c>
      <c r="K476" s="2">
        <v>0</v>
      </c>
      <c r="L476" s="2">
        <v>0</v>
      </c>
      <c r="M476" s="5">
        <v>1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5">
        <v>1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</row>
    <row r="477" spans="1:28" ht="30" x14ac:dyDescent="0.25">
      <c r="A477" s="2">
        <v>476</v>
      </c>
      <c r="B477" s="5">
        <v>0.1031914893617021</v>
      </c>
      <c r="C477" s="5">
        <v>0.21566265060240961</v>
      </c>
      <c r="D477" s="5">
        <v>0.02</v>
      </c>
      <c r="E477" s="5">
        <v>6.1823802163833079E-4</v>
      </c>
      <c r="F477" s="2" t="s">
        <v>949</v>
      </c>
      <c r="G477" s="2" t="s">
        <v>950</v>
      </c>
      <c r="H477" s="2" t="s">
        <v>2688</v>
      </c>
      <c r="I477" s="2" t="s">
        <v>2689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5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5">
        <v>1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 spans="1:28" ht="45" x14ac:dyDescent="0.25">
      <c r="A478" s="2">
        <v>477</v>
      </c>
      <c r="B478" s="5">
        <v>0.63617021276595742</v>
      </c>
      <c r="C478" s="5">
        <v>0.89518072289156625</v>
      </c>
      <c r="D478" s="5">
        <v>0.26900000000000002</v>
      </c>
      <c r="E478" s="5">
        <v>1.4219474497681611E-2</v>
      </c>
      <c r="F478" s="2" t="s">
        <v>951</v>
      </c>
      <c r="G478" s="2" t="s">
        <v>646</v>
      </c>
      <c r="H478" s="2" t="s">
        <v>2684</v>
      </c>
      <c r="I478" s="2" t="s">
        <v>2689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5">
        <v>1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5">
        <v>1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</row>
    <row r="479" spans="1:28" ht="45" x14ac:dyDescent="0.25">
      <c r="A479" s="2">
        <v>478</v>
      </c>
      <c r="B479" s="5">
        <v>0.61914893617021283</v>
      </c>
      <c r="C479" s="5">
        <v>0.82289156626506021</v>
      </c>
      <c r="D479" s="5">
        <v>0.152</v>
      </c>
      <c r="E479" s="5">
        <v>5.7496136012364772E-2</v>
      </c>
      <c r="F479" s="2" t="s">
        <v>952</v>
      </c>
      <c r="G479" s="2" t="s">
        <v>953</v>
      </c>
      <c r="H479" s="2" t="s">
        <v>2688</v>
      </c>
      <c r="I479" s="2" t="s">
        <v>2689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5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5">
        <v>1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</row>
    <row r="480" spans="1:28" ht="30" x14ac:dyDescent="0.25">
      <c r="A480" s="2">
        <v>479</v>
      </c>
      <c r="B480" s="5">
        <v>0.44255319148936167</v>
      </c>
      <c r="C480" s="5">
        <v>0.56506024096385543</v>
      </c>
      <c r="D480" s="5">
        <v>0.23899999999999999</v>
      </c>
      <c r="E480" s="2">
        <v>0</v>
      </c>
      <c r="F480" s="2" t="s">
        <v>954</v>
      </c>
      <c r="G480" s="2" t="s">
        <v>955</v>
      </c>
      <c r="H480" s="2" t="s">
        <v>2684</v>
      </c>
      <c r="I480" s="2" t="s">
        <v>2689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5">
        <v>1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5">
        <v>1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</row>
    <row r="481" spans="1:28" ht="30" x14ac:dyDescent="0.25">
      <c r="A481" s="2">
        <v>480</v>
      </c>
      <c r="B481" s="5">
        <v>0.12872340425531911</v>
      </c>
      <c r="C481" s="5">
        <v>0.26144578313253009</v>
      </c>
      <c r="D481" s="5">
        <v>2.8000000000000001E-2</v>
      </c>
      <c r="E481" s="5">
        <v>1.236476043276662E-3</v>
      </c>
      <c r="F481" s="2" t="s">
        <v>956</v>
      </c>
      <c r="G481" s="2" t="s">
        <v>957</v>
      </c>
      <c r="H481" s="2" t="s">
        <v>2688</v>
      </c>
      <c r="I481" s="2" t="s">
        <v>2689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5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5">
        <v>1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</row>
    <row r="482" spans="1:28" ht="30" x14ac:dyDescent="0.25">
      <c r="A482" s="2">
        <v>481</v>
      </c>
      <c r="B482" s="5">
        <v>9.4680851063829785E-2</v>
      </c>
      <c r="C482" s="5">
        <v>0.2253012048192771</v>
      </c>
      <c r="D482" s="5">
        <v>0.01</v>
      </c>
      <c r="E482" s="2">
        <v>0</v>
      </c>
      <c r="F482" s="2" t="s">
        <v>958</v>
      </c>
      <c r="G482" s="2" t="s">
        <v>959</v>
      </c>
      <c r="H482" s="2" t="s">
        <v>2688</v>
      </c>
      <c r="I482" s="2" t="s">
        <v>2689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5">
        <v>1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5">
        <v>1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</row>
    <row r="483" spans="1:28" ht="60" x14ac:dyDescent="0.25">
      <c r="A483" s="2">
        <v>482</v>
      </c>
      <c r="B483" s="5">
        <v>0.1638297872340426</v>
      </c>
      <c r="C483" s="5">
        <v>0.2024096385542169</v>
      </c>
      <c r="D483" s="5">
        <v>0.05</v>
      </c>
      <c r="E483" s="5">
        <v>1.6228748068006182E-2</v>
      </c>
      <c r="F483" s="2" t="s">
        <v>960</v>
      </c>
      <c r="G483" s="2" t="s">
        <v>961</v>
      </c>
      <c r="H483" s="2" t="s">
        <v>2688</v>
      </c>
      <c r="I483" s="2" t="s">
        <v>2689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5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5">
        <v>1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</row>
    <row r="484" spans="1:28" ht="45" x14ac:dyDescent="0.25">
      <c r="A484" s="2">
        <v>483</v>
      </c>
      <c r="B484" s="5">
        <v>0.13297872340425529</v>
      </c>
      <c r="C484" s="5">
        <v>0.25662650602409642</v>
      </c>
      <c r="D484" s="5">
        <v>3.4000000000000002E-2</v>
      </c>
      <c r="E484" s="5">
        <v>3.4003091190108188E-3</v>
      </c>
      <c r="F484" s="2" t="s">
        <v>962</v>
      </c>
      <c r="G484" s="2" t="s">
        <v>963</v>
      </c>
      <c r="H484" s="2" t="s">
        <v>2688</v>
      </c>
      <c r="I484" s="2" t="s">
        <v>2689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5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5">
        <v>1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</row>
    <row r="485" spans="1:28" ht="45" x14ac:dyDescent="0.25">
      <c r="A485" s="2">
        <v>484</v>
      </c>
      <c r="B485" s="5">
        <v>0.16170212765957451</v>
      </c>
      <c r="C485" s="5">
        <v>0.21204819277108439</v>
      </c>
      <c r="D485" s="5">
        <v>6.0999999999999999E-2</v>
      </c>
      <c r="E485" s="5">
        <v>1.035548686244204E-2</v>
      </c>
      <c r="F485" s="2" t="s">
        <v>964</v>
      </c>
      <c r="G485" s="2" t="s">
        <v>965</v>
      </c>
      <c r="H485" s="2" t="s">
        <v>2688</v>
      </c>
      <c r="I485" s="2" t="s">
        <v>2689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5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5">
        <v>1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</row>
    <row r="486" spans="1:28" ht="45" x14ac:dyDescent="0.25">
      <c r="A486" s="2">
        <v>485</v>
      </c>
      <c r="B486" s="5">
        <v>0.1276595744680851</v>
      </c>
      <c r="C486" s="5">
        <v>0.17228915662650601</v>
      </c>
      <c r="D486" s="5">
        <v>4.9000000000000002E-2</v>
      </c>
      <c r="E486" s="5">
        <v>7.1097372488408027E-3</v>
      </c>
      <c r="F486" s="2" t="s">
        <v>966</v>
      </c>
      <c r="G486" s="2" t="s">
        <v>967</v>
      </c>
      <c r="H486" s="2" t="s">
        <v>2683</v>
      </c>
      <c r="I486" s="2" t="s">
        <v>2689</v>
      </c>
      <c r="J486" s="2">
        <v>0</v>
      </c>
      <c r="K486" s="2">
        <v>0</v>
      </c>
      <c r="L486" s="2">
        <v>0</v>
      </c>
      <c r="M486" s="5">
        <v>1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5">
        <v>1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</row>
    <row r="487" spans="1:28" ht="45" x14ac:dyDescent="0.25">
      <c r="A487" s="2">
        <v>486</v>
      </c>
      <c r="B487" s="5">
        <v>0.1531914893617021</v>
      </c>
      <c r="C487" s="5">
        <v>0.21084337349397589</v>
      </c>
      <c r="D487" s="5">
        <v>6.3E-2</v>
      </c>
      <c r="E487" s="5">
        <v>6.646058732612055E-3</v>
      </c>
      <c r="F487" s="2" t="s">
        <v>968</v>
      </c>
      <c r="G487" s="2" t="s">
        <v>969</v>
      </c>
      <c r="H487" s="2" t="s">
        <v>2688</v>
      </c>
      <c r="I487" s="2" t="s">
        <v>2689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5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5">
        <v>1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</row>
    <row r="488" spans="1:28" ht="45" x14ac:dyDescent="0.25">
      <c r="A488" s="2">
        <v>487</v>
      </c>
      <c r="B488" s="5">
        <v>0.1404255319148936</v>
      </c>
      <c r="C488" s="5">
        <v>0.20481927710843381</v>
      </c>
      <c r="D488" s="5">
        <v>6.6000000000000003E-2</v>
      </c>
      <c r="E488" s="5">
        <v>1.70015455950541E-3</v>
      </c>
      <c r="F488" s="2" t="s">
        <v>970</v>
      </c>
      <c r="G488" s="2" t="s">
        <v>971</v>
      </c>
      <c r="H488" s="2" t="s">
        <v>2688</v>
      </c>
      <c r="I488" s="2" t="s">
        <v>2689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5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5">
        <v>1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</row>
    <row r="489" spans="1:28" ht="60" x14ac:dyDescent="0.25">
      <c r="A489" s="2">
        <v>488</v>
      </c>
      <c r="B489" s="5">
        <v>0.1659574468085106</v>
      </c>
      <c r="C489" s="5">
        <v>0.33734939759036148</v>
      </c>
      <c r="D489" s="5">
        <v>0.04</v>
      </c>
      <c r="E489" s="5">
        <v>3.0911901081916542E-3</v>
      </c>
      <c r="F489" s="2" t="s">
        <v>972</v>
      </c>
      <c r="G489" s="2" t="s">
        <v>973</v>
      </c>
      <c r="H489" s="2" t="s">
        <v>2688</v>
      </c>
      <c r="I489" s="2" t="s">
        <v>2689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5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5">
        <v>1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</row>
    <row r="490" spans="1:28" ht="30" x14ac:dyDescent="0.25">
      <c r="A490" s="2">
        <v>489</v>
      </c>
      <c r="B490" s="5">
        <v>0.18723404255319151</v>
      </c>
      <c r="C490" s="5">
        <v>0.38554216867469882</v>
      </c>
      <c r="D490" s="5">
        <v>4.3999999999999997E-2</v>
      </c>
      <c r="E490" s="2">
        <v>0</v>
      </c>
      <c r="F490" s="2" t="s">
        <v>974</v>
      </c>
      <c r="G490" s="2" t="s">
        <v>975</v>
      </c>
      <c r="H490" s="2" t="s">
        <v>2688</v>
      </c>
      <c r="I490" s="2" t="s">
        <v>2689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5">
        <v>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5">
        <v>1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</row>
    <row r="491" spans="1:28" ht="45" x14ac:dyDescent="0.25">
      <c r="A491" s="2">
        <v>490</v>
      </c>
      <c r="B491" s="5">
        <v>0.1670212765957447</v>
      </c>
      <c r="C491" s="5">
        <v>0.33734939759036148</v>
      </c>
      <c r="D491" s="5">
        <v>4.2000000000000003E-2</v>
      </c>
      <c r="E491" s="5">
        <v>2.7820710973724878E-3</v>
      </c>
      <c r="F491" s="2" t="s">
        <v>976</v>
      </c>
      <c r="G491" s="2" t="s">
        <v>977</v>
      </c>
      <c r="H491" s="2" t="s">
        <v>2688</v>
      </c>
      <c r="I491" s="2" t="s">
        <v>2689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5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5">
        <v>1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</row>
    <row r="492" spans="1:28" ht="45" x14ac:dyDescent="0.25">
      <c r="A492" s="2">
        <v>491</v>
      </c>
      <c r="B492" s="5">
        <v>0.18085106382978719</v>
      </c>
      <c r="C492" s="5">
        <v>0.37349397590361449</v>
      </c>
      <c r="D492" s="5">
        <v>4.2000000000000003E-2</v>
      </c>
      <c r="E492" s="2">
        <v>0</v>
      </c>
      <c r="F492" s="2" t="s">
        <v>978</v>
      </c>
      <c r="G492" s="2" t="s">
        <v>979</v>
      </c>
      <c r="H492" s="2" t="s">
        <v>2688</v>
      </c>
      <c r="I492" s="2" t="s">
        <v>2689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5">
        <v>1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5">
        <v>1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</row>
    <row r="493" spans="1:28" ht="30" x14ac:dyDescent="0.25">
      <c r="A493" s="2">
        <v>492</v>
      </c>
      <c r="B493" s="5">
        <v>0.1627659574468085</v>
      </c>
      <c r="C493" s="5">
        <v>0.36144578313253012</v>
      </c>
      <c r="D493" s="5">
        <v>2.8000000000000001E-2</v>
      </c>
      <c r="E493" s="2">
        <v>0</v>
      </c>
      <c r="F493" s="2" t="s">
        <v>980</v>
      </c>
      <c r="G493" s="2" t="s">
        <v>981</v>
      </c>
      <c r="H493" s="2" t="s">
        <v>2688</v>
      </c>
      <c r="I493" s="2" t="s">
        <v>2689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5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5">
        <v>1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</row>
    <row r="494" spans="1:28" ht="30" x14ac:dyDescent="0.25">
      <c r="A494" s="2">
        <v>493</v>
      </c>
      <c r="B494" s="5">
        <v>0.15106382978723401</v>
      </c>
      <c r="C494" s="5">
        <v>0.3253012048192771</v>
      </c>
      <c r="D494" s="5">
        <v>0.03</v>
      </c>
      <c r="E494" s="2">
        <v>0</v>
      </c>
      <c r="F494" s="2" t="s">
        <v>982</v>
      </c>
      <c r="G494" s="2" t="s">
        <v>983</v>
      </c>
      <c r="H494" s="2" t="s">
        <v>2688</v>
      </c>
      <c r="I494" s="2" t="s">
        <v>2689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5">
        <v>1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5">
        <v>1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</row>
    <row r="495" spans="1:28" ht="45" x14ac:dyDescent="0.25">
      <c r="A495" s="2">
        <v>494</v>
      </c>
      <c r="B495" s="5">
        <v>0.44148936170212771</v>
      </c>
      <c r="C495" s="5">
        <v>0.73855421686746991</v>
      </c>
      <c r="D495" s="5">
        <v>0.17599999999999999</v>
      </c>
      <c r="E495" s="5">
        <v>4.4822256568778978E-3</v>
      </c>
      <c r="F495" s="2" t="s">
        <v>984</v>
      </c>
      <c r="G495" s="2" t="s">
        <v>985</v>
      </c>
      <c r="H495" s="2" t="s">
        <v>2688</v>
      </c>
      <c r="I495" s="2" t="s">
        <v>2689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5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5">
        <v>1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</row>
    <row r="496" spans="1:28" ht="30" x14ac:dyDescent="0.25">
      <c r="A496" s="2">
        <v>495</v>
      </c>
      <c r="B496" s="5">
        <v>0.56808510638297871</v>
      </c>
      <c r="C496" s="5">
        <v>0.48433734939759038</v>
      </c>
      <c r="D496" s="5">
        <v>0.39300000000000002</v>
      </c>
      <c r="E496" s="5">
        <v>7.573415765069552E-3</v>
      </c>
      <c r="F496" s="2" t="s">
        <v>986</v>
      </c>
      <c r="G496" s="2" t="s">
        <v>987</v>
      </c>
      <c r="H496" s="2" t="s">
        <v>2688</v>
      </c>
      <c r="I496" s="2" t="s">
        <v>2689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5">
        <v>1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5">
        <v>1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</row>
    <row r="497" spans="1:28" ht="30" x14ac:dyDescent="0.25">
      <c r="A497" s="2">
        <v>496</v>
      </c>
      <c r="B497" s="5">
        <v>0.30212765957446808</v>
      </c>
      <c r="C497" s="5">
        <v>0.41084337349397593</v>
      </c>
      <c r="D497" s="5">
        <v>9.9000000000000005E-2</v>
      </c>
      <c r="E497" s="5">
        <v>2.2565687789799071E-2</v>
      </c>
      <c r="F497" s="2" t="s">
        <v>988</v>
      </c>
      <c r="G497" s="2" t="s">
        <v>989</v>
      </c>
      <c r="H497" s="2" t="s">
        <v>2688</v>
      </c>
      <c r="I497" s="2" t="s">
        <v>2689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5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5">
        <v>1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</row>
    <row r="498" spans="1:28" ht="30" x14ac:dyDescent="0.25">
      <c r="A498" s="2">
        <v>497</v>
      </c>
      <c r="B498" s="5">
        <v>0.1202127659574468</v>
      </c>
      <c r="C498" s="5">
        <v>0.1674698795180723</v>
      </c>
      <c r="D498" s="5">
        <v>4.9000000000000002E-2</v>
      </c>
      <c r="E498" s="5">
        <v>5.2550231839258114E-3</v>
      </c>
      <c r="F498" s="2" t="s">
        <v>990</v>
      </c>
      <c r="G498" s="2" t="s">
        <v>991</v>
      </c>
      <c r="H498" s="2" t="s">
        <v>2688</v>
      </c>
      <c r="I498" s="2" t="s">
        <v>2689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5">
        <v>1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5">
        <v>1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</row>
    <row r="499" spans="1:28" ht="60" x14ac:dyDescent="0.25">
      <c r="A499" s="2">
        <v>498</v>
      </c>
      <c r="B499" s="5">
        <v>0.25531914893617019</v>
      </c>
      <c r="C499" s="5">
        <v>0.26144578313253009</v>
      </c>
      <c r="D499" s="5">
        <v>7.6999999999999999E-2</v>
      </c>
      <c r="E499" s="5">
        <v>3.1993817619783607E-2</v>
      </c>
      <c r="F499" s="2" t="s">
        <v>992</v>
      </c>
      <c r="G499" s="2" t="s">
        <v>993</v>
      </c>
      <c r="H499" s="2" t="s">
        <v>2688</v>
      </c>
      <c r="I499" s="2" t="s">
        <v>2689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5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5">
        <v>1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</row>
    <row r="500" spans="1:28" ht="45" x14ac:dyDescent="0.25">
      <c r="A500" s="2">
        <v>499</v>
      </c>
      <c r="B500" s="5">
        <v>0.1159574468085106</v>
      </c>
      <c r="C500" s="5">
        <v>0.2397590361445783</v>
      </c>
      <c r="D500" s="5">
        <v>1.7999999999999999E-2</v>
      </c>
      <c r="E500" s="5">
        <v>5.2550231839258114E-3</v>
      </c>
      <c r="F500" s="2" t="s">
        <v>994</v>
      </c>
      <c r="G500" s="2" t="s">
        <v>995</v>
      </c>
      <c r="H500" s="2" t="s">
        <v>2688</v>
      </c>
      <c r="I500" s="2" t="s">
        <v>2689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5">
        <v>1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5">
        <v>1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</row>
    <row r="501" spans="1:28" ht="45" x14ac:dyDescent="0.25">
      <c r="A501" s="2">
        <v>500</v>
      </c>
      <c r="B501" s="5">
        <v>0.1202127659574468</v>
      </c>
      <c r="C501" s="5">
        <v>0.20481927710843381</v>
      </c>
      <c r="D501" s="5">
        <v>4.4999999999999998E-2</v>
      </c>
      <c r="E501" s="2">
        <v>0</v>
      </c>
      <c r="F501" s="2" t="s">
        <v>996</v>
      </c>
      <c r="G501" s="2" t="s">
        <v>997</v>
      </c>
      <c r="H501" s="2" t="s">
        <v>2688</v>
      </c>
      <c r="I501" s="2" t="s">
        <v>2689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5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5">
        <v>1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</row>
    <row r="502" spans="1:28" ht="45" x14ac:dyDescent="0.25">
      <c r="A502" s="2">
        <v>501</v>
      </c>
      <c r="B502" s="5">
        <v>0.20638297872340419</v>
      </c>
      <c r="C502" s="5">
        <v>0.45783132530120491</v>
      </c>
      <c r="D502" s="5">
        <v>3.5000000000000003E-2</v>
      </c>
      <c r="E502" s="2">
        <v>0</v>
      </c>
      <c r="F502" s="2" t="s">
        <v>998</v>
      </c>
      <c r="G502" s="2" t="s">
        <v>999</v>
      </c>
      <c r="H502" s="2" t="s">
        <v>2688</v>
      </c>
      <c r="I502" s="2" t="s">
        <v>2689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5">
        <v>1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5">
        <v>1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</row>
    <row r="503" spans="1:28" ht="30" x14ac:dyDescent="0.25">
      <c r="A503" s="2">
        <v>502</v>
      </c>
      <c r="B503" s="5">
        <v>0.14680851063829789</v>
      </c>
      <c r="C503" s="5">
        <v>0.3253012048192771</v>
      </c>
      <c r="D503" s="5">
        <v>3.3000000000000002E-2</v>
      </c>
      <c r="E503" s="2">
        <v>0</v>
      </c>
      <c r="F503" s="2" t="s">
        <v>1000</v>
      </c>
      <c r="G503" s="2" t="s">
        <v>1001</v>
      </c>
      <c r="H503" s="2" t="s">
        <v>2688</v>
      </c>
      <c r="I503" s="2" t="s">
        <v>2689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5">
        <v>1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5">
        <v>1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</row>
    <row r="504" spans="1:28" ht="60" x14ac:dyDescent="0.25">
      <c r="A504" s="2">
        <v>503</v>
      </c>
      <c r="B504" s="5">
        <v>0.1063829787234043</v>
      </c>
      <c r="C504" s="5">
        <v>0.22650602409638559</v>
      </c>
      <c r="D504" s="5">
        <v>2.1999999999999999E-2</v>
      </c>
      <c r="E504" s="2">
        <v>0</v>
      </c>
      <c r="F504" s="2" t="s">
        <v>1002</v>
      </c>
      <c r="G504" s="2" t="s">
        <v>1003</v>
      </c>
      <c r="H504" s="2" t="s">
        <v>2688</v>
      </c>
      <c r="I504" s="2" t="s">
        <v>2689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5">
        <v>1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5">
        <v>1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</row>
    <row r="505" spans="1:28" ht="30" x14ac:dyDescent="0.25">
      <c r="A505" s="2">
        <v>504</v>
      </c>
      <c r="B505" s="5">
        <v>0.30744680851063833</v>
      </c>
      <c r="C505" s="5">
        <v>0.45783132530120491</v>
      </c>
      <c r="D505" s="5">
        <v>0.14000000000000001</v>
      </c>
      <c r="E505" s="2">
        <v>0</v>
      </c>
      <c r="F505" s="2" t="s">
        <v>1004</v>
      </c>
      <c r="G505" s="2" t="s">
        <v>1005</v>
      </c>
      <c r="H505" s="2" t="s">
        <v>2688</v>
      </c>
      <c r="I505" s="2" t="s">
        <v>2689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5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5">
        <v>1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</row>
    <row r="506" spans="1:28" ht="45" x14ac:dyDescent="0.25">
      <c r="A506" s="2">
        <v>505</v>
      </c>
      <c r="B506" s="5">
        <v>8.9361702127659579E-2</v>
      </c>
      <c r="C506" s="5">
        <v>0.18313253012048189</v>
      </c>
      <c r="D506" s="5">
        <v>6.0000000000000001E-3</v>
      </c>
      <c r="E506" s="5">
        <v>7.2642967542503869E-3</v>
      </c>
      <c r="F506" s="2" t="s">
        <v>1006</v>
      </c>
      <c r="G506" s="2" t="s">
        <v>1007</v>
      </c>
      <c r="H506" s="2" t="s">
        <v>2688</v>
      </c>
      <c r="I506" s="2" t="s">
        <v>2689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5">
        <v>1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5">
        <v>1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</row>
    <row r="507" spans="1:28" ht="30" x14ac:dyDescent="0.25">
      <c r="A507" s="2">
        <v>506</v>
      </c>
      <c r="B507" s="5">
        <v>8.6170212765957446E-2</v>
      </c>
      <c r="C507" s="5">
        <v>0.13734939759036149</v>
      </c>
      <c r="D507" s="5">
        <v>1.9E-2</v>
      </c>
      <c r="E507" s="5">
        <v>5.8732612055641424E-3</v>
      </c>
      <c r="F507" s="2" t="s">
        <v>1008</v>
      </c>
      <c r="G507" s="2" t="s">
        <v>208</v>
      </c>
      <c r="H507" s="2" t="s">
        <v>2688</v>
      </c>
      <c r="I507" s="2" t="s">
        <v>2689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5">
        <v>1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5">
        <v>1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</row>
    <row r="508" spans="1:28" ht="30" x14ac:dyDescent="0.25">
      <c r="A508" s="2">
        <v>507</v>
      </c>
      <c r="B508" s="5">
        <v>0.2117021276595745</v>
      </c>
      <c r="C508" s="5">
        <v>0.41084337349397593</v>
      </c>
      <c r="D508" s="5">
        <v>3.7999999999999999E-2</v>
      </c>
      <c r="E508" s="5">
        <v>1.097372488408037E-2</v>
      </c>
      <c r="F508" s="2" t="s">
        <v>1009</v>
      </c>
      <c r="G508" s="2" t="s">
        <v>1010</v>
      </c>
      <c r="H508" s="2" t="s">
        <v>2688</v>
      </c>
      <c r="I508" s="2" t="s">
        <v>2689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5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5">
        <v>1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</row>
    <row r="509" spans="1:28" ht="30" x14ac:dyDescent="0.25">
      <c r="A509" s="2">
        <v>508</v>
      </c>
      <c r="B509" s="5">
        <v>0.1180851063829787</v>
      </c>
      <c r="C509" s="5">
        <v>0.16024096385542169</v>
      </c>
      <c r="D509" s="5">
        <v>3.4000000000000002E-2</v>
      </c>
      <c r="E509" s="5">
        <v>1.035548686244204E-2</v>
      </c>
      <c r="F509" s="2" t="s">
        <v>1011</v>
      </c>
      <c r="G509" s="2" t="s">
        <v>1012</v>
      </c>
      <c r="H509" s="2" t="s">
        <v>2688</v>
      </c>
      <c r="I509" s="2" t="s">
        <v>2689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5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5">
        <v>1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</row>
    <row r="510" spans="1:28" ht="30" x14ac:dyDescent="0.25">
      <c r="A510" s="2">
        <v>509</v>
      </c>
      <c r="B510" s="5">
        <v>9.3617021276595741E-2</v>
      </c>
      <c r="C510" s="5">
        <v>0.19156626506024099</v>
      </c>
      <c r="D510" s="5">
        <v>9.0000000000000011E-3</v>
      </c>
      <c r="E510" s="5">
        <v>6.33693972179289E-3</v>
      </c>
      <c r="F510" s="2" t="s">
        <v>1013</v>
      </c>
      <c r="G510" s="2" t="s">
        <v>1014</v>
      </c>
      <c r="H510" s="2" t="s">
        <v>2683</v>
      </c>
      <c r="I510" s="2" t="s">
        <v>2689</v>
      </c>
      <c r="J510" s="2">
        <v>0</v>
      </c>
      <c r="K510" s="2">
        <v>0</v>
      </c>
      <c r="L510" s="2">
        <v>0</v>
      </c>
      <c r="M510" s="5">
        <v>1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5">
        <v>1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</row>
    <row r="511" spans="1:28" ht="30" x14ac:dyDescent="0.25">
      <c r="A511" s="2">
        <v>510</v>
      </c>
      <c r="B511" s="5">
        <v>0.10212765957446809</v>
      </c>
      <c r="C511" s="5">
        <v>0.23493975903614461</v>
      </c>
      <c r="D511" s="5">
        <v>1.0999999999999999E-2</v>
      </c>
      <c r="E511" s="5">
        <v>3.0911901081916542E-3</v>
      </c>
      <c r="F511" s="2" t="s">
        <v>1015</v>
      </c>
      <c r="G511" s="2" t="s">
        <v>1016</v>
      </c>
      <c r="H511" s="2" t="s">
        <v>2688</v>
      </c>
      <c r="I511" s="2" t="s">
        <v>2689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5">
        <v>1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5">
        <v>1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</row>
    <row r="512" spans="1:28" ht="120" x14ac:dyDescent="0.25">
      <c r="A512" s="2">
        <v>511</v>
      </c>
      <c r="B512" s="5">
        <v>0.10106382978723399</v>
      </c>
      <c r="C512" s="5">
        <v>0.19036144578313249</v>
      </c>
      <c r="D512" s="5">
        <v>6.9999999999999993E-3</v>
      </c>
      <c r="E512" s="5">
        <v>1.004636785162288E-2</v>
      </c>
      <c r="F512" s="2" t="s">
        <v>1017</v>
      </c>
      <c r="G512" s="2" t="s">
        <v>1018</v>
      </c>
      <c r="H512" s="2" t="s">
        <v>2688</v>
      </c>
      <c r="I512" s="2" t="s">
        <v>2689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5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5">
        <v>1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</row>
    <row r="513" spans="1:28" ht="45" x14ac:dyDescent="0.25">
      <c r="A513" s="2">
        <v>512</v>
      </c>
      <c r="B513" s="5">
        <v>0.38085106382978717</v>
      </c>
      <c r="C513" s="5">
        <v>0.24939759036144579</v>
      </c>
      <c r="D513" s="5">
        <v>0.26400000000000001</v>
      </c>
      <c r="E513" s="5">
        <v>1.452859350850077E-2</v>
      </c>
      <c r="F513" s="2" t="s">
        <v>1019</v>
      </c>
      <c r="G513" s="2" t="s">
        <v>1020</v>
      </c>
      <c r="H513" s="2" t="s">
        <v>2696</v>
      </c>
      <c r="I513" s="2" t="s">
        <v>2698</v>
      </c>
      <c r="J513" s="2">
        <v>0</v>
      </c>
      <c r="K513" s="5">
        <v>1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5">
        <v>1</v>
      </c>
      <c r="AB513" s="2">
        <v>0</v>
      </c>
    </row>
    <row r="514" spans="1:28" ht="45" x14ac:dyDescent="0.25">
      <c r="A514" s="2">
        <v>513</v>
      </c>
      <c r="B514" s="5">
        <v>0.21702127659574469</v>
      </c>
      <c r="C514" s="5">
        <v>0.19277108433734941</v>
      </c>
      <c r="D514" s="5">
        <v>0.15</v>
      </c>
      <c r="E514" s="2">
        <v>0</v>
      </c>
      <c r="F514" s="2" t="s">
        <v>1021</v>
      </c>
      <c r="G514" s="2" t="s">
        <v>1022</v>
      </c>
      <c r="H514" s="2" t="s">
        <v>2688</v>
      </c>
      <c r="I514" s="2" t="s">
        <v>2689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5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5">
        <v>1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</row>
    <row r="515" spans="1:28" ht="45" x14ac:dyDescent="0.25">
      <c r="A515" s="2">
        <v>514</v>
      </c>
      <c r="B515" s="5">
        <v>0.1074468085106383</v>
      </c>
      <c r="C515" s="5">
        <v>0.1819277108433735</v>
      </c>
      <c r="D515" s="5">
        <v>4.0999999999999988E-2</v>
      </c>
      <c r="E515" s="5">
        <v>1.5455950540958271E-3</v>
      </c>
      <c r="F515" s="2" t="s">
        <v>1023</v>
      </c>
      <c r="G515" s="2" t="s">
        <v>1024</v>
      </c>
      <c r="H515" s="2" t="s">
        <v>2688</v>
      </c>
      <c r="I515" s="2" t="s">
        <v>2689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5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5">
        <v>1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</row>
    <row r="516" spans="1:28" ht="45" x14ac:dyDescent="0.25">
      <c r="A516" s="2">
        <v>515</v>
      </c>
      <c r="B516" s="5">
        <v>0.33617021276595738</v>
      </c>
      <c r="C516" s="5">
        <v>0.72409638554216871</v>
      </c>
      <c r="D516" s="5">
        <v>6.5000000000000002E-2</v>
      </c>
      <c r="E516" s="5">
        <v>3.4621329211746522E-2</v>
      </c>
      <c r="F516" s="2" t="s">
        <v>1025</v>
      </c>
      <c r="G516" s="2" t="s">
        <v>1026</v>
      </c>
      <c r="H516" s="2" t="s">
        <v>2694</v>
      </c>
      <c r="I516" s="2" t="s">
        <v>2689</v>
      </c>
      <c r="J516" s="5">
        <v>1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5">
        <v>1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</row>
    <row r="517" spans="1:28" ht="90" x14ac:dyDescent="0.25">
      <c r="A517" s="2">
        <v>516</v>
      </c>
      <c r="B517" s="5">
        <v>0.1042553191489362</v>
      </c>
      <c r="C517" s="5">
        <v>0.236144578313253</v>
      </c>
      <c r="D517" s="5">
        <v>1.7000000000000001E-2</v>
      </c>
      <c r="E517" s="5">
        <v>1.5455950540958271E-3</v>
      </c>
      <c r="F517" s="2" t="s">
        <v>1027</v>
      </c>
      <c r="G517" s="2" t="s">
        <v>1028</v>
      </c>
      <c r="H517" s="2" t="s">
        <v>2688</v>
      </c>
      <c r="I517" s="2" t="s">
        <v>2689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5">
        <v>1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5">
        <v>1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</row>
    <row r="518" spans="1:28" ht="45" x14ac:dyDescent="0.25">
      <c r="A518" s="2">
        <v>517</v>
      </c>
      <c r="B518" s="5">
        <v>0.2946808510638298</v>
      </c>
      <c r="C518" s="5">
        <v>0.72289156626506024</v>
      </c>
      <c r="D518" s="5">
        <v>2.3E-2</v>
      </c>
      <c r="E518" s="5">
        <v>2.7820710973724878E-3</v>
      </c>
      <c r="F518" s="2" t="s">
        <v>1029</v>
      </c>
      <c r="G518" s="2" t="s">
        <v>1030</v>
      </c>
      <c r="H518" s="2" t="s">
        <v>2694</v>
      </c>
      <c r="I518" s="2" t="s">
        <v>2689</v>
      </c>
      <c r="J518" s="5">
        <v>1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5">
        <v>1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</row>
    <row r="519" spans="1:28" ht="90" x14ac:dyDescent="0.25">
      <c r="A519" s="2">
        <v>518</v>
      </c>
      <c r="B519" s="5">
        <v>0.18085106382978719</v>
      </c>
      <c r="C519" s="5">
        <v>0.40240963855421691</v>
      </c>
      <c r="D519" s="5">
        <v>0.03</v>
      </c>
      <c r="E519" s="2">
        <v>0</v>
      </c>
      <c r="F519" s="2" t="s">
        <v>1031</v>
      </c>
      <c r="G519" s="2" t="s">
        <v>1032</v>
      </c>
      <c r="H519" s="2" t="s">
        <v>2688</v>
      </c>
      <c r="I519" s="2" t="s">
        <v>2689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5">
        <v>1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5">
        <v>1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</row>
    <row r="520" spans="1:28" ht="45" x14ac:dyDescent="0.25">
      <c r="A520" s="2">
        <v>519</v>
      </c>
      <c r="B520" s="5">
        <v>0.35212765957446812</v>
      </c>
      <c r="C520" s="5">
        <v>0.8277108433734941</v>
      </c>
      <c r="D520" s="5">
        <v>4.2000000000000003E-2</v>
      </c>
      <c r="E520" s="2">
        <v>0</v>
      </c>
      <c r="F520" s="2" t="s">
        <v>1033</v>
      </c>
      <c r="G520" s="2" t="s">
        <v>1034</v>
      </c>
      <c r="H520" s="2" t="s">
        <v>2688</v>
      </c>
      <c r="I520" s="2" t="s">
        <v>2689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5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5">
        <v>1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</row>
    <row r="521" spans="1:28" ht="30" x14ac:dyDescent="0.25">
      <c r="A521" s="2">
        <v>520</v>
      </c>
      <c r="B521" s="5">
        <v>0.1531914893617021</v>
      </c>
      <c r="C521" s="5">
        <v>0.391566265060241</v>
      </c>
      <c r="D521" s="5">
        <v>6.0000000000000001E-3</v>
      </c>
      <c r="E521" s="2">
        <v>0</v>
      </c>
      <c r="F521" s="2" t="s">
        <v>1035</v>
      </c>
      <c r="G521" s="2" t="s">
        <v>1036</v>
      </c>
      <c r="H521" s="2" t="s">
        <v>2683</v>
      </c>
      <c r="I521" s="2" t="s">
        <v>2689</v>
      </c>
      <c r="J521" s="2">
        <v>0</v>
      </c>
      <c r="K521" s="2">
        <v>0</v>
      </c>
      <c r="L521" s="2">
        <v>0</v>
      </c>
      <c r="M521" s="5">
        <v>1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5">
        <v>1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</row>
    <row r="522" spans="1:28" ht="45" x14ac:dyDescent="0.25">
      <c r="A522" s="2">
        <v>521</v>
      </c>
      <c r="B522" s="5">
        <v>7.8723404255319152E-2</v>
      </c>
      <c r="C522" s="5">
        <v>0.1240963855421687</v>
      </c>
      <c r="D522" s="5">
        <v>1.4E-2</v>
      </c>
      <c r="E522" s="5">
        <v>6.33693972179289E-3</v>
      </c>
      <c r="F522" s="2" t="s">
        <v>1037</v>
      </c>
      <c r="G522" s="2" t="s">
        <v>1038</v>
      </c>
      <c r="H522" s="2" t="s">
        <v>2688</v>
      </c>
      <c r="I522" s="2" t="s">
        <v>2689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5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5">
        <v>1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</row>
    <row r="523" spans="1:28" ht="30" x14ac:dyDescent="0.25">
      <c r="A523" s="2">
        <v>522</v>
      </c>
      <c r="B523" s="5">
        <v>0.36914893617021283</v>
      </c>
      <c r="C523" s="5">
        <v>0.58795180722891571</v>
      </c>
      <c r="D523" s="5">
        <v>6.4000000000000001E-2</v>
      </c>
      <c r="E523" s="5">
        <v>3.0293663060278211E-2</v>
      </c>
      <c r="F523" s="2" t="s">
        <v>1039</v>
      </c>
      <c r="G523" s="2" t="s">
        <v>1040</v>
      </c>
      <c r="H523" s="2" t="s">
        <v>2694</v>
      </c>
      <c r="I523" s="2" t="s">
        <v>2689</v>
      </c>
      <c r="J523" s="5">
        <v>1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5">
        <v>1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</row>
    <row r="524" spans="1:28" ht="30" x14ac:dyDescent="0.25">
      <c r="A524" s="2">
        <v>523</v>
      </c>
      <c r="B524" s="5">
        <v>8.723404255319149E-2</v>
      </c>
      <c r="C524" s="5">
        <v>0.2096385542168675</v>
      </c>
      <c r="D524" s="5">
        <v>4.0000000000000001E-3</v>
      </c>
      <c r="E524" s="5">
        <v>3.5548686244204009E-3</v>
      </c>
      <c r="F524" s="2" t="s">
        <v>1041</v>
      </c>
      <c r="G524" s="2" t="s">
        <v>1042</v>
      </c>
      <c r="H524" s="2" t="s">
        <v>2688</v>
      </c>
      <c r="I524" s="2" t="s">
        <v>2689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5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5">
        <v>1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</row>
    <row r="525" spans="1:28" ht="30" x14ac:dyDescent="0.25">
      <c r="A525" s="2">
        <v>524</v>
      </c>
      <c r="B525" s="5">
        <v>0.1063829787234043</v>
      </c>
      <c r="C525" s="5">
        <v>0.16506024096385541</v>
      </c>
      <c r="D525" s="5">
        <v>1.4999999999999999E-2</v>
      </c>
      <c r="E525" s="5">
        <v>1.236476043276661E-2</v>
      </c>
      <c r="F525" s="2" t="s">
        <v>1043</v>
      </c>
      <c r="G525" s="2" t="s">
        <v>1044</v>
      </c>
      <c r="H525" s="2" t="s">
        <v>2688</v>
      </c>
      <c r="I525" s="2" t="s">
        <v>2689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5">
        <v>1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5">
        <v>1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</row>
    <row r="526" spans="1:28" x14ac:dyDescent="0.25">
      <c r="A526" s="2">
        <v>525</v>
      </c>
      <c r="B526" s="5">
        <v>0.10212765957446809</v>
      </c>
      <c r="C526" s="5">
        <v>0.23132530120481931</v>
      </c>
      <c r="D526" s="5">
        <v>0.02</v>
      </c>
      <c r="E526" s="5">
        <v>3.0911901081916539E-4</v>
      </c>
      <c r="F526" s="2" t="s">
        <v>1045</v>
      </c>
      <c r="G526" s="2" t="s">
        <v>1046</v>
      </c>
      <c r="H526" s="2" t="s">
        <v>2683</v>
      </c>
      <c r="I526" s="2" t="s">
        <v>2689</v>
      </c>
      <c r="J526" s="2">
        <v>0</v>
      </c>
      <c r="K526" s="2">
        <v>0</v>
      </c>
      <c r="L526" s="2">
        <v>0</v>
      </c>
      <c r="M526" s="5">
        <v>1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5">
        <v>1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</row>
    <row r="527" spans="1:28" ht="45" x14ac:dyDescent="0.25">
      <c r="A527" s="2">
        <v>526</v>
      </c>
      <c r="B527" s="5">
        <v>0.50425531914893618</v>
      </c>
      <c r="C527" s="5">
        <v>9.1566265060240959E-2</v>
      </c>
      <c r="D527" s="5">
        <v>0.216</v>
      </c>
      <c r="E527" s="5">
        <v>9.6290571870170011E-2</v>
      </c>
      <c r="F527" s="2" t="s">
        <v>1047</v>
      </c>
      <c r="G527" s="2" t="s">
        <v>1048</v>
      </c>
      <c r="H527" s="2" t="s">
        <v>2684</v>
      </c>
      <c r="I527" s="2" t="s">
        <v>2691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5">
        <v>1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5">
        <v>1</v>
      </c>
      <c r="Z527" s="2">
        <v>0</v>
      </c>
      <c r="AA527" s="2">
        <v>0</v>
      </c>
      <c r="AB527" s="2">
        <v>0</v>
      </c>
    </row>
    <row r="528" spans="1:28" ht="75" x14ac:dyDescent="0.25">
      <c r="A528" s="2">
        <v>527</v>
      </c>
      <c r="B528" s="5">
        <v>0.52765957446808509</v>
      </c>
      <c r="C528" s="5">
        <v>0.36506024096385548</v>
      </c>
      <c r="D528" s="5">
        <v>0.33500000000000002</v>
      </c>
      <c r="E528" s="5">
        <v>2.8438948995363211E-2</v>
      </c>
      <c r="F528" s="2" t="s">
        <v>1049</v>
      </c>
      <c r="G528" s="2" t="s">
        <v>1050</v>
      </c>
      <c r="H528" s="2" t="s">
        <v>2688</v>
      </c>
      <c r="I528" s="2" t="s">
        <v>2689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5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5">
        <v>1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</row>
    <row r="529" spans="1:28" ht="45" x14ac:dyDescent="0.25">
      <c r="A529" s="2">
        <v>528</v>
      </c>
      <c r="B529" s="5">
        <v>0.1659574468085106</v>
      </c>
      <c r="C529" s="5">
        <v>3.2530120481927723E-2</v>
      </c>
      <c r="D529" s="5">
        <v>1.2999999999999999E-2</v>
      </c>
      <c r="E529" s="5">
        <v>5.1468315301391031E-2</v>
      </c>
      <c r="F529" s="2" t="s">
        <v>1051</v>
      </c>
      <c r="G529" s="2" t="s">
        <v>1052</v>
      </c>
      <c r="H529" s="2" t="s">
        <v>2688</v>
      </c>
      <c r="I529" s="2" t="s">
        <v>2691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5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5">
        <v>1</v>
      </c>
      <c r="Z529" s="2">
        <v>0</v>
      </c>
      <c r="AA529" s="2">
        <v>0</v>
      </c>
      <c r="AB529" s="2">
        <v>0</v>
      </c>
    </row>
    <row r="530" spans="1:28" ht="30" x14ac:dyDescent="0.25">
      <c r="A530" s="2">
        <v>529</v>
      </c>
      <c r="B530" s="5">
        <v>0.38404255319148939</v>
      </c>
      <c r="C530" s="5">
        <v>0.10481927710843369</v>
      </c>
      <c r="D530" s="5">
        <v>4.4999999999999998E-2</v>
      </c>
      <c r="E530" s="5">
        <v>0.1119010819165379</v>
      </c>
      <c r="F530" s="2" t="s">
        <v>1053</v>
      </c>
      <c r="G530" s="2" t="s">
        <v>1054</v>
      </c>
      <c r="H530" s="2" t="s">
        <v>2688</v>
      </c>
      <c r="I530" s="2" t="s">
        <v>2691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5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5">
        <v>1</v>
      </c>
      <c r="Z530" s="2">
        <v>0</v>
      </c>
      <c r="AA530" s="2">
        <v>0</v>
      </c>
      <c r="AB530" s="2">
        <v>0</v>
      </c>
    </row>
    <row r="531" spans="1:28" ht="45" x14ac:dyDescent="0.25">
      <c r="A531" s="2">
        <v>530</v>
      </c>
      <c r="B531" s="5">
        <v>0.13723404255319149</v>
      </c>
      <c r="C531" s="5">
        <v>4.9397590361445781E-2</v>
      </c>
      <c r="D531" s="5">
        <v>1.2999999999999999E-2</v>
      </c>
      <c r="E531" s="5">
        <v>4.6831530139103558E-2</v>
      </c>
      <c r="F531" s="2" t="s">
        <v>1055</v>
      </c>
      <c r="G531" s="2" t="s">
        <v>1056</v>
      </c>
      <c r="H531" s="2" t="s">
        <v>2688</v>
      </c>
      <c r="I531" s="2" t="s">
        <v>2691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5">
        <v>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5">
        <v>1</v>
      </c>
      <c r="Z531" s="2">
        <v>0</v>
      </c>
      <c r="AA531" s="2">
        <v>0</v>
      </c>
      <c r="AB531" s="2">
        <v>0</v>
      </c>
    </row>
    <row r="532" spans="1:28" ht="75" x14ac:dyDescent="0.25">
      <c r="A532" s="2">
        <v>531</v>
      </c>
      <c r="B532" s="5">
        <v>0.32659574468085112</v>
      </c>
      <c r="C532" s="5">
        <v>9.5180722891566275E-2</v>
      </c>
      <c r="D532" s="5">
        <v>3.4000000000000002E-2</v>
      </c>
      <c r="E532" s="5">
        <v>9.8299845440494596E-2</v>
      </c>
      <c r="F532" s="2" t="s">
        <v>1057</v>
      </c>
      <c r="G532" s="2" t="s">
        <v>1058</v>
      </c>
      <c r="H532" s="2" t="s">
        <v>2688</v>
      </c>
      <c r="I532" s="2" t="s">
        <v>2691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5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5">
        <v>1</v>
      </c>
      <c r="Z532" s="2">
        <v>0</v>
      </c>
      <c r="AA532" s="2">
        <v>0</v>
      </c>
      <c r="AB532" s="2">
        <v>0</v>
      </c>
    </row>
    <row r="533" spans="1:28" ht="45" x14ac:dyDescent="0.25">
      <c r="A533" s="2">
        <v>532</v>
      </c>
      <c r="B533" s="5">
        <v>0.38936170212765958</v>
      </c>
      <c r="C533" s="5">
        <v>0.1180722891566265</v>
      </c>
      <c r="D533" s="5">
        <v>7.2999999999999995E-2</v>
      </c>
      <c r="E533" s="5">
        <v>0.1068006182380216</v>
      </c>
      <c r="F533" s="2" t="s">
        <v>1059</v>
      </c>
      <c r="G533" s="2" t="s">
        <v>1060</v>
      </c>
      <c r="H533" s="2" t="s">
        <v>2688</v>
      </c>
      <c r="I533" s="2" t="s">
        <v>2691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5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5">
        <v>1</v>
      </c>
      <c r="Z533" s="2">
        <v>0</v>
      </c>
      <c r="AA533" s="2">
        <v>0</v>
      </c>
      <c r="AB533" s="2">
        <v>0</v>
      </c>
    </row>
    <row r="534" spans="1:28" ht="75" x14ac:dyDescent="0.25">
      <c r="A534" s="2">
        <v>533</v>
      </c>
      <c r="B534" s="5">
        <v>0.37765957446808512</v>
      </c>
      <c r="C534" s="5">
        <v>0.1108433734939759</v>
      </c>
      <c r="D534" s="5">
        <v>3.9E-2</v>
      </c>
      <c r="E534" s="5">
        <v>0.1139103554868624</v>
      </c>
      <c r="F534" s="2" t="s">
        <v>1061</v>
      </c>
      <c r="G534" s="2" t="s">
        <v>1058</v>
      </c>
      <c r="H534" s="2" t="s">
        <v>2688</v>
      </c>
      <c r="I534" s="2" t="s">
        <v>2691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5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5">
        <v>1</v>
      </c>
      <c r="Z534" s="2">
        <v>0</v>
      </c>
      <c r="AA534" s="2">
        <v>0</v>
      </c>
      <c r="AB534" s="2">
        <v>0</v>
      </c>
    </row>
    <row r="535" spans="1:28" ht="45" x14ac:dyDescent="0.25">
      <c r="A535" s="2">
        <v>534</v>
      </c>
      <c r="B535" s="5">
        <v>0.1638297872340426</v>
      </c>
      <c r="C535" s="5">
        <v>4.5783132530120479E-2</v>
      </c>
      <c r="D535" s="5">
        <v>3.5000000000000003E-2</v>
      </c>
      <c r="E535" s="5">
        <v>4.3894899536321481E-2</v>
      </c>
      <c r="F535" s="2" t="s">
        <v>1062</v>
      </c>
      <c r="G535" s="2" t="s">
        <v>1063</v>
      </c>
      <c r="H535" s="2" t="s">
        <v>2683</v>
      </c>
      <c r="I535" s="2" t="s">
        <v>2691</v>
      </c>
      <c r="J535" s="2">
        <v>0</v>
      </c>
      <c r="K535" s="2">
        <v>0</v>
      </c>
      <c r="L535" s="2">
        <v>0</v>
      </c>
      <c r="M535" s="5">
        <v>1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5">
        <v>1</v>
      </c>
      <c r="Z535" s="2">
        <v>0</v>
      </c>
      <c r="AA535" s="2">
        <v>0</v>
      </c>
      <c r="AB535" s="2">
        <v>0</v>
      </c>
    </row>
    <row r="536" spans="1:28" ht="75" x14ac:dyDescent="0.25">
      <c r="A536" s="2">
        <v>535</v>
      </c>
      <c r="B536" s="5">
        <v>0.14893617021276601</v>
      </c>
      <c r="C536" s="5">
        <v>5.6626506024096392E-2</v>
      </c>
      <c r="D536" s="5">
        <v>1.2999999999999999E-2</v>
      </c>
      <c r="E536" s="5">
        <v>5.1159196290571869E-2</v>
      </c>
      <c r="F536" s="2" t="s">
        <v>1064</v>
      </c>
      <c r="G536" s="2" t="s">
        <v>1065</v>
      </c>
      <c r="H536" s="2" t="s">
        <v>2688</v>
      </c>
      <c r="I536" s="2" t="s">
        <v>2691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5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5">
        <v>1</v>
      </c>
      <c r="Z536" s="2">
        <v>0</v>
      </c>
      <c r="AA536" s="2">
        <v>0</v>
      </c>
      <c r="AB536" s="2">
        <v>0</v>
      </c>
    </row>
    <row r="537" spans="1:28" ht="45" x14ac:dyDescent="0.25">
      <c r="A537" s="2">
        <v>536</v>
      </c>
      <c r="B537" s="5">
        <v>0.37765957446808512</v>
      </c>
      <c r="C537" s="5">
        <v>0.1108433734939759</v>
      </c>
      <c r="D537" s="5">
        <v>3.9E-2</v>
      </c>
      <c r="E537" s="5">
        <v>0.1139103554868624</v>
      </c>
      <c r="F537" s="2" t="s">
        <v>1066</v>
      </c>
      <c r="G537" s="2" t="s">
        <v>1067</v>
      </c>
      <c r="H537" s="2" t="s">
        <v>2694</v>
      </c>
      <c r="I537" s="2" t="s">
        <v>2691</v>
      </c>
      <c r="J537" s="5">
        <v>1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5">
        <v>1</v>
      </c>
      <c r="Z537" s="2">
        <v>0</v>
      </c>
      <c r="AA537" s="2">
        <v>0</v>
      </c>
      <c r="AB537" s="2">
        <v>0</v>
      </c>
    </row>
    <row r="538" spans="1:28" ht="45" x14ac:dyDescent="0.25">
      <c r="A538" s="2">
        <v>537</v>
      </c>
      <c r="B538" s="5">
        <v>3.7234042553191488E-2</v>
      </c>
      <c r="C538" s="5">
        <v>2.6506024096385541E-2</v>
      </c>
      <c r="D538" s="5">
        <v>1E-3</v>
      </c>
      <c r="E538" s="5">
        <v>1.143740340030912E-2</v>
      </c>
      <c r="F538" s="2" t="s">
        <v>1068</v>
      </c>
      <c r="G538" s="2" t="s">
        <v>1069</v>
      </c>
      <c r="H538" s="2" t="s">
        <v>2688</v>
      </c>
      <c r="I538" s="2" t="s">
        <v>2691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5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5">
        <v>1</v>
      </c>
      <c r="Z538" s="2">
        <v>0</v>
      </c>
      <c r="AA538" s="2">
        <v>0</v>
      </c>
      <c r="AB538" s="2">
        <v>0</v>
      </c>
    </row>
    <row r="539" spans="1:28" ht="90" x14ac:dyDescent="0.25">
      <c r="A539" s="2">
        <v>538</v>
      </c>
      <c r="B539" s="5">
        <v>0.15638297872340429</v>
      </c>
      <c r="C539" s="5">
        <v>6.1445783132530123E-2</v>
      </c>
      <c r="D539" s="5">
        <v>6.9999999999999993E-3</v>
      </c>
      <c r="E539" s="5">
        <v>4.8686244204018549E-2</v>
      </c>
      <c r="F539" s="2" t="s">
        <v>1070</v>
      </c>
      <c r="G539" s="2" t="s">
        <v>1071</v>
      </c>
      <c r="H539" s="2" t="s">
        <v>2688</v>
      </c>
      <c r="I539" s="2" t="s">
        <v>2691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5">
        <v>1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5">
        <v>1</v>
      </c>
      <c r="Z539" s="2">
        <v>0</v>
      </c>
      <c r="AA539" s="2">
        <v>0</v>
      </c>
      <c r="AB539" s="2">
        <v>0</v>
      </c>
    </row>
    <row r="540" spans="1:28" ht="45" x14ac:dyDescent="0.25">
      <c r="A540" s="2">
        <v>539</v>
      </c>
      <c r="B540" s="5">
        <v>0.15106382978723401</v>
      </c>
      <c r="C540" s="5">
        <v>6.0240963855421693E-2</v>
      </c>
      <c r="D540" s="5">
        <v>6.9999999999999993E-3</v>
      </c>
      <c r="E540" s="5">
        <v>4.6831530139103558E-2</v>
      </c>
      <c r="F540" s="2" t="s">
        <v>1072</v>
      </c>
      <c r="G540" s="2" t="s">
        <v>1073</v>
      </c>
      <c r="H540" s="2" t="s">
        <v>2683</v>
      </c>
      <c r="I540" s="2" t="s">
        <v>2691</v>
      </c>
      <c r="J540" s="2">
        <v>0</v>
      </c>
      <c r="K540" s="2">
        <v>0</v>
      </c>
      <c r="L540" s="2">
        <v>0</v>
      </c>
      <c r="M540" s="5">
        <v>1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5">
        <v>1</v>
      </c>
      <c r="Z540" s="2">
        <v>0</v>
      </c>
      <c r="AA540" s="2">
        <v>0</v>
      </c>
      <c r="AB540" s="2">
        <v>0</v>
      </c>
    </row>
    <row r="541" spans="1:28" ht="30" x14ac:dyDescent="0.25">
      <c r="A541" s="2">
        <v>540</v>
      </c>
      <c r="B541" s="5">
        <v>0.3904255319148936</v>
      </c>
      <c r="C541" s="5">
        <v>7.4698795180722893E-2</v>
      </c>
      <c r="D541" s="5">
        <v>5.0999999999999997E-2</v>
      </c>
      <c r="E541" s="5">
        <v>0.117774343122102</v>
      </c>
      <c r="F541" s="2" t="s">
        <v>1074</v>
      </c>
      <c r="G541" s="2" t="s">
        <v>1075</v>
      </c>
      <c r="H541" s="2" t="s">
        <v>2688</v>
      </c>
      <c r="I541" s="2" t="s">
        <v>2691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5">
        <v>1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5">
        <v>1</v>
      </c>
      <c r="Z541" s="2">
        <v>0</v>
      </c>
      <c r="AA541" s="2">
        <v>0</v>
      </c>
      <c r="AB541" s="2">
        <v>0</v>
      </c>
    </row>
    <row r="542" spans="1:28" ht="30" x14ac:dyDescent="0.25">
      <c r="A542" s="2">
        <v>541</v>
      </c>
      <c r="B542" s="5">
        <v>0.39148936170212773</v>
      </c>
      <c r="C542" s="5">
        <v>6.6265060240963861E-2</v>
      </c>
      <c r="D542" s="5">
        <v>4.5999999999999999E-2</v>
      </c>
      <c r="E542" s="5">
        <v>0.12055641421947449</v>
      </c>
      <c r="F542" s="2" t="s">
        <v>1076</v>
      </c>
      <c r="G542" s="2" t="s">
        <v>1077</v>
      </c>
      <c r="H542" s="2" t="s">
        <v>2688</v>
      </c>
      <c r="I542" s="2" t="s">
        <v>2691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5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5">
        <v>1</v>
      </c>
      <c r="Z542" s="2">
        <v>0</v>
      </c>
      <c r="AA542" s="2">
        <v>0</v>
      </c>
      <c r="AB542" s="2">
        <v>0</v>
      </c>
    </row>
    <row r="543" spans="1:28" ht="30" x14ac:dyDescent="0.25">
      <c r="A543" s="2">
        <v>542</v>
      </c>
      <c r="B543" s="5">
        <v>0.38404255319148939</v>
      </c>
      <c r="C543" s="5">
        <v>0.10481927710843369</v>
      </c>
      <c r="D543" s="5">
        <v>4.4999999999999998E-2</v>
      </c>
      <c r="E543" s="5">
        <v>0.1119010819165379</v>
      </c>
      <c r="F543" s="2" t="s">
        <v>1078</v>
      </c>
      <c r="G543" s="2" t="s">
        <v>1079</v>
      </c>
      <c r="H543" s="2" t="s">
        <v>2688</v>
      </c>
      <c r="I543" s="2" t="s">
        <v>2691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5">
        <v>1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5">
        <v>1</v>
      </c>
      <c r="Z543" s="2">
        <v>0</v>
      </c>
      <c r="AA543" s="2">
        <v>0</v>
      </c>
      <c r="AB543" s="2">
        <v>0</v>
      </c>
    </row>
    <row r="544" spans="1:28" ht="45" x14ac:dyDescent="0.25">
      <c r="A544" s="2">
        <v>543</v>
      </c>
      <c r="B544" s="5">
        <v>0.13723404255319149</v>
      </c>
      <c r="C544" s="5">
        <v>4.9397590361445781E-2</v>
      </c>
      <c r="D544" s="5">
        <v>1.2999999999999999E-2</v>
      </c>
      <c r="E544" s="5">
        <v>4.6831530139103558E-2</v>
      </c>
      <c r="F544" s="2" t="s">
        <v>1080</v>
      </c>
      <c r="G544" s="2" t="s">
        <v>1081</v>
      </c>
      <c r="H544" s="2" t="s">
        <v>2688</v>
      </c>
      <c r="I544" s="2" t="s">
        <v>2691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5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5">
        <v>1</v>
      </c>
      <c r="Z544" s="2">
        <v>0</v>
      </c>
      <c r="AA544" s="2">
        <v>0</v>
      </c>
      <c r="AB544" s="2">
        <v>0</v>
      </c>
    </row>
    <row r="545" spans="1:28" ht="45" x14ac:dyDescent="0.25">
      <c r="A545" s="2">
        <v>544</v>
      </c>
      <c r="B545" s="5">
        <v>0.32659574468085112</v>
      </c>
      <c r="C545" s="5">
        <v>9.5180722891566275E-2</v>
      </c>
      <c r="D545" s="5">
        <v>3.4000000000000002E-2</v>
      </c>
      <c r="E545" s="5">
        <v>9.8299845440494596E-2</v>
      </c>
      <c r="F545" s="2" t="s">
        <v>1082</v>
      </c>
      <c r="G545" s="2" t="s">
        <v>1083</v>
      </c>
      <c r="H545" s="2" t="s">
        <v>2688</v>
      </c>
      <c r="I545" s="2" t="s">
        <v>2691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5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5">
        <v>1</v>
      </c>
      <c r="Z545" s="2">
        <v>0</v>
      </c>
      <c r="AA545" s="2">
        <v>0</v>
      </c>
      <c r="AB545" s="2">
        <v>0</v>
      </c>
    </row>
    <row r="546" spans="1:28" ht="45" x14ac:dyDescent="0.25">
      <c r="A546" s="2">
        <v>545</v>
      </c>
      <c r="B546" s="5">
        <v>0.37765957446808512</v>
      </c>
      <c r="C546" s="5">
        <v>0.1108433734939759</v>
      </c>
      <c r="D546" s="5">
        <v>3.9E-2</v>
      </c>
      <c r="E546" s="5">
        <v>0.1139103554868624</v>
      </c>
      <c r="F546" s="2" t="s">
        <v>1084</v>
      </c>
      <c r="G546" s="2" t="s">
        <v>1083</v>
      </c>
      <c r="H546" s="2" t="s">
        <v>2688</v>
      </c>
      <c r="I546" s="2" t="s">
        <v>2691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5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5">
        <v>1</v>
      </c>
      <c r="Z546" s="2">
        <v>0</v>
      </c>
      <c r="AA546" s="2">
        <v>0</v>
      </c>
      <c r="AB546" s="2">
        <v>0</v>
      </c>
    </row>
    <row r="547" spans="1:28" ht="30" x14ac:dyDescent="0.25">
      <c r="A547" s="2">
        <v>546</v>
      </c>
      <c r="B547" s="5">
        <v>0.14893617021276601</v>
      </c>
      <c r="C547" s="5">
        <v>5.6626506024096392E-2</v>
      </c>
      <c r="D547" s="5">
        <v>1.2999999999999999E-2</v>
      </c>
      <c r="E547" s="5">
        <v>5.1159196290571869E-2</v>
      </c>
      <c r="F547" s="2" t="s">
        <v>1085</v>
      </c>
      <c r="G547" s="2" t="s">
        <v>1086</v>
      </c>
      <c r="H547" s="2" t="s">
        <v>2688</v>
      </c>
      <c r="I547" s="2" t="s">
        <v>2691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5">
        <v>1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5">
        <v>1</v>
      </c>
      <c r="Z547" s="2">
        <v>0</v>
      </c>
      <c r="AA547" s="2">
        <v>0</v>
      </c>
      <c r="AB547" s="2">
        <v>0</v>
      </c>
    </row>
    <row r="548" spans="1:28" ht="45" x14ac:dyDescent="0.25">
      <c r="A548" s="2">
        <v>547</v>
      </c>
      <c r="B548" s="5">
        <v>0.18617021276595741</v>
      </c>
      <c r="C548" s="5">
        <v>2.168674698795181E-2</v>
      </c>
      <c r="D548" s="5">
        <v>1.7999999999999999E-2</v>
      </c>
      <c r="E548" s="5">
        <v>5.4095826893353939E-2</v>
      </c>
      <c r="F548" s="2" t="s">
        <v>1087</v>
      </c>
      <c r="G548" s="2" t="s">
        <v>1088</v>
      </c>
      <c r="H548" s="2" t="s">
        <v>2683</v>
      </c>
      <c r="I548" s="2" t="s">
        <v>2691</v>
      </c>
      <c r="J548" s="2">
        <v>0</v>
      </c>
      <c r="K548" s="2">
        <v>0</v>
      </c>
      <c r="L548" s="2">
        <v>0</v>
      </c>
      <c r="M548" s="5">
        <v>1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5">
        <v>1</v>
      </c>
      <c r="Z548" s="2">
        <v>0</v>
      </c>
      <c r="AA548" s="2">
        <v>0</v>
      </c>
      <c r="AB548" s="2">
        <v>0</v>
      </c>
    </row>
    <row r="549" spans="1:28" ht="45" x14ac:dyDescent="0.25">
      <c r="A549" s="2">
        <v>548</v>
      </c>
      <c r="B549" s="5">
        <v>0.15840425531914901</v>
      </c>
      <c r="C549" s="5">
        <v>0.12530120481927709</v>
      </c>
      <c r="D549" s="5">
        <v>0.104</v>
      </c>
      <c r="E549" s="5">
        <v>3.1066460587326119E-2</v>
      </c>
      <c r="F549" s="2" t="s">
        <v>1089</v>
      </c>
      <c r="G549" s="2" t="s">
        <v>1090</v>
      </c>
      <c r="H549" s="2" t="s">
        <v>2696</v>
      </c>
      <c r="I549" s="2" t="s">
        <v>2691</v>
      </c>
      <c r="J549" s="2">
        <v>0</v>
      </c>
      <c r="K549" s="5">
        <v>1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5">
        <v>1</v>
      </c>
      <c r="Z549" s="2">
        <v>0</v>
      </c>
      <c r="AA549" s="2">
        <v>0</v>
      </c>
      <c r="AB549" s="2">
        <v>0</v>
      </c>
    </row>
    <row r="550" spans="1:28" ht="45" x14ac:dyDescent="0.25">
      <c r="A550" s="2">
        <v>549</v>
      </c>
      <c r="B550" s="5">
        <v>0.39787234042553188</v>
      </c>
      <c r="C550" s="5">
        <v>0.1132530120481928</v>
      </c>
      <c r="D550" s="5">
        <v>2.1999999999999999E-2</v>
      </c>
      <c r="E550" s="5">
        <v>0.1222565687789799</v>
      </c>
      <c r="F550" s="2" t="s">
        <v>1091</v>
      </c>
      <c r="G550" s="2" t="s">
        <v>1092</v>
      </c>
      <c r="H550" s="2" t="s">
        <v>2688</v>
      </c>
      <c r="I550" s="2" t="s">
        <v>2691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5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5">
        <v>1</v>
      </c>
      <c r="Z550" s="2">
        <v>0</v>
      </c>
      <c r="AA550" s="2">
        <v>0</v>
      </c>
      <c r="AB550" s="2">
        <v>0</v>
      </c>
    </row>
    <row r="551" spans="1:28" ht="75" x14ac:dyDescent="0.25">
      <c r="A551" s="2">
        <v>550</v>
      </c>
      <c r="B551" s="5">
        <v>5.4255319148936172E-2</v>
      </c>
      <c r="C551" s="5">
        <v>1.8072289156626509E-2</v>
      </c>
      <c r="D551" s="5">
        <v>0.01</v>
      </c>
      <c r="E551" s="5">
        <v>1.561051004636785E-2</v>
      </c>
      <c r="F551" s="2" t="s">
        <v>1093</v>
      </c>
      <c r="G551" s="2" t="s">
        <v>1094</v>
      </c>
      <c r="H551" s="2" t="s">
        <v>2688</v>
      </c>
      <c r="I551" s="2" t="s">
        <v>2692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5">
        <v>1</v>
      </c>
      <c r="P551" s="2">
        <v>0</v>
      </c>
      <c r="Q551" s="2">
        <v>0</v>
      </c>
      <c r="R551" s="5">
        <v>1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</row>
    <row r="552" spans="1:28" ht="45" x14ac:dyDescent="0.25">
      <c r="A552" s="2">
        <v>551</v>
      </c>
      <c r="B552" s="5">
        <v>0.30744680851063833</v>
      </c>
      <c r="C552" s="5">
        <v>0.13253012048192769</v>
      </c>
      <c r="D552" s="5">
        <v>0.04</v>
      </c>
      <c r="E552" s="5">
        <v>9.428129829984544E-2</v>
      </c>
      <c r="F552" s="2" t="s">
        <v>1095</v>
      </c>
      <c r="G552" s="2" t="s">
        <v>1096</v>
      </c>
      <c r="H552" s="2" t="s">
        <v>2683</v>
      </c>
      <c r="I552" s="2" t="s">
        <v>2691</v>
      </c>
      <c r="J552" s="2">
        <v>0</v>
      </c>
      <c r="K552" s="2">
        <v>0</v>
      </c>
      <c r="L552" s="2">
        <v>0</v>
      </c>
      <c r="M552" s="5">
        <v>1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5">
        <v>1</v>
      </c>
      <c r="Z552" s="2">
        <v>0</v>
      </c>
      <c r="AA552" s="2">
        <v>0</v>
      </c>
      <c r="AB552" s="2">
        <v>0</v>
      </c>
    </row>
    <row r="553" spans="1:28" ht="30" x14ac:dyDescent="0.25">
      <c r="A553" s="2">
        <v>552</v>
      </c>
      <c r="B553" s="5">
        <v>0.25425531914893618</v>
      </c>
      <c r="C553" s="5">
        <v>6.024096385542169E-3</v>
      </c>
      <c r="D553" s="5">
        <v>6.0000000000000001E-3</v>
      </c>
      <c r="E553" s="5">
        <v>9.969088098918083E-2</v>
      </c>
      <c r="F553" s="2" t="s">
        <v>1097</v>
      </c>
      <c r="G553" s="2" t="s">
        <v>1098</v>
      </c>
      <c r="H553" s="2" t="s">
        <v>2697</v>
      </c>
      <c r="I553" s="2" t="s">
        <v>2682</v>
      </c>
      <c r="J553" s="2">
        <v>0</v>
      </c>
      <c r="K553" s="2">
        <v>0</v>
      </c>
      <c r="L553" s="5">
        <v>1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5">
        <v>1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</row>
    <row r="554" spans="1:28" ht="60" x14ac:dyDescent="0.25">
      <c r="A554" s="2">
        <v>553</v>
      </c>
      <c r="B554" s="5">
        <v>0.30425531914893622</v>
      </c>
      <c r="C554" s="5">
        <v>0.58433734939759041</v>
      </c>
      <c r="D554" s="5">
        <v>9.1999999999999998E-2</v>
      </c>
      <c r="E554" s="5">
        <v>3.5548686244204009E-3</v>
      </c>
      <c r="F554" s="2" t="s">
        <v>1099</v>
      </c>
      <c r="G554" s="2" t="s">
        <v>1100</v>
      </c>
      <c r="H554" s="2" t="s">
        <v>2684</v>
      </c>
      <c r="I554" s="2" t="s">
        <v>2682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5">
        <v>1</v>
      </c>
      <c r="Q554" s="2">
        <v>0</v>
      </c>
      <c r="R554" s="2">
        <v>0</v>
      </c>
      <c r="S554" s="2">
        <v>0</v>
      </c>
      <c r="T554" s="2">
        <v>0</v>
      </c>
      <c r="U554" s="5">
        <v>1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</row>
    <row r="555" spans="1:28" ht="60" x14ac:dyDescent="0.25">
      <c r="A555" s="2">
        <v>554</v>
      </c>
      <c r="B555" s="5">
        <v>4.8936170212765959E-2</v>
      </c>
      <c r="C555" s="5">
        <v>7.2289156626506026E-3</v>
      </c>
      <c r="D555" s="2">
        <v>0</v>
      </c>
      <c r="E555" s="5">
        <v>1.823802163833076E-2</v>
      </c>
      <c r="F555" s="2" t="s">
        <v>1101</v>
      </c>
      <c r="G555" s="2" t="s">
        <v>1102</v>
      </c>
      <c r="H555" s="2" t="s">
        <v>2684</v>
      </c>
      <c r="I555" s="2" t="s">
        <v>2682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5">
        <v>1</v>
      </c>
      <c r="Q555" s="2">
        <v>0</v>
      </c>
      <c r="R555" s="2">
        <v>0</v>
      </c>
      <c r="S555" s="2">
        <v>0</v>
      </c>
      <c r="T555" s="2">
        <v>0</v>
      </c>
      <c r="U555" s="5">
        <v>1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</row>
    <row r="556" spans="1:28" ht="60" x14ac:dyDescent="0.25">
      <c r="A556" s="2">
        <v>555</v>
      </c>
      <c r="B556" s="5">
        <v>5.2127659574468077E-2</v>
      </c>
      <c r="C556" s="5">
        <v>1.084337349397591E-2</v>
      </c>
      <c r="D556" s="5">
        <v>3.0000000000000001E-3</v>
      </c>
      <c r="E556" s="5">
        <v>1.885625965996909E-2</v>
      </c>
      <c r="F556" s="2" t="s">
        <v>1103</v>
      </c>
      <c r="G556" s="2" t="s">
        <v>1104</v>
      </c>
      <c r="H556" s="2" t="s">
        <v>2688</v>
      </c>
      <c r="I556" s="2" t="s">
        <v>2690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5">
        <v>1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5">
        <v>1</v>
      </c>
    </row>
    <row r="557" spans="1:28" ht="45" x14ac:dyDescent="0.25">
      <c r="A557" s="2">
        <v>556</v>
      </c>
      <c r="B557" s="5">
        <v>6.4893617021276592E-2</v>
      </c>
      <c r="C557" s="5">
        <v>1.084337349397591E-2</v>
      </c>
      <c r="D557" s="5">
        <v>3.0000000000000001E-3</v>
      </c>
      <c r="E557" s="5">
        <v>2.3802163833075731E-2</v>
      </c>
      <c r="F557" s="2" t="s">
        <v>1105</v>
      </c>
      <c r="G557" s="2" t="s">
        <v>1106</v>
      </c>
      <c r="H557" s="2" t="s">
        <v>2688</v>
      </c>
      <c r="I557" s="2" t="s">
        <v>2690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5">
        <v>1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5">
        <v>1</v>
      </c>
    </row>
    <row r="558" spans="1:28" ht="45" x14ac:dyDescent="0.25">
      <c r="A558" s="2">
        <v>557</v>
      </c>
      <c r="B558" s="5">
        <v>5.9574468085106393E-2</v>
      </c>
      <c r="C558" s="5">
        <v>7.2289156626506026E-3</v>
      </c>
      <c r="D558" s="5">
        <v>3.0000000000000001E-3</v>
      </c>
      <c r="E558" s="5">
        <v>2.1947449768160741E-2</v>
      </c>
      <c r="F558" s="2" t="s">
        <v>1107</v>
      </c>
      <c r="G558" s="2" t="s">
        <v>1108</v>
      </c>
      <c r="H558" s="2" t="s">
        <v>2684</v>
      </c>
      <c r="I558" s="2" t="s">
        <v>2682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5">
        <v>1</v>
      </c>
      <c r="Q558" s="2">
        <v>0</v>
      </c>
      <c r="R558" s="2">
        <v>0</v>
      </c>
      <c r="S558" s="2">
        <v>0</v>
      </c>
      <c r="T558" s="2">
        <v>0</v>
      </c>
      <c r="U558" s="5">
        <v>1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</row>
    <row r="559" spans="1:28" ht="60" x14ac:dyDescent="0.25">
      <c r="A559" s="2">
        <v>558</v>
      </c>
      <c r="B559" s="5">
        <v>6.8085106382978725E-2</v>
      </c>
      <c r="C559" s="5">
        <v>8.4337349397590362E-3</v>
      </c>
      <c r="D559" s="5">
        <v>6.0000000000000001E-3</v>
      </c>
      <c r="E559" s="5">
        <v>2.4420401854714061E-2</v>
      </c>
      <c r="F559" s="2" t="s">
        <v>1109</v>
      </c>
      <c r="G559" s="2" t="s">
        <v>1110</v>
      </c>
      <c r="H559" s="2" t="s">
        <v>2684</v>
      </c>
      <c r="I559" s="2" t="s">
        <v>2686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5">
        <v>1</v>
      </c>
      <c r="Q559" s="5">
        <v>1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</row>
    <row r="560" spans="1:28" ht="45" x14ac:dyDescent="0.25">
      <c r="A560" s="2">
        <v>559</v>
      </c>
      <c r="B560" s="5">
        <v>0.37234042553191488</v>
      </c>
      <c r="C560" s="5">
        <v>7.4698795180722893E-2</v>
      </c>
      <c r="D560" s="5">
        <v>1.4E-2</v>
      </c>
      <c r="E560" s="5">
        <v>0.1208655332302937</v>
      </c>
      <c r="F560" s="2" t="s">
        <v>1111</v>
      </c>
      <c r="G560" s="2" t="s">
        <v>1112</v>
      </c>
      <c r="H560" s="2" t="s">
        <v>2688</v>
      </c>
      <c r="I560" s="2" t="s">
        <v>2691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5">
        <v>1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5">
        <v>1</v>
      </c>
      <c r="Z560" s="2">
        <v>0</v>
      </c>
      <c r="AA560" s="2">
        <v>0</v>
      </c>
      <c r="AB560" s="2">
        <v>0</v>
      </c>
    </row>
    <row r="561" spans="1:28" ht="60" x14ac:dyDescent="0.25">
      <c r="A561" s="2">
        <v>560</v>
      </c>
      <c r="B561" s="5">
        <v>4.7872340425531908E-2</v>
      </c>
      <c r="C561" s="5">
        <v>3.012048192771084E-2</v>
      </c>
      <c r="D561" s="5">
        <v>3.9E-2</v>
      </c>
      <c r="E561" s="2">
        <v>0</v>
      </c>
      <c r="F561" s="2" t="s">
        <v>1113</v>
      </c>
      <c r="G561" s="2" t="s">
        <v>1114</v>
      </c>
      <c r="H561" s="2" t="s">
        <v>2683</v>
      </c>
      <c r="I561" s="2" t="s">
        <v>2695</v>
      </c>
      <c r="J561" s="2">
        <v>0</v>
      </c>
      <c r="K561" s="2">
        <v>0</v>
      </c>
      <c r="L561" s="2">
        <v>0</v>
      </c>
      <c r="M561" s="5">
        <v>1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5">
        <v>1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</row>
    <row r="562" spans="1:28" ht="45" x14ac:dyDescent="0.25">
      <c r="A562" s="2">
        <v>561</v>
      </c>
      <c r="B562" s="5">
        <v>0.31489361702127661</v>
      </c>
      <c r="C562" s="5">
        <v>0.1132530120481928</v>
      </c>
      <c r="D562" s="5">
        <v>1.0999999999999999E-2</v>
      </c>
      <c r="E562" s="5">
        <v>9.5826893353941262E-2</v>
      </c>
      <c r="F562" s="2" t="s">
        <v>1115</v>
      </c>
      <c r="G562" s="2" t="s">
        <v>1116</v>
      </c>
      <c r="H562" s="2" t="s">
        <v>2683</v>
      </c>
      <c r="I562" s="2" t="s">
        <v>2682</v>
      </c>
      <c r="J562" s="2">
        <v>0</v>
      </c>
      <c r="K562" s="2">
        <v>0</v>
      </c>
      <c r="L562" s="2">
        <v>0</v>
      </c>
      <c r="M562" s="5">
        <v>1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5">
        <v>1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</row>
    <row r="563" spans="1:28" ht="45" x14ac:dyDescent="0.25">
      <c r="A563" s="2">
        <v>562</v>
      </c>
      <c r="B563" s="5">
        <v>0.31276595744680852</v>
      </c>
      <c r="C563" s="5">
        <v>0.19277108433734941</v>
      </c>
      <c r="D563" s="5">
        <v>9.0000000000000011E-3</v>
      </c>
      <c r="E563" s="5">
        <v>9.9845440494590404E-2</v>
      </c>
      <c r="F563" s="2" t="s">
        <v>1117</v>
      </c>
      <c r="G563" s="2" t="s">
        <v>1118</v>
      </c>
      <c r="H563" s="2" t="s">
        <v>2683</v>
      </c>
      <c r="I563" s="2" t="s">
        <v>2682</v>
      </c>
      <c r="J563" s="2">
        <v>0</v>
      </c>
      <c r="K563" s="2">
        <v>0</v>
      </c>
      <c r="L563" s="2">
        <v>0</v>
      </c>
      <c r="M563" s="5">
        <v>1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5">
        <v>1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</row>
    <row r="564" spans="1:28" ht="45" x14ac:dyDescent="0.25">
      <c r="A564" s="2">
        <v>563</v>
      </c>
      <c r="B564" s="5">
        <v>2.2340425531914891E-2</v>
      </c>
      <c r="C564" s="5">
        <v>4.5783132530120479E-2</v>
      </c>
      <c r="D564" s="5">
        <v>6.0000000000000001E-3</v>
      </c>
      <c r="E564" s="5">
        <v>1.3910355486862439E-3</v>
      </c>
      <c r="F564" s="2" t="s">
        <v>1119</v>
      </c>
      <c r="G564" s="2" t="s">
        <v>1120</v>
      </c>
      <c r="H564" s="2" t="s">
        <v>2683</v>
      </c>
      <c r="I564" s="2" t="s">
        <v>2682</v>
      </c>
      <c r="J564" s="2">
        <v>0</v>
      </c>
      <c r="K564" s="2">
        <v>0</v>
      </c>
      <c r="L564" s="2">
        <v>0</v>
      </c>
      <c r="M564" s="5">
        <v>1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5">
        <v>1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</row>
    <row r="565" spans="1:28" ht="45" x14ac:dyDescent="0.25">
      <c r="A565" s="2">
        <v>564</v>
      </c>
      <c r="B565" s="5">
        <v>3.1914893617021267E-2</v>
      </c>
      <c r="C565" s="5">
        <v>4.2168674698795178E-2</v>
      </c>
      <c r="D565" s="5">
        <v>2E-3</v>
      </c>
      <c r="E565" s="5">
        <v>6.1823802163833066E-3</v>
      </c>
      <c r="F565" s="2" t="s">
        <v>1121</v>
      </c>
      <c r="G565" s="2" t="s">
        <v>1122</v>
      </c>
      <c r="H565" s="2" t="s">
        <v>2683</v>
      </c>
      <c r="I565" s="2" t="s">
        <v>2682</v>
      </c>
      <c r="J565" s="2">
        <v>0</v>
      </c>
      <c r="K565" s="2">
        <v>0</v>
      </c>
      <c r="L565" s="2">
        <v>0</v>
      </c>
      <c r="M565" s="5">
        <v>1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5">
        <v>1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</row>
    <row r="566" spans="1:28" ht="30" x14ac:dyDescent="0.25">
      <c r="A566" s="2">
        <v>565</v>
      </c>
      <c r="B566" s="5">
        <v>5.1063829787234047E-2</v>
      </c>
      <c r="C566" s="5">
        <v>3.3734939759036138E-2</v>
      </c>
      <c r="D566" s="5">
        <v>4.0999999999999988E-2</v>
      </c>
      <c r="E566" s="5">
        <v>4.4822256568778978E-3</v>
      </c>
      <c r="F566" s="2" t="s">
        <v>1123</v>
      </c>
      <c r="G566" s="2" t="s">
        <v>1124</v>
      </c>
      <c r="H566" s="2" t="s">
        <v>2683</v>
      </c>
      <c r="I566" s="2" t="s">
        <v>2682</v>
      </c>
      <c r="J566" s="2">
        <v>0</v>
      </c>
      <c r="K566" s="2">
        <v>0</v>
      </c>
      <c r="L566" s="2">
        <v>0</v>
      </c>
      <c r="M566" s="5">
        <v>1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5">
        <v>1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</row>
    <row r="567" spans="1:28" ht="30" x14ac:dyDescent="0.25">
      <c r="A567" s="2">
        <v>566</v>
      </c>
      <c r="B567" s="5">
        <v>5.1063829787234047E-2</v>
      </c>
      <c r="C567" s="5">
        <v>2.289156626506024E-2</v>
      </c>
      <c r="D567" s="5">
        <v>3.2000000000000001E-2</v>
      </c>
      <c r="E567" s="5">
        <v>4.3276661514683153E-3</v>
      </c>
      <c r="F567" s="2" t="s">
        <v>1125</v>
      </c>
      <c r="G567" s="2" t="s">
        <v>1126</v>
      </c>
      <c r="H567" s="2" t="s">
        <v>2683</v>
      </c>
      <c r="I567" s="2" t="s">
        <v>2690</v>
      </c>
      <c r="J567" s="2">
        <v>0</v>
      </c>
      <c r="K567" s="2">
        <v>0</v>
      </c>
      <c r="L567" s="2">
        <v>0</v>
      </c>
      <c r="M567" s="5">
        <v>1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5">
        <v>1</v>
      </c>
    </row>
    <row r="568" spans="1:28" ht="45" x14ac:dyDescent="0.25">
      <c r="A568" s="2">
        <v>567</v>
      </c>
      <c r="B568" s="5">
        <v>3.1914893617021267E-2</v>
      </c>
      <c r="C568" s="5">
        <v>2.289156626506024E-2</v>
      </c>
      <c r="D568" s="5">
        <v>1E-3</v>
      </c>
      <c r="E568" s="5">
        <v>8.5007727975270481E-3</v>
      </c>
      <c r="F568" s="2" t="s">
        <v>1127</v>
      </c>
      <c r="G568" s="2" t="s">
        <v>1128</v>
      </c>
      <c r="H568" s="2" t="s">
        <v>2683</v>
      </c>
      <c r="I568" s="2" t="s">
        <v>2682</v>
      </c>
      <c r="J568" s="2">
        <v>0</v>
      </c>
      <c r="K568" s="2">
        <v>0</v>
      </c>
      <c r="L568" s="2">
        <v>0</v>
      </c>
      <c r="M568" s="5">
        <v>1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5">
        <v>1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</row>
    <row r="569" spans="1:28" ht="45" x14ac:dyDescent="0.25">
      <c r="A569" s="2">
        <v>568</v>
      </c>
      <c r="B569" s="5">
        <v>0.11382978723404261</v>
      </c>
      <c r="C569" s="5">
        <v>6.3855421686746988E-2</v>
      </c>
      <c r="D569" s="5">
        <v>2.1999999999999999E-2</v>
      </c>
      <c r="E569" s="5">
        <v>2.5502318392581141E-2</v>
      </c>
      <c r="F569" s="2" t="s">
        <v>1129</v>
      </c>
      <c r="G569" s="2" t="s">
        <v>1130</v>
      </c>
      <c r="H569" s="2" t="s">
        <v>2681</v>
      </c>
      <c r="I569" s="2" t="s">
        <v>2682</v>
      </c>
      <c r="J569" s="2">
        <v>0</v>
      </c>
      <c r="K569" s="2">
        <v>0</v>
      </c>
      <c r="L569" s="2">
        <v>0</v>
      </c>
      <c r="M569" s="2">
        <v>0</v>
      </c>
      <c r="N569" s="5">
        <v>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5">
        <v>1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</row>
    <row r="570" spans="1:28" ht="45" x14ac:dyDescent="0.25">
      <c r="A570" s="2">
        <v>569</v>
      </c>
      <c r="B570" s="5">
        <v>3.2978723404255318E-2</v>
      </c>
      <c r="C570" s="5">
        <v>1.445783132530121E-2</v>
      </c>
      <c r="D570" s="5">
        <v>3.0000000000000001E-3</v>
      </c>
      <c r="E570" s="5">
        <v>1.097372488408037E-2</v>
      </c>
      <c r="F570" s="2" t="s">
        <v>1131</v>
      </c>
      <c r="G570" s="2" t="s">
        <v>1132</v>
      </c>
      <c r="H570" s="2" t="s">
        <v>2683</v>
      </c>
      <c r="I570" s="2" t="s">
        <v>2686</v>
      </c>
      <c r="J570" s="2">
        <v>0</v>
      </c>
      <c r="K570" s="2">
        <v>0</v>
      </c>
      <c r="L570" s="2">
        <v>0</v>
      </c>
      <c r="M570" s="5">
        <v>1</v>
      </c>
      <c r="N570" s="2">
        <v>0</v>
      </c>
      <c r="O570" s="2">
        <v>0</v>
      </c>
      <c r="P570" s="2">
        <v>0</v>
      </c>
      <c r="Q570" s="5">
        <v>1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</row>
    <row r="571" spans="1:28" ht="45" x14ac:dyDescent="0.25">
      <c r="A571" s="2">
        <v>570</v>
      </c>
      <c r="B571" s="5">
        <v>0.53191489361702127</v>
      </c>
      <c r="C571" s="5">
        <v>1.445783132530121E-2</v>
      </c>
      <c r="D571" s="5">
        <v>0.251</v>
      </c>
      <c r="E571" s="5">
        <v>0.10401854714064911</v>
      </c>
      <c r="F571" s="2" t="s">
        <v>1133</v>
      </c>
      <c r="G571" s="2" t="s">
        <v>1134</v>
      </c>
      <c r="H571" s="2" t="s">
        <v>2684</v>
      </c>
      <c r="I571" s="2" t="s">
        <v>2691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5">
        <v>1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5">
        <v>1</v>
      </c>
      <c r="Z571" s="2">
        <v>0</v>
      </c>
      <c r="AA571" s="2">
        <v>0</v>
      </c>
      <c r="AB571" s="2">
        <v>0</v>
      </c>
    </row>
    <row r="572" spans="1:28" ht="45" x14ac:dyDescent="0.25">
      <c r="A572" s="2">
        <v>571</v>
      </c>
      <c r="B572" s="5">
        <v>5.1063829787234047E-2</v>
      </c>
      <c r="C572" s="5">
        <v>3.012048192771084E-2</v>
      </c>
      <c r="D572" s="5">
        <v>4.2000000000000003E-2</v>
      </c>
      <c r="E572" s="2">
        <v>0</v>
      </c>
      <c r="F572" s="2" t="s">
        <v>1135</v>
      </c>
      <c r="G572" s="2" t="s">
        <v>1136</v>
      </c>
      <c r="H572" s="2" t="s">
        <v>2681</v>
      </c>
      <c r="I572" s="2" t="s">
        <v>2682</v>
      </c>
      <c r="J572" s="2">
        <v>0</v>
      </c>
      <c r="K572" s="2">
        <v>0</v>
      </c>
      <c r="L572" s="2">
        <v>0</v>
      </c>
      <c r="M572" s="2">
        <v>0</v>
      </c>
      <c r="N572" s="5">
        <v>1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5">
        <v>1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</row>
    <row r="573" spans="1:28" ht="45" x14ac:dyDescent="0.25">
      <c r="A573" s="2">
        <v>572</v>
      </c>
      <c r="B573" s="5">
        <v>0.35531914893617023</v>
      </c>
      <c r="C573" s="5">
        <v>0.1168674698795181</v>
      </c>
      <c r="D573" s="5">
        <v>3.5000000000000003E-2</v>
      </c>
      <c r="E573" s="5">
        <v>0.11344667697063369</v>
      </c>
      <c r="F573" s="2" t="s">
        <v>1137</v>
      </c>
      <c r="G573" s="2" t="s">
        <v>1138</v>
      </c>
      <c r="H573" s="2" t="s">
        <v>2688</v>
      </c>
      <c r="I573" s="2" t="s">
        <v>2691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5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5">
        <v>1</v>
      </c>
      <c r="Z573" s="2">
        <v>0</v>
      </c>
      <c r="AA573" s="2">
        <v>0</v>
      </c>
      <c r="AB573" s="2">
        <v>0</v>
      </c>
    </row>
    <row r="574" spans="1:28" ht="45" x14ac:dyDescent="0.25">
      <c r="A574" s="2">
        <v>573</v>
      </c>
      <c r="B574" s="5">
        <v>0.40606382978723399</v>
      </c>
      <c r="C574" s="5">
        <v>0.1144578313253012</v>
      </c>
      <c r="D574" s="5">
        <v>9.5000000000000001E-2</v>
      </c>
      <c r="E574" s="5">
        <v>0.1017001545595054</v>
      </c>
      <c r="F574" s="2" t="s">
        <v>1139</v>
      </c>
      <c r="G574" s="2" t="s">
        <v>1140</v>
      </c>
      <c r="H574" s="2" t="s">
        <v>2681</v>
      </c>
      <c r="I574" s="2" t="s">
        <v>2682</v>
      </c>
      <c r="J574" s="2">
        <v>0</v>
      </c>
      <c r="K574" s="2">
        <v>0</v>
      </c>
      <c r="L574" s="2">
        <v>0</v>
      </c>
      <c r="M574" s="2">
        <v>0</v>
      </c>
      <c r="N574" s="5">
        <v>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5">
        <v>1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</row>
    <row r="575" spans="1:28" ht="45" x14ac:dyDescent="0.25">
      <c r="A575" s="2">
        <v>574</v>
      </c>
      <c r="B575" s="5">
        <v>0.20425531914893619</v>
      </c>
      <c r="C575" s="5">
        <v>6.5060240963855431E-2</v>
      </c>
      <c r="D575" s="5">
        <v>3.0000000000000001E-3</v>
      </c>
      <c r="E575" s="5">
        <v>6.2905718701700156E-2</v>
      </c>
      <c r="F575" s="2" t="s">
        <v>1141</v>
      </c>
      <c r="G575" s="2" t="s">
        <v>1142</v>
      </c>
      <c r="H575" s="2" t="s">
        <v>2684</v>
      </c>
      <c r="I575" s="2" t="s">
        <v>2682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5">
        <v>1</v>
      </c>
      <c r="Q575" s="2">
        <v>0</v>
      </c>
      <c r="R575" s="2">
        <v>0</v>
      </c>
      <c r="S575" s="2">
        <v>0</v>
      </c>
      <c r="T575" s="2">
        <v>0</v>
      </c>
      <c r="U575" s="5">
        <v>1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</row>
    <row r="576" spans="1:28" ht="45" x14ac:dyDescent="0.25">
      <c r="A576" s="2">
        <v>575</v>
      </c>
      <c r="B576" s="5">
        <v>5.1063829787234047E-2</v>
      </c>
      <c r="C576" s="5">
        <v>7.2289156626506026E-3</v>
      </c>
      <c r="D576" s="5">
        <v>2E-3</v>
      </c>
      <c r="E576" s="5">
        <v>1.9165378670788259E-2</v>
      </c>
      <c r="F576" s="2" t="s">
        <v>1143</v>
      </c>
      <c r="G576" s="2" t="s">
        <v>1144</v>
      </c>
      <c r="H576" s="2" t="s">
        <v>2696</v>
      </c>
      <c r="I576" s="2" t="s">
        <v>2686</v>
      </c>
      <c r="J576" s="2">
        <v>0</v>
      </c>
      <c r="K576" s="5">
        <v>1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5">
        <v>1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</row>
    <row r="577" spans="1:28" ht="45" x14ac:dyDescent="0.25">
      <c r="A577" s="2">
        <v>576</v>
      </c>
      <c r="B577" s="5">
        <v>6.4893617021276592E-2</v>
      </c>
      <c r="C577" s="5">
        <v>9.6385542168674707E-3</v>
      </c>
      <c r="D577" s="5">
        <v>2E-3</v>
      </c>
      <c r="E577" s="5">
        <v>2.179289026275116E-2</v>
      </c>
      <c r="F577" s="2" t="s">
        <v>1145</v>
      </c>
      <c r="G577" s="2" t="s">
        <v>1146</v>
      </c>
      <c r="H577" s="2" t="s">
        <v>2696</v>
      </c>
      <c r="I577" s="2" t="s">
        <v>2686</v>
      </c>
      <c r="J577" s="2">
        <v>0</v>
      </c>
      <c r="K577" s="5">
        <v>1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5">
        <v>1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</row>
    <row r="578" spans="1:28" ht="30" x14ac:dyDescent="0.25">
      <c r="A578" s="2">
        <v>577</v>
      </c>
      <c r="B578" s="5">
        <v>4.6808510638297871E-2</v>
      </c>
      <c r="C578" s="5">
        <v>9.6385542168674707E-3</v>
      </c>
      <c r="D578" s="5">
        <v>3.0000000000000001E-3</v>
      </c>
      <c r="E578" s="5">
        <v>1.6846986089644508E-2</v>
      </c>
      <c r="F578" s="2" t="s">
        <v>1147</v>
      </c>
      <c r="G578" s="2" t="s">
        <v>1148</v>
      </c>
      <c r="H578" s="2" t="s">
        <v>2696</v>
      </c>
      <c r="I578" s="2" t="s">
        <v>2686</v>
      </c>
      <c r="J578" s="2">
        <v>0</v>
      </c>
      <c r="K578" s="5">
        <v>1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5">
        <v>1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</row>
    <row r="579" spans="1:28" ht="45" x14ac:dyDescent="0.25">
      <c r="A579" s="2">
        <v>578</v>
      </c>
      <c r="B579" s="5">
        <v>4.1489361702127657E-2</v>
      </c>
      <c r="C579" s="5">
        <v>3.6144578313253009E-3</v>
      </c>
      <c r="D579" s="5">
        <v>3.0000000000000001E-3</v>
      </c>
      <c r="E579" s="5">
        <v>1.3755795981452859E-2</v>
      </c>
      <c r="F579" s="2" t="s">
        <v>1149</v>
      </c>
      <c r="G579" s="2" t="s">
        <v>1150</v>
      </c>
      <c r="H579" s="2" t="s">
        <v>2696</v>
      </c>
      <c r="I579" s="2" t="s">
        <v>2686</v>
      </c>
      <c r="J579" s="2">
        <v>0</v>
      </c>
      <c r="K579" s="5">
        <v>1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5">
        <v>1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</row>
    <row r="580" spans="1:28" ht="45" x14ac:dyDescent="0.25">
      <c r="A580" s="2">
        <v>579</v>
      </c>
      <c r="B580" s="5">
        <v>4.7872340425531908E-2</v>
      </c>
      <c r="C580" s="5">
        <v>1.084337349397591E-2</v>
      </c>
      <c r="D580" s="5">
        <v>2E-3</v>
      </c>
      <c r="E580" s="5">
        <v>1.7310664605873261E-2</v>
      </c>
      <c r="F580" s="2" t="s">
        <v>1151</v>
      </c>
      <c r="G580" s="2" t="s">
        <v>1152</v>
      </c>
      <c r="H580" s="2" t="s">
        <v>2696</v>
      </c>
      <c r="I580" s="2" t="s">
        <v>2686</v>
      </c>
      <c r="J580" s="2">
        <v>0</v>
      </c>
      <c r="K580" s="5">
        <v>1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5">
        <v>1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</row>
    <row r="581" spans="1:28" ht="45" x14ac:dyDescent="0.25">
      <c r="A581" s="2">
        <v>580</v>
      </c>
      <c r="B581" s="5">
        <v>3.9361702127659583E-2</v>
      </c>
      <c r="C581" s="5">
        <v>9.6385542168674707E-3</v>
      </c>
      <c r="D581" s="5">
        <v>1E-3</v>
      </c>
      <c r="E581" s="5">
        <v>1.9010819165378671E-2</v>
      </c>
      <c r="F581" s="2" t="s">
        <v>1153</v>
      </c>
      <c r="G581" s="2" t="s">
        <v>1154</v>
      </c>
      <c r="H581" s="2" t="s">
        <v>2696</v>
      </c>
      <c r="I581" s="2" t="s">
        <v>2686</v>
      </c>
      <c r="J581" s="2">
        <v>0</v>
      </c>
      <c r="K581" s="5">
        <v>1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5">
        <v>1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</row>
    <row r="582" spans="1:28" ht="45" x14ac:dyDescent="0.25">
      <c r="A582" s="2">
        <v>581</v>
      </c>
      <c r="B582" s="5">
        <v>5.2127659574468077E-2</v>
      </c>
      <c r="C582" s="5">
        <v>8.4337349397590362E-3</v>
      </c>
      <c r="D582" s="5">
        <v>2E-3</v>
      </c>
      <c r="E582" s="5">
        <v>1.715610510046368E-2</v>
      </c>
      <c r="F582" s="2" t="s">
        <v>1155</v>
      </c>
      <c r="G582" s="2" t="s">
        <v>1156</v>
      </c>
      <c r="H582" s="2" t="s">
        <v>2696</v>
      </c>
      <c r="I582" s="2" t="s">
        <v>2686</v>
      </c>
      <c r="J582" s="2">
        <v>0</v>
      </c>
      <c r="K582" s="5">
        <v>1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5">
        <v>1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</row>
    <row r="583" spans="1:28" ht="30" x14ac:dyDescent="0.25">
      <c r="A583" s="2">
        <v>582</v>
      </c>
      <c r="B583" s="5">
        <v>3.4042553191489362E-2</v>
      </c>
      <c r="C583" s="5">
        <v>2.289156626506024E-2</v>
      </c>
      <c r="D583" s="5">
        <v>3.0000000000000001E-3</v>
      </c>
      <c r="E583" s="5">
        <v>1.097372488408037E-2</v>
      </c>
      <c r="F583" s="2" t="s">
        <v>1157</v>
      </c>
      <c r="G583" s="2" t="s">
        <v>1158</v>
      </c>
      <c r="H583" s="2" t="s">
        <v>2684</v>
      </c>
      <c r="I583" s="2" t="s">
        <v>2682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5">
        <v>1</v>
      </c>
      <c r="Q583" s="2">
        <v>0</v>
      </c>
      <c r="R583" s="2">
        <v>0</v>
      </c>
      <c r="S583" s="2">
        <v>0</v>
      </c>
      <c r="T583" s="2">
        <v>0</v>
      </c>
      <c r="U583" s="5">
        <v>1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</row>
    <row r="584" spans="1:28" ht="45" x14ac:dyDescent="0.25">
      <c r="A584" s="2">
        <v>583</v>
      </c>
      <c r="B584" s="5">
        <v>1.5957446808510641E-2</v>
      </c>
      <c r="C584" s="5">
        <v>0.18313253012048189</v>
      </c>
      <c r="D584" s="5">
        <v>4.2999999999999997E-2</v>
      </c>
      <c r="E584" s="5">
        <v>1.360123647604328E-2</v>
      </c>
      <c r="F584" s="2" t="s">
        <v>1159</v>
      </c>
      <c r="G584" s="2" t="s">
        <v>1160</v>
      </c>
      <c r="H584" s="2" t="s">
        <v>2681</v>
      </c>
      <c r="I584" s="2" t="s">
        <v>2682</v>
      </c>
      <c r="J584" s="2">
        <v>0</v>
      </c>
      <c r="K584" s="2">
        <v>0</v>
      </c>
      <c r="L584" s="2">
        <v>0</v>
      </c>
      <c r="M584" s="2">
        <v>0</v>
      </c>
      <c r="N584" s="5">
        <v>1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5">
        <v>1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</row>
    <row r="585" spans="1:28" ht="45" x14ac:dyDescent="0.25">
      <c r="A585" s="2">
        <v>584</v>
      </c>
      <c r="B585" s="5">
        <v>0.13829787234042551</v>
      </c>
      <c r="C585" s="5">
        <v>8.0722891566265068E-2</v>
      </c>
      <c r="D585" s="5">
        <v>3.0000000000000001E-3</v>
      </c>
      <c r="E585" s="5">
        <v>3.8948995363214833E-2</v>
      </c>
      <c r="F585" s="2" t="s">
        <v>1161</v>
      </c>
      <c r="G585" s="2" t="s">
        <v>1162</v>
      </c>
      <c r="H585" s="2" t="s">
        <v>2684</v>
      </c>
      <c r="I585" s="2" t="s">
        <v>2682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5">
        <v>1</v>
      </c>
      <c r="Q585" s="2">
        <v>0</v>
      </c>
      <c r="R585" s="2">
        <v>0</v>
      </c>
      <c r="S585" s="2">
        <v>0</v>
      </c>
      <c r="T585" s="2">
        <v>0</v>
      </c>
      <c r="U585" s="5">
        <v>1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</row>
    <row r="586" spans="1:28" ht="30" x14ac:dyDescent="0.25">
      <c r="A586" s="2">
        <v>585</v>
      </c>
      <c r="B586" s="5">
        <v>0.1414893617021277</v>
      </c>
      <c r="C586" s="5">
        <v>1.204819277108434E-2</v>
      </c>
      <c r="D586" s="5">
        <v>2E-3</v>
      </c>
      <c r="E586" s="5">
        <v>4.9768160741885628E-2</v>
      </c>
      <c r="F586" s="2" t="s">
        <v>1163</v>
      </c>
      <c r="G586" s="2" t="s">
        <v>1164</v>
      </c>
      <c r="H586" s="2" t="s">
        <v>2688</v>
      </c>
      <c r="I586" s="2" t="s">
        <v>2690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5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5">
        <v>1</v>
      </c>
    </row>
    <row r="587" spans="1:28" ht="90" x14ac:dyDescent="0.25">
      <c r="A587" s="2">
        <v>586</v>
      </c>
      <c r="B587" s="5">
        <v>0.26595744680851058</v>
      </c>
      <c r="C587" s="5">
        <v>3.1325301204819279E-2</v>
      </c>
      <c r="D587" s="5">
        <v>2.5000000000000001E-2</v>
      </c>
      <c r="E587" s="5">
        <v>5.4714064914992269E-2</v>
      </c>
      <c r="F587" s="2" t="s">
        <v>1165</v>
      </c>
      <c r="G587" s="2" t="s">
        <v>1166</v>
      </c>
      <c r="H587" s="2" t="s">
        <v>2688</v>
      </c>
      <c r="I587" s="2" t="s">
        <v>2690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5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5">
        <v>1</v>
      </c>
    </row>
    <row r="588" spans="1:28" ht="45" x14ac:dyDescent="0.25">
      <c r="A588" s="2">
        <v>587</v>
      </c>
      <c r="B588" s="5">
        <v>0.37872340425531908</v>
      </c>
      <c r="C588" s="5">
        <v>0.24698795180722891</v>
      </c>
      <c r="D588" s="5">
        <v>4.0999999999999988E-2</v>
      </c>
      <c r="E588" s="5">
        <v>9.5208655332302938E-2</v>
      </c>
      <c r="F588" s="2" t="s">
        <v>1167</v>
      </c>
      <c r="G588" s="2" t="s">
        <v>1168</v>
      </c>
      <c r="H588" s="2" t="s">
        <v>2684</v>
      </c>
      <c r="I588" s="2" t="s">
        <v>2687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5">
        <v>1</v>
      </c>
      <c r="Q588" s="2">
        <v>0</v>
      </c>
      <c r="R588" s="2">
        <v>0</v>
      </c>
      <c r="S588" s="5">
        <v>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</row>
    <row r="589" spans="1:28" ht="45" x14ac:dyDescent="0.25">
      <c r="A589" s="2">
        <v>588</v>
      </c>
      <c r="B589" s="5">
        <v>0.35106382978723399</v>
      </c>
      <c r="C589" s="5">
        <v>0.28674698795180731</v>
      </c>
      <c r="D589" s="5">
        <v>1.4E-2</v>
      </c>
      <c r="E589" s="5">
        <v>9.3044822256568779E-2</v>
      </c>
      <c r="F589" s="2" t="s">
        <v>1169</v>
      </c>
      <c r="G589" s="2" t="s">
        <v>1170</v>
      </c>
      <c r="H589" s="2" t="s">
        <v>2684</v>
      </c>
      <c r="I589" s="2" t="s">
        <v>2687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5">
        <v>1</v>
      </c>
      <c r="Q589" s="2">
        <v>0</v>
      </c>
      <c r="R589" s="2">
        <v>0</v>
      </c>
      <c r="S589" s="5">
        <v>1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</row>
    <row r="590" spans="1:28" ht="45" x14ac:dyDescent="0.25">
      <c r="A590" s="2">
        <v>589</v>
      </c>
      <c r="B590" s="5">
        <v>0.56702127659574464</v>
      </c>
      <c r="C590" s="5">
        <v>0.33493975903614459</v>
      </c>
      <c r="D590" s="5">
        <v>0.38100000000000001</v>
      </c>
      <c r="E590" s="5">
        <v>4.4513137557959812E-2</v>
      </c>
      <c r="F590" s="2" t="s">
        <v>1171</v>
      </c>
      <c r="G590" s="2" t="s">
        <v>1172</v>
      </c>
      <c r="H590" s="2" t="s">
        <v>2684</v>
      </c>
      <c r="I590" s="2" t="s">
        <v>2687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5">
        <v>1</v>
      </c>
      <c r="Q590" s="2">
        <v>0</v>
      </c>
      <c r="R590" s="2">
        <v>0</v>
      </c>
      <c r="S590" s="5">
        <v>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</row>
    <row r="591" spans="1:28" ht="90" x14ac:dyDescent="0.25">
      <c r="A591" s="2">
        <v>590</v>
      </c>
      <c r="B591" s="5">
        <v>0.36276595744680851</v>
      </c>
      <c r="C591" s="5">
        <v>0.36626506024096378</v>
      </c>
      <c r="D591" s="5">
        <v>3.2000000000000001E-2</v>
      </c>
      <c r="E591" s="5">
        <v>7.9289026275115915E-2</v>
      </c>
      <c r="F591" s="2" t="s">
        <v>1173</v>
      </c>
      <c r="G591" s="2" t="s">
        <v>1174</v>
      </c>
      <c r="H591" s="2" t="s">
        <v>2684</v>
      </c>
      <c r="I591" s="2" t="s">
        <v>2687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5">
        <v>1</v>
      </c>
      <c r="Q591" s="2">
        <v>0</v>
      </c>
      <c r="R591" s="2">
        <v>0</v>
      </c>
      <c r="S591" s="5">
        <v>1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</row>
    <row r="592" spans="1:28" ht="45" x14ac:dyDescent="0.25">
      <c r="A592" s="2">
        <v>591</v>
      </c>
      <c r="B592" s="5">
        <v>0.42553191489361702</v>
      </c>
      <c r="C592" s="5">
        <v>0.41445783132530117</v>
      </c>
      <c r="D592" s="5">
        <v>0.16900000000000001</v>
      </c>
      <c r="E592" s="5">
        <v>5.2704791344667698E-2</v>
      </c>
      <c r="F592" s="2" t="s">
        <v>1175</v>
      </c>
      <c r="G592" s="2" t="s">
        <v>1176</v>
      </c>
      <c r="H592" s="2" t="s">
        <v>2684</v>
      </c>
      <c r="I592" s="2" t="s">
        <v>2687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5">
        <v>1</v>
      </c>
      <c r="Q592" s="2">
        <v>0</v>
      </c>
      <c r="R592" s="2">
        <v>0</v>
      </c>
      <c r="S592" s="5">
        <v>1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</row>
    <row r="593" spans="1:28" ht="90" x14ac:dyDescent="0.25">
      <c r="A593" s="2">
        <v>592</v>
      </c>
      <c r="B593" s="5">
        <v>0.21702127659574469</v>
      </c>
      <c r="C593" s="5">
        <v>0.20361445783132531</v>
      </c>
      <c r="D593" s="5">
        <v>8.8000000000000009E-2</v>
      </c>
      <c r="E593" s="5">
        <v>2.704791344667697E-2</v>
      </c>
      <c r="F593" s="2" t="s">
        <v>1177</v>
      </c>
      <c r="G593" s="2" t="s">
        <v>1178</v>
      </c>
      <c r="H593" s="2" t="s">
        <v>2684</v>
      </c>
      <c r="I593" s="2" t="s">
        <v>2687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5">
        <v>1</v>
      </c>
      <c r="Q593" s="2">
        <v>0</v>
      </c>
      <c r="R593" s="2">
        <v>0</v>
      </c>
      <c r="S593" s="5">
        <v>1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</row>
    <row r="594" spans="1:28" ht="45" x14ac:dyDescent="0.25">
      <c r="A594" s="2">
        <v>593</v>
      </c>
      <c r="B594" s="5">
        <v>0.22553191489361701</v>
      </c>
      <c r="C594" s="5">
        <v>0.21084337349397589</v>
      </c>
      <c r="D594" s="5">
        <v>0.1</v>
      </c>
      <c r="E594" s="5">
        <v>1.9938176197836169E-2</v>
      </c>
      <c r="F594" s="2" t="s">
        <v>1179</v>
      </c>
      <c r="G594" s="2" t="s">
        <v>1180</v>
      </c>
      <c r="H594" s="2" t="s">
        <v>2684</v>
      </c>
      <c r="I594" s="2" t="s">
        <v>2687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5">
        <v>1</v>
      </c>
      <c r="Q594" s="2">
        <v>0</v>
      </c>
      <c r="R594" s="2">
        <v>0</v>
      </c>
      <c r="S594" s="5">
        <v>1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</row>
    <row r="595" spans="1:28" ht="30" x14ac:dyDescent="0.25">
      <c r="A595" s="2">
        <v>594</v>
      </c>
      <c r="B595" s="5">
        <v>0.12553191489361701</v>
      </c>
      <c r="C595" s="5">
        <v>5.301204819277109E-2</v>
      </c>
      <c r="D595" s="5">
        <v>1.4999999999999999E-2</v>
      </c>
      <c r="E595" s="5">
        <v>3.3384853168469862E-2</v>
      </c>
      <c r="F595" s="2" t="s">
        <v>1181</v>
      </c>
      <c r="G595" s="2" t="s">
        <v>1182</v>
      </c>
      <c r="H595" s="2" t="s">
        <v>2684</v>
      </c>
      <c r="I595" s="2" t="s">
        <v>2687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5">
        <v>1</v>
      </c>
      <c r="Q595" s="2">
        <v>0</v>
      </c>
      <c r="R595" s="2">
        <v>0</v>
      </c>
      <c r="S595" s="5">
        <v>1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</row>
    <row r="596" spans="1:28" ht="45" x14ac:dyDescent="0.25">
      <c r="A596" s="2">
        <v>595</v>
      </c>
      <c r="B596" s="5">
        <v>0.50957446808510642</v>
      </c>
      <c r="C596" s="5">
        <v>0.15301204819277109</v>
      </c>
      <c r="D596" s="5">
        <v>0.23200000000000001</v>
      </c>
      <c r="E596" s="5">
        <v>9.1035548686244194E-2</v>
      </c>
      <c r="F596" s="2" t="s">
        <v>1183</v>
      </c>
      <c r="G596" s="2" t="s">
        <v>1184</v>
      </c>
      <c r="H596" s="2" t="s">
        <v>2684</v>
      </c>
      <c r="I596" s="2" t="s">
        <v>2687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5">
        <v>1</v>
      </c>
      <c r="Q596" s="2">
        <v>0</v>
      </c>
      <c r="R596" s="2">
        <v>0</v>
      </c>
      <c r="S596" s="5">
        <v>1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</row>
    <row r="597" spans="1:28" ht="45" x14ac:dyDescent="0.25">
      <c r="A597" s="2">
        <v>596</v>
      </c>
      <c r="B597" s="5">
        <v>0.39361702127659581</v>
      </c>
      <c r="C597" s="5">
        <v>0.19277108433734941</v>
      </c>
      <c r="D597" s="5">
        <v>0.06</v>
      </c>
      <c r="E597" s="5">
        <v>0.1004636785162287</v>
      </c>
      <c r="F597" s="2" t="s">
        <v>1185</v>
      </c>
      <c r="G597" s="2" t="s">
        <v>1186</v>
      </c>
      <c r="H597" s="2" t="s">
        <v>2684</v>
      </c>
      <c r="I597" s="2" t="s">
        <v>2687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5">
        <v>1</v>
      </c>
      <c r="Q597" s="2">
        <v>0</v>
      </c>
      <c r="R597" s="2">
        <v>0</v>
      </c>
      <c r="S597" s="5">
        <v>1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 spans="1:28" ht="30" x14ac:dyDescent="0.25">
      <c r="A598" s="2">
        <v>597</v>
      </c>
      <c r="B598" s="5">
        <v>0.17127659574468079</v>
      </c>
      <c r="C598" s="5">
        <v>9.2771084337349402E-2</v>
      </c>
      <c r="D598" s="5">
        <v>2.8000000000000001E-2</v>
      </c>
      <c r="E598" s="5">
        <v>4.188562596599691E-2</v>
      </c>
      <c r="F598" s="2" t="s">
        <v>1187</v>
      </c>
      <c r="G598" s="2" t="s">
        <v>1188</v>
      </c>
      <c r="H598" s="2" t="s">
        <v>2683</v>
      </c>
      <c r="I598" s="2" t="s">
        <v>2687</v>
      </c>
      <c r="J598" s="2">
        <v>0</v>
      </c>
      <c r="K598" s="2">
        <v>0</v>
      </c>
      <c r="L598" s="2">
        <v>0</v>
      </c>
      <c r="M598" s="5">
        <v>1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5">
        <v>1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</row>
    <row r="599" spans="1:28" ht="45" x14ac:dyDescent="0.25">
      <c r="A599" s="2">
        <v>598</v>
      </c>
      <c r="B599" s="5">
        <v>0.175531914893617</v>
      </c>
      <c r="C599" s="5">
        <v>9.2771084337349402E-2</v>
      </c>
      <c r="D599" s="5">
        <v>3.1E-2</v>
      </c>
      <c r="E599" s="5">
        <v>4.2349304482225653E-2</v>
      </c>
      <c r="F599" s="2" t="s">
        <v>1189</v>
      </c>
      <c r="G599" s="2" t="s">
        <v>1190</v>
      </c>
      <c r="H599" s="2" t="s">
        <v>2684</v>
      </c>
      <c r="I599" s="2" t="s">
        <v>2687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5">
        <v>1</v>
      </c>
      <c r="Q599" s="2">
        <v>0</v>
      </c>
      <c r="R599" s="2">
        <v>0</v>
      </c>
      <c r="S599" s="5">
        <v>1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</row>
    <row r="600" spans="1:28" ht="45" x14ac:dyDescent="0.25">
      <c r="A600" s="2">
        <v>599</v>
      </c>
      <c r="B600" s="5">
        <v>0.35212765957446812</v>
      </c>
      <c r="C600" s="5">
        <v>0.30120481927710852</v>
      </c>
      <c r="D600" s="5">
        <v>0.01</v>
      </c>
      <c r="E600" s="5">
        <v>8.964451313755796E-2</v>
      </c>
      <c r="F600" s="2" t="s">
        <v>1191</v>
      </c>
      <c r="G600" s="2" t="s">
        <v>1192</v>
      </c>
      <c r="H600" s="2" t="s">
        <v>2688</v>
      </c>
      <c r="I600" s="2" t="s">
        <v>2687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5">
        <v>1</v>
      </c>
      <c r="P600" s="2">
        <v>0</v>
      </c>
      <c r="Q600" s="2">
        <v>0</v>
      </c>
      <c r="R600" s="2">
        <v>0</v>
      </c>
      <c r="S600" s="5">
        <v>1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</row>
    <row r="601" spans="1:28" ht="30" x14ac:dyDescent="0.25">
      <c r="A601" s="2">
        <v>600</v>
      </c>
      <c r="B601" s="5">
        <v>0.13723404255319149</v>
      </c>
      <c r="C601" s="5">
        <v>0.14939759036144579</v>
      </c>
      <c r="D601" s="5">
        <v>6.9999999999999993E-3</v>
      </c>
      <c r="E601" s="5">
        <v>2.828438948995363E-2</v>
      </c>
      <c r="F601" s="2" t="s">
        <v>1193</v>
      </c>
      <c r="G601" s="2" t="s">
        <v>1194</v>
      </c>
      <c r="H601" s="2" t="s">
        <v>2684</v>
      </c>
      <c r="I601" s="2" t="s">
        <v>2687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5">
        <v>1</v>
      </c>
      <c r="Q601" s="2">
        <v>0</v>
      </c>
      <c r="R601" s="2">
        <v>0</v>
      </c>
      <c r="S601" s="5">
        <v>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</row>
    <row r="602" spans="1:28" ht="60" x14ac:dyDescent="0.25">
      <c r="A602" s="2">
        <v>601</v>
      </c>
      <c r="B602" s="5">
        <v>0.35744680851063831</v>
      </c>
      <c r="C602" s="5">
        <v>0.27831325301204818</v>
      </c>
      <c r="D602" s="5">
        <v>1.7000000000000001E-2</v>
      </c>
      <c r="E602" s="5">
        <v>9.1962905718701693E-2</v>
      </c>
      <c r="F602" s="2" t="s">
        <v>1195</v>
      </c>
      <c r="G602" s="2" t="s">
        <v>1196</v>
      </c>
      <c r="H602" s="2" t="s">
        <v>2684</v>
      </c>
      <c r="I602" s="2" t="s">
        <v>2687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5">
        <v>1</v>
      </c>
      <c r="Q602" s="2">
        <v>0</v>
      </c>
      <c r="R602" s="2">
        <v>0</v>
      </c>
      <c r="S602" s="5">
        <v>1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</row>
    <row r="603" spans="1:28" ht="30" x14ac:dyDescent="0.25">
      <c r="A603" s="2">
        <v>602</v>
      </c>
      <c r="B603" s="5">
        <v>0.54893617021276597</v>
      </c>
      <c r="C603" s="5">
        <v>0.17710843373493981</v>
      </c>
      <c r="D603" s="5">
        <v>0.311</v>
      </c>
      <c r="E603" s="5">
        <v>6.8624420401854708E-2</v>
      </c>
      <c r="F603" s="2" t="s">
        <v>1197</v>
      </c>
      <c r="G603" s="2" t="s">
        <v>1198</v>
      </c>
      <c r="H603" s="2" t="s">
        <v>2684</v>
      </c>
      <c r="I603" s="2" t="s">
        <v>2687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5">
        <v>1</v>
      </c>
      <c r="Q603" s="2">
        <v>0</v>
      </c>
      <c r="R603" s="2">
        <v>0</v>
      </c>
      <c r="S603" s="5">
        <v>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</row>
    <row r="604" spans="1:28" ht="30" x14ac:dyDescent="0.25">
      <c r="A604" s="2">
        <v>603</v>
      </c>
      <c r="B604" s="5">
        <v>0.35744680851063831</v>
      </c>
      <c r="C604" s="5">
        <v>0.24939759036144579</v>
      </c>
      <c r="D604" s="5">
        <v>1.4E-2</v>
      </c>
      <c r="E604" s="5">
        <v>9.5826893353941262E-2</v>
      </c>
      <c r="F604" s="2" t="s">
        <v>1199</v>
      </c>
      <c r="G604" s="2" t="s">
        <v>1200</v>
      </c>
      <c r="H604" s="2" t="s">
        <v>2688</v>
      </c>
      <c r="I604" s="2" t="s">
        <v>2687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5">
        <v>1</v>
      </c>
      <c r="P604" s="2">
        <v>0</v>
      </c>
      <c r="Q604" s="2">
        <v>0</v>
      </c>
      <c r="R604" s="2">
        <v>0</v>
      </c>
      <c r="S604" s="5">
        <v>1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</row>
    <row r="605" spans="1:28" ht="30" x14ac:dyDescent="0.25">
      <c r="A605" s="2">
        <v>604</v>
      </c>
      <c r="B605" s="5">
        <v>0.33617021276595738</v>
      </c>
      <c r="C605" s="5">
        <v>0.24939759036144579</v>
      </c>
      <c r="D605" s="5">
        <v>0.01</v>
      </c>
      <c r="E605" s="5">
        <v>8.964451313755796E-2</v>
      </c>
      <c r="F605" s="2" t="s">
        <v>1201</v>
      </c>
      <c r="G605" s="2" t="s">
        <v>1202</v>
      </c>
      <c r="H605" s="2" t="s">
        <v>2688</v>
      </c>
      <c r="I605" s="2" t="s">
        <v>2687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5">
        <v>1</v>
      </c>
      <c r="P605" s="2">
        <v>0</v>
      </c>
      <c r="Q605" s="2">
        <v>0</v>
      </c>
      <c r="R605" s="2">
        <v>0</v>
      </c>
      <c r="S605" s="5">
        <v>1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</row>
    <row r="606" spans="1:28" ht="45" x14ac:dyDescent="0.25">
      <c r="A606" s="2">
        <v>605</v>
      </c>
      <c r="B606" s="5">
        <v>0.1212765957446809</v>
      </c>
      <c r="C606" s="5">
        <v>8.4337349397590369E-2</v>
      </c>
      <c r="D606" s="5">
        <v>6.0000000000000001E-3</v>
      </c>
      <c r="E606" s="5">
        <v>3.2148377125193202E-2</v>
      </c>
      <c r="F606" s="2" t="s">
        <v>1203</v>
      </c>
      <c r="G606" s="2" t="s">
        <v>1204</v>
      </c>
      <c r="H606" s="2" t="s">
        <v>2688</v>
      </c>
      <c r="I606" s="2" t="s">
        <v>2687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5">
        <v>1</v>
      </c>
      <c r="P606" s="2">
        <v>0</v>
      </c>
      <c r="Q606" s="2">
        <v>0</v>
      </c>
      <c r="R606" s="2">
        <v>0</v>
      </c>
      <c r="S606" s="5">
        <v>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</row>
    <row r="607" spans="1:28" ht="60" x14ac:dyDescent="0.25">
      <c r="A607" s="2">
        <v>606</v>
      </c>
      <c r="B607" s="5">
        <v>0.1308510638297872</v>
      </c>
      <c r="C607" s="5">
        <v>0.10120481927710839</v>
      </c>
      <c r="D607" s="5">
        <v>6.0000000000000001E-3</v>
      </c>
      <c r="E607" s="5">
        <v>2.7820710973724878E-3</v>
      </c>
      <c r="F607" s="2" t="s">
        <v>1205</v>
      </c>
      <c r="G607" s="2" t="s">
        <v>1206</v>
      </c>
      <c r="H607" s="2" t="s">
        <v>2684</v>
      </c>
      <c r="I607" s="2" t="s">
        <v>2687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5">
        <v>1</v>
      </c>
      <c r="Q607" s="2">
        <v>0</v>
      </c>
      <c r="R607" s="2">
        <v>0</v>
      </c>
      <c r="S607" s="5">
        <v>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</row>
    <row r="608" spans="1:28" ht="60" x14ac:dyDescent="0.25">
      <c r="A608" s="2">
        <v>607</v>
      </c>
      <c r="B608" s="5">
        <v>0.15638297872340429</v>
      </c>
      <c r="C608" s="5">
        <v>0.108433734939759</v>
      </c>
      <c r="D608" s="5">
        <v>5.0000000000000001E-3</v>
      </c>
      <c r="E608" s="5">
        <v>4.250386398763524E-2</v>
      </c>
      <c r="F608" s="2" t="s">
        <v>1207</v>
      </c>
      <c r="G608" s="2" t="s">
        <v>1208</v>
      </c>
      <c r="H608" s="2" t="s">
        <v>2683</v>
      </c>
      <c r="I608" s="2" t="s">
        <v>2687</v>
      </c>
      <c r="J608" s="2">
        <v>0</v>
      </c>
      <c r="K608" s="2">
        <v>0</v>
      </c>
      <c r="L608" s="2">
        <v>0</v>
      </c>
      <c r="M608" s="5">
        <v>1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5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</row>
    <row r="609" spans="1:28" ht="30" x14ac:dyDescent="0.25">
      <c r="A609" s="2">
        <v>608</v>
      </c>
      <c r="B609" s="5">
        <v>0.34361702127659582</v>
      </c>
      <c r="C609" s="5">
        <v>0.27590361445783129</v>
      </c>
      <c r="D609" s="5">
        <v>1.4999999999999999E-2</v>
      </c>
      <c r="E609" s="5">
        <v>8.7789799072642963E-2</v>
      </c>
      <c r="F609" s="2" t="s">
        <v>1209</v>
      </c>
      <c r="G609" s="2" t="s">
        <v>1210</v>
      </c>
      <c r="H609" s="2" t="s">
        <v>2684</v>
      </c>
      <c r="I609" s="2" t="s">
        <v>2687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5">
        <v>1</v>
      </c>
      <c r="Q609" s="2">
        <v>0</v>
      </c>
      <c r="R609" s="2">
        <v>0</v>
      </c>
      <c r="S609" s="5">
        <v>1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</row>
    <row r="610" spans="1:28" ht="45" x14ac:dyDescent="0.25">
      <c r="A610" s="2">
        <v>609</v>
      </c>
      <c r="B610" s="5">
        <v>0.1159574468085106</v>
      </c>
      <c r="C610" s="5">
        <v>0.10481927710843369</v>
      </c>
      <c r="D610" s="5">
        <v>5.0000000000000001E-3</v>
      </c>
      <c r="E610" s="5">
        <v>2.828438948995363E-2</v>
      </c>
      <c r="F610" s="2" t="s">
        <v>1211</v>
      </c>
      <c r="G610" s="2" t="s">
        <v>1212</v>
      </c>
      <c r="H610" s="2" t="s">
        <v>2683</v>
      </c>
      <c r="I610" s="2" t="s">
        <v>2687</v>
      </c>
      <c r="J610" s="2">
        <v>0</v>
      </c>
      <c r="K610" s="2">
        <v>0</v>
      </c>
      <c r="L610" s="2">
        <v>0</v>
      </c>
      <c r="M610" s="5">
        <v>1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5">
        <v>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 spans="1:28" ht="45" x14ac:dyDescent="0.25">
      <c r="A611" s="2">
        <v>610</v>
      </c>
      <c r="B611" s="5">
        <v>0.37234042553191488</v>
      </c>
      <c r="C611" s="5">
        <v>0.2060240963855422</v>
      </c>
      <c r="D611" s="5">
        <v>1.7999999999999999E-2</v>
      </c>
      <c r="E611" s="5">
        <v>0.10927357032457501</v>
      </c>
      <c r="F611" s="2" t="s">
        <v>1213</v>
      </c>
      <c r="G611" s="2" t="s">
        <v>1214</v>
      </c>
      <c r="H611" s="2" t="s">
        <v>2684</v>
      </c>
      <c r="I611" s="2" t="s">
        <v>2687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5">
        <v>1</v>
      </c>
      <c r="Q611" s="2">
        <v>0</v>
      </c>
      <c r="R611" s="2">
        <v>0</v>
      </c>
      <c r="S611" s="5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</row>
    <row r="612" spans="1:28" ht="45" x14ac:dyDescent="0.25">
      <c r="A612" s="2">
        <v>611</v>
      </c>
      <c r="B612" s="5">
        <v>0.36063829787234042</v>
      </c>
      <c r="C612" s="5">
        <v>0.25060240963855418</v>
      </c>
      <c r="D612" s="5">
        <v>2.1000000000000001E-2</v>
      </c>
      <c r="E612" s="5">
        <v>9.9845440494590404E-2</v>
      </c>
      <c r="F612" s="2" t="s">
        <v>1215</v>
      </c>
      <c r="G612" s="2" t="s">
        <v>1216</v>
      </c>
      <c r="H612" s="2" t="s">
        <v>2684</v>
      </c>
      <c r="I612" s="2" t="s">
        <v>2687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5">
        <v>1</v>
      </c>
      <c r="Q612" s="2">
        <v>0</v>
      </c>
      <c r="R612" s="2">
        <v>0</v>
      </c>
      <c r="S612" s="5">
        <v>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 spans="1:28" ht="45" x14ac:dyDescent="0.25">
      <c r="A613" s="2">
        <v>612</v>
      </c>
      <c r="B613" s="5">
        <v>0.36808510638297881</v>
      </c>
      <c r="C613" s="5">
        <v>0.2</v>
      </c>
      <c r="D613" s="5">
        <v>1.7000000000000001E-2</v>
      </c>
      <c r="E613" s="5">
        <v>0.10216383307573421</v>
      </c>
      <c r="F613" s="2" t="s">
        <v>1217</v>
      </c>
      <c r="G613" s="2" t="s">
        <v>1218</v>
      </c>
      <c r="H613" s="2" t="s">
        <v>2684</v>
      </c>
      <c r="I613" s="2" t="s">
        <v>2687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5">
        <v>1</v>
      </c>
      <c r="Q613" s="2">
        <v>0</v>
      </c>
      <c r="R613" s="2">
        <v>0</v>
      </c>
      <c r="S613" s="5">
        <v>1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</row>
    <row r="614" spans="1:28" ht="90" x14ac:dyDescent="0.25">
      <c r="A614" s="2">
        <v>613</v>
      </c>
      <c r="B614" s="5">
        <v>0.36702127659574468</v>
      </c>
      <c r="C614" s="5">
        <v>0.26746987951807227</v>
      </c>
      <c r="D614" s="5">
        <v>1.2E-2</v>
      </c>
      <c r="E614" s="5">
        <v>9.721792890262751E-2</v>
      </c>
      <c r="F614" s="2" t="s">
        <v>1219</v>
      </c>
      <c r="G614" s="2" t="s">
        <v>1220</v>
      </c>
      <c r="H614" s="2" t="s">
        <v>2684</v>
      </c>
      <c r="I614" s="2" t="s">
        <v>2687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5">
        <v>1</v>
      </c>
      <c r="Q614" s="2">
        <v>0</v>
      </c>
      <c r="R614" s="2">
        <v>0</v>
      </c>
      <c r="S614" s="5">
        <v>1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</row>
    <row r="615" spans="1:28" ht="30" x14ac:dyDescent="0.25">
      <c r="A615" s="2">
        <v>614</v>
      </c>
      <c r="B615" s="5">
        <v>0.47340425531914893</v>
      </c>
      <c r="C615" s="5">
        <v>0.13253012048192769</v>
      </c>
      <c r="D615" s="5">
        <v>0.11</v>
      </c>
      <c r="E615" s="5">
        <v>0.10123647604327669</v>
      </c>
      <c r="F615" s="2" t="s">
        <v>1221</v>
      </c>
      <c r="G615" s="2" t="s">
        <v>1222</v>
      </c>
      <c r="H615" s="2" t="s">
        <v>2684</v>
      </c>
      <c r="I615" s="2" t="s">
        <v>2687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5">
        <v>1</v>
      </c>
      <c r="Q615" s="2">
        <v>0</v>
      </c>
      <c r="R615" s="2">
        <v>0</v>
      </c>
      <c r="S615" s="5">
        <v>1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</row>
    <row r="616" spans="1:28" ht="30" x14ac:dyDescent="0.25">
      <c r="A616" s="2">
        <v>615</v>
      </c>
      <c r="B616" s="5">
        <v>0.1042553191489362</v>
      </c>
      <c r="C616" s="5">
        <v>8.0722891566265068E-2</v>
      </c>
      <c r="D616" s="5">
        <v>4.0000000000000001E-3</v>
      </c>
      <c r="E616" s="5">
        <v>2.7357032457496131E-2</v>
      </c>
      <c r="F616" s="2" t="s">
        <v>1223</v>
      </c>
      <c r="G616" s="2" t="s">
        <v>1224</v>
      </c>
      <c r="H616" s="2" t="s">
        <v>2684</v>
      </c>
      <c r="I616" s="2" t="s">
        <v>2687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5">
        <v>1</v>
      </c>
      <c r="Q616" s="2">
        <v>0</v>
      </c>
      <c r="R616" s="2">
        <v>0</v>
      </c>
      <c r="S616" s="5">
        <v>1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</row>
    <row r="617" spans="1:28" ht="30" x14ac:dyDescent="0.25">
      <c r="A617" s="2">
        <v>616</v>
      </c>
      <c r="B617" s="5">
        <v>0.30425531914893622</v>
      </c>
      <c r="C617" s="5">
        <v>0.363855421686747</v>
      </c>
      <c r="D617" s="5">
        <v>0.156</v>
      </c>
      <c r="E617" s="5">
        <v>4.652241112828439E-2</v>
      </c>
      <c r="F617" s="2" t="s">
        <v>1225</v>
      </c>
      <c r="G617" s="2" t="s">
        <v>1226</v>
      </c>
      <c r="H617" s="2" t="s">
        <v>2684</v>
      </c>
      <c r="I617" s="2" t="s">
        <v>2687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5">
        <v>1</v>
      </c>
      <c r="Q617" s="2">
        <v>0</v>
      </c>
      <c r="R617" s="2">
        <v>0</v>
      </c>
      <c r="S617" s="5">
        <v>1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</row>
    <row r="618" spans="1:28" ht="45" x14ac:dyDescent="0.25">
      <c r="A618" s="2">
        <v>617</v>
      </c>
      <c r="B618" s="5">
        <v>0.55425531914893622</v>
      </c>
      <c r="C618" s="5">
        <v>0.3879518072289157</v>
      </c>
      <c r="D618" s="5">
        <v>0.37700000000000011</v>
      </c>
      <c r="E618" s="5">
        <v>3.5394126738794433E-2</v>
      </c>
      <c r="F618" s="2" t="s">
        <v>1227</v>
      </c>
      <c r="G618" s="2" t="s">
        <v>1228</v>
      </c>
      <c r="H618" s="2" t="s">
        <v>2684</v>
      </c>
      <c r="I618" s="2" t="s">
        <v>2687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5">
        <v>1</v>
      </c>
      <c r="Q618" s="2">
        <v>0</v>
      </c>
      <c r="R618" s="2">
        <v>0</v>
      </c>
      <c r="S618" s="5">
        <v>1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</row>
    <row r="619" spans="1:28" ht="45" x14ac:dyDescent="0.25">
      <c r="A619" s="2">
        <v>618</v>
      </c>
      <c r="B619" s="5">
        <v>0.40531914893617021</v>
      </c>
      <c r="C619" s="5">
        <v>0.48674698795180732</v>
      </c>
      <c r="D619" s="5">
        <v>0.16700000000000001</v>
      </c>
      <c r="E619" s="5">
        <v>3.8485316846986077E-2</v>
      </c>
      <c r="F619" s="2" t="s">
        <v>1229</v>
      </c>
      <c r="G619" s="2" t="s">
        <v>1230</v>
      </c>
      <c r="H619" s="2" t="s">
        <v>2684</v>
      </c>
      <c r="I619" s="2" t="s">
        <v>2687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5">
        <v>1</v>
      </c>
      <c r="Q619" s="2">
        <v>0</v>
      </c>
      <c r="R619" s="2">
        <v>0</v>
      </c>
      <c r="S619" s="5">
        <v>1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</row>
    <row r="620" spans="1:28" ht="30" x14ac:dyDescent="0.25">
      <c r="A620" s="2">
        <v>619</v>
      </c>
      <c r="B620" s="5">
        <v>7.9787234042553196E-2</v>
      </c>
      <c r="C620" s="5">
        <v>4.9397590361445781E-2</v>
      </c>
      <c r="D620" s="5">
        <v>2.1000000000000001E-2</v>
      </c>
      <c r="E620" s="5">
        <v>1.653786707882535E-2</v>
      </c>
      <c r="F620" s="2" t="s">
        <v>1231</v>
      </c>
      <c r="G620" s="2" t="s">
        <v>1232</v>
      </c>
      <c r="H620" s="2" t="s">
        <v>2683</v>
      </c>
      <c r="I620" s="2" t="s">
        <v>2687</v>
      </c>
      <c r="J620" s="2">
        <v>0</v>
      </c>
      <c r="K620" s="2">
        <v>0</v>
      </c>
      <c r="L620" s="2">
        <v>0</v>
      </c>
      <c r="M620" s="5">
        <v>1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5">
        <v>1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</row>
    <row r="621" spans="1:28" ht="45" x14ac:dyDescent="0.25">
      <c r="A621" s="2">
        <v>620</v>
      </c>
      <c r="B621" s="5">
        <v>0.20106382978723411</v>
      </c>
      <c r="C621" s="5">
        <v>0.2433734939759036</v>
      </c>
      <c r="D621" s="5">
        <v>8.199999999999999E-2</v>
      </c>
      <c r="E621" s="5">
        <v>1.9629057187017001E-2</v>
      </c>
      <c r="F621" s="2" t="s">
        <v>1233</v>
      </c>
      <c r="G621" s="2" t="s">
        <v>1234</v>
      </c>
      <c r="H621" s="2" t="s">
        <v>2683</v>
      </c>
      <c r="I621" s="2" t="s">
        <v>2687</v>
      </c>
      <c r="J621" s="2">
        <v>0</v>
      </c>
      <c r="K621" s="2">
        <v>0</v>
      </c>
      <c r="L621" s="2">
        <v>0</v>
      </c>
      <c r="M621" s="5">
        <v>1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5">
        <v>1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</row>
    <row r="622" spans="1:28" ht="60" x14ac:dyDescent="0.25">
      <c r="A622" s="2">
        <v>621</v>
      </c>
      <c r="B622" s="5">
        <v>0.30425531914893622</v>
      </c>
      <c r="C622" s="5">
        <v>0.363855421686747</v>
      </c>
      <c r="D622" s="5">
        <v>0.156</v>
      </c>
      <c r="E622" s="5">
        <v>4.652241112828439E-2</v>
      </c>
      <c r="F622" s="2" t="s">
        <v>1235</v>
      </c>
      <c r="G622" s="2" t="s">
        <v>1236</v>
      </c>
      <c r="H622" s="2" t="s">
        <v>2684</v>
      </c>
      <c r="I622" s="2" t="s">
        <v>2687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5">
        <v>1</v>
      </c>
      <c r="Q622" s="2">
        <v>0</v>
      </c>
      <c r="R622" s="2">
        <v>0</v>
      </c>
      <c r="S622" s="5">
        <v>1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</row>
    <row r="623" spans="1:28" x14ac:dyDescent="0.25">
      <c r="A623" s="2">
        <v>622</v>
      </c>
      <c r="B623" s="5">
        <v>0.34787234042553189</v>
      </c>
      <c r="C623" s="5">
        <v>0.1975903614457831</v>
      </c>
      <c r="D623" s="5">
        <v>4.2999999999999997E-2</v>
      </c>
      <c r="E623" s="5">
        <v>8.6244204018547141E-2</v>
      </c>
      <c r="F623" s="2" t="s">
        <v>1237</v>
      </c>
      <c r="G623" s="2" t="s">
        <v>1238</v>
      </c>
      <c r="H623" s="2" t="s">
        <v>2684</v>
      </c>
      <c r="I623" s="2" t="s">
        <v>2687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5">
        <v>1</v>
      </c>
      <c r="Q623" s="2">
        <v>0</v>
      </c>
      <c r="R623" s="2">
        <v>0</v>
      </c>
      <c r="S623" s="5">
        <v>1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</row>
    <row r="624" spans="1:28" ht="30" x14ac:dyDescent="0.25">
      <c r="A624" s="2">
        <v>623</v>
      </c>
      <c r="B624" s="5">
        <v>0.37765957446808512</v>
      </c>
      <c r="C624" s="5">
        <v>0.20481927710843381</v>
      </c>
      <c r="D624" s="5">
        <v>2.5000000000000001E-2</v>
      </c>
      <c r="E624" s="5">
        <v>0.1020092735703246</v>
      </c>
      <c r="F624" s="2" t="s">
        <v>1239</v>
      </c>
      <c r="G624" s="2" t="s">
        <v>1240</v>
      </c>
      <c r="H624" s="2" t="s">
        <v>2684</v>
      </c>
      <c r="I624" s="2" t="s">
        <v>2687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5">
        <v>1</v>
      </c>
      <c r="Q624" s="2">
        <v>0</v>
      </c>
      <c r="R624" s="2">
        <v>0</v>
      </c>
      <c r="S624" s="5">
        <v>1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</row>
    <row r="625" spans="1:28" ht="60" x14ac:dyDescent="0.25">
      <c r="A625" s="2">
        <v>624</v>
      </c>
      <c r="B625" s="5">
        <v>0.36808510638297881</v>
      </c>
      <c r="C625" s="5">
        <v>0.1987951807228916</v>
      </c>
      <c r="D625" s="5">
        <v>1.4999999999999999E-2</v>
      </c>
      <c r="E625" s="5">
        <v>0.1029366306027821</v>
      </c>
      <c r="F625" s="2" t="s">
        <v>1241</v>
      </c>
      <c r="G625" s="2" t="s">
        <v>1242</v>
      </c>
      <c r="H625" s="2" t="s">
        <v>2684</v>
      </c>
      <c r="I625" s="2" t="s">
        <v>2687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5">
        <v>1</v>
      </c>
      <c r="Q625" s="2">
        <v>0</v>
      </c>
      <c r="R625" s="2">
        <v>0</v>
      </c>
      <c r="S625" s="5">
        <v>1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</row>
    <row r="626" spans="1:28" ht="60" x14ac:dyDescent="0.25">
      <c r="A626" s="2">
        <v>625</v>
      </c>
      <c r="B626" s="5">
        <v>2.3404255319148939E-2</v>
      </c>
      <c r="C626" s="5">
        <v>1.3253012048192771E-2</v>
      </c>
      <c r="D626" s="5">
        <v>0.01</v>
      </c>
      <c r="E626" s="5">
        <v>5.2550231839258114E-3</v>
      </c>
      <c r="F626" s="2" t="s">
        <v>1243</v>
      </c>
      <c r="G626" s="2" t="s">
        <v>1244</v>
      </c>
      <c r="H626" s="2" t="s">
        <v>2684</v>
      </c>
      <c r="I626" s="2" t="s">
        <v>2687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5">
        <v>1</v>
      </c>
      <c r="Q626" s="2">
        <v>0</v>
      </c>
      <c r="R626" s="2">
        <v>0</v>
      </c>
      <c r="S626" s="5">
        <v>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</row>
    <row r="627" spans="1:28" ht="60" x14ac:dyDescent="0.25">
      <c r="A627" s="2">
        <v>626</v>
      </c>
      <c r="B627" s="5">
        <v>0.36595744680851072</v>
      </c>
      <c r="C627" s="5">
        <v>0.2012048192771084</v>
      </c>
      <c r="D627" s="5">
        <v>2.1000000000000001E-2</v>
      </c>
      <c r="E627" s="5">
        <v>9.9845440494590404E-2</v>
      </c>
      <c r="F627" s="2" t="s">
        <v>1245</v>
      </c>
      <c r="G627" s="2" t="s">
        <v>1246</v>
      </c>
      <c r="H627" s="2" t="s">
        <v>2683</v>
      </c>
      <c r="I627" s="2" t="s">
        <v>2693</v>
      </c>
      <c r="J627" s="2">
        <v>0</v>
      </c>
      <c r="K627" s="2">
        <v>0</v>
      </c>
      <c r="L627" s="2">
        <v>0</v>
      </c>
      <c r="M627" s="5">
        <v>1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5">
        <v>1</v>
      </c>
      <c r="AA627" s="2">
        <v>0</v>
      </c>
      <c r="AB627" s="2">
        <v>0</v>
      </c>
    </row>
    <row r="628" spans="1:28" ht="45" x14ac:dyDescent="0.25">
      <c r="A628" s="2">
        <v>627</v>
      </c>
      <c r="B628" s="5">
        <v>0.35744680851063831</v>
      </c>
      <c r="C628" s="5">
        <v>0.27831325301204818</v>
      </c>
      <c r="D628" s="5">
        <v>1.7000000000000001E-2</v>
      </c>
      <c r="E628" s="5">
        <v>9.1962905718701693E-2</v>
      </c>
      <c r="F628" s="2" t="s">
        <v>1247</v>
      </c>
      <c r="G628" s="2" t="s">
        <v>1248</v>
      </c>
      <c r="H628" s="2" t="s">
        <v>2684</v>
      </c>
      <c r="I628" s="2" t="s">
        <v>2687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5">
        <v>1</v>
      </c>
      <c r="Q628" s="2">
        <v>0</v>
      </c>
      <c r="R628" s="2">
        <v>0</v>
      </c>
      <c r="S628" s="5">
        <v>1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</row>
    <row r="629" spans="1:28" ht="45" x14ac:dyDescent="0.25">
      <c r="A629" s="2">
        <v>628</v>
      </c>
      <c r="B629" s="5">
        <v>0.37234042553191488</v>
      </c>
      <c r="C629" s="5">
        <v>0.1674698795180723</v>
      </c>
      <c r="D629" s="5">
        <v>0.03</v>
      </c>
      <c r="E629" s="5">
        <v>0.1034003091190108</v>
      </c>
      <c r="F629" s="2" t="s">
        <v>1249</v>
      </c>
      <c r="G629" s="2" t="s">
        <v>1250</v>
      </c>
      <c r="H629" s="2" t="s">
        <v>2684</v>
      </c>
      <c r="I629" s="2" t="s">
        <v>2687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5">
        <v>1</v>
      </c>
      <c r="Q629" s="2">
        <v>0</v>
      </c>
      <c r="R629" s="2">
        <v>0</v>
      </c>
      <c r="S629" s="5">
        <v>1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</row>
    <row r="630" spans="1:28" ht="45" x14ac:dyDescent="0.25">
      <c r="A630" s="2">
        <v>629</v>
      </c>
      <c r="B630" s="5">
        <v>0.33404255319148929</v>
      </c>
      <c r="C630" s="5">
        <v>0.26626506024096391</v>
      </c>
      <c r="D630" s="5">
        <v>1.0999999999999999E-2</v>
      </c>
      <c r="E630" s="5">
        <v>8.6862442040185478E-2</v>
      </c>
      <c r="F630" s="2" t="s">
        <v>1251</v>
      </c>
      <c r="G630" s="2" t="s">
        <v>1252</v>
      </c>
      <c r="H630" s="2" t="s">
        <v>2684</v>
      </c>
      <c r="I630" s="2" t="s">
        <v>2687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5">
        <v>1</v>
      </c>
      <c r="Q630" s="2">
        <v>0</v>
      </c>
      <c r="R630" s="2">
        <v>0</v>
      </c>
      <c r="S630" s="5">
        <v>1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</row>
    <row r="631" spans="1:28" ht="45" x14ac:dyDescent="0.25">
      <c r="A631" s="2">
        <v>630</v>
      </c>
      <c r="B631" s="5">
        <v>0.16808510638297869</v>
      </c>
      <c r="C631" s="5">
        <v>0.1240963855421687</v>
      </c>
      <c r="D631" s="5">
        <v>9.0000000000000011E-3</v>
      </c>
      <c r="E631" s="5">
        <v>4.358578052550232E-2</v>
      </c>
      <c r="F631" s="2" t="s">
        <v>1253</v>
      </c>
      <c r="G631" s="2" t="s">
        <v>1254</v>
      </c>
      <c r="H631" s="2" t="s">
        <v>2683</v>
      </c>
      <c r="I631" s="2" t="s">
        <v>2687</v>
      </c>
      <c r="J631" s="2">
        <v>0</v>
      </c>
      <c r="K631" s="2">
        <v>0</v>
      </c>
      <c r="L631" s="2">
        <v>0</v>
      </c>
      <c r="M631" s="5">
        <v>1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5">
        <v>1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</row>
    <row r="632" spans="1:28" ht="45" x14ac:dyDescent="0.25">
      <c r="A632" s="2">
        <v>631</v>
      </c>
      <c r="B632" s="5">
        <v>0.18191489361702129</v>
      </c>
      <c r="C632" s="5">
        <v>0.13253012048192769</v>
      </c>
      <c r="D632" s="5">
        <v>2.1999999999999999E-2</v>
      </c>
      <c r="E632" s="5">
        <v>4.3276661514683151E-2</v>
      </c>
      <c r="F632" s="2" t="s">
        <v>1255</v>
      </c>
      <c r="G632" s="2" t="s">
        <v>1256</v>
      </c>
      <c r="H632" s="2" t="s">
        <v>2684</v>
      </c>
      <c r="I632" s="2" t="s">
        <v>2687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5">
        <v>1</v>
      </c>
      <c r="Q632" s="2">
        <v>0</v>
      </c>
      <c r="R632" s="2">
        <v>0</v>
      </c>
      <c r="S632" s="5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</row>
    <row r="633" spans="1:28" ht="90" x14ac:dyDescent="0.25">
      <c r="A633" s="2">
        <v>632</v>
      </c>
      <c r="B633" s="5">
        <v>0.1531914893617021</v>
      </c>
      <c r="C633" s="5">
        <v>0.1204819277108434</v>
      </c>
      <c r="D633" s="5">
        <v>0.01</v>
      </c>
      <c r="E633" s="5">
        <v>3.8176197836166922E-2</v>
      </c>
      <c r="F633" s="2" t="s">
        <v>1257</v>
      </c>
      <c r="G633" s="2" t="s">
        <v>1258</v>
      </c>
      <c r="H633" s="2" t="s">
        <v>2683</v>
      </c>
      <c r="I633" s="2" t="s">
        <v>2687</v>
      </c>
      <c r="J633" s="2">
        <v>0</v>
      </c>
      <c r="K633" s="2">
        <v>0</v>
      </c>
      <c r="L633" s="2">
        <v>0</v>
      </c>
      <c r="M633" s="5">
        <v>1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5">
        <v>1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</row>
    <row r="634" spans="1:28" ht="30" x14ac:dyDescent="0.25">
      <c r="A634" s="2">
        <v>633</v>
      </c>
      <c r="B634" s="5">
        <v>0.2978723404255319</v>
      </c>
      <c r="C634" s="5">
        <v>0.2012048192771084</v>
      </c>
      <c r="D634" s="5">
        <v>1.6E-2</v>
      </c>
      <c r="E634" s="5">
        <v>9.7681607418856259E-2</v>
      </c>
      <c r="F634" s="2" t="s">
        <v>1259</v>
      </c>
      <c r="G634" s="2" t="s">
        <v>1260</v>
      </c>
      <c r="H634" s="2" t="s">
        <v>2684</v>
      </c>
      <c r="I634" s="2" t="s">
        <v>2687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5">
        <v>1</v>
      </c>
      <c r="Q634" s="2">
        <v>0</v>
      </c>
      <c r="R634" s="2">
        <v>0</v>
      </c>
      <c r="S634" s="5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</row>
    <row r="635" spans="1:28" ht="60" x14ac:dyDescent="0.25">
      <c r="A635" s="2">
        <v>634</v>
      </c>
      <c r="B635" s="5">
        <v>0.66914893617021276</v>
      </c>
      <c r="C635" s="5">
        <v>0.24578313253012049</v>
      </c>
      <c r="D635" s="5">
        <v>0.56299999999999994</v>
      </c>
      <c r="E635" s="5">
        <v>3.060278207109737E-2</v>
      </c>
      <c r="F635" s="2" t="s">
        <v>1261</v>
      </c>
      <c r="G635" s="2" t="s">
        <v>1262</v>
      </c>
      <c r="H635" s="2" t="s">
        <v>2684</v>
      </c>
      <c r="I635" s="2" t="s">
        <v>2687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5">
        <v>1</v>
      </c>
      <c r="Q635" s="2">
        <v>0</v>
      </c>
      <c r="R635" s="2">
        <v>0</v>
      </c>
      <c r="S635" s="5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</row>
    <row r="636" spans="1:28" ht="45" x14ac:dyDescent="0.25">
      <c r="A636" s="2">
        <v>635</v>
      </c>
      <c r="B636" s="5">
        <v>0.65531914893617027</v>
      </c>
      <c r="C636" s="5">
        <v>0.19638554216867471</v>
      </c>
      <c r="D636" s="5">
        <v>0.48399999999999999</v>
      </c>
      <c r="E636" s="5">
        <v>4.4358578052550231E-2</v>
      </c>
      <c r="F636" s="2" t="s">
        <v>1263</v>
      </c>
      <c r="G636" s="2" t="s">
        <v>1264</v>
      </c>
      <c r="H636" s="2" t="s">
        <v>2684</v>
      </c>
      <c r="I636" s="2" t="s">
        <v>2687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5">
        <v>1</v>
      </c>
      <c r="Q636" s="2">
        <v>0</v>
      </c>
      <c r="R636" s="2">
        <v>0</v>
      </c>
      <c r="S636" s="5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</row>
    <row r="637" spans="1:28" ht="60" x14ac:dyDescent="0.25">
      <c r="A637" s="2">
        <v>636</v>
      </c>
      <c r="B637" s="5">
        <v>0.51063829787234039</v>
      </c>
      <c r="C637" s="5">
        <v>0.22168674698795179</v>
      </c>
      <c r="D637" s="5">
        <v>0.191</v>
      </c>
      <c r="E637" s="5">
        <v>9.0417310664605871E-2</v>
      </c>
      <c r="F637" s="2" t="s">
        <v>1265</v>
      </c>
      <c r="G637" s="2" t="s">
        <v>1266</v>
      </c>
      <c r="H637" s="2" t="s">
        <v>2684</v>
      </c>
      <c r="I637" s="2" t="s">
        <v>2687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5">
        <v>1</v>
      </c>
      <c r="Q637" s="2">
        <v>0</v>
      </c>
      <c r="R637" s="2">
        <v>0</v>
      </c>
      <c r="S637" s="5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</row>
    <row r="638" spans="1:28" ht="45" x14ac:dyDescent="0.25">
      <c r="A638" s="2">
        <v>637</v>
      </c>
      <c r="B638" s="5">
        <v>4.6808510638297871E-2</v>
      </c>
      <c r="C638" s="5">
        <v>3.2530120481927723E-2</v>
      </c>
      <c r="D638" s="5">
        <v>3.0000000000000001E-3</v>
      </c>
      <c r="E638" s="5">
        <v>1.205564142194745E-2</v>
      </c>
      <c r="F638" s="2" t="s">
        <v>1267</v>
      </c>
      <c r="G638" s="2" t="s">
        <v>1268</v>
      </c>
      <c r="H638" s="2" t="s">
        <v>2684</v>
      </c>
      <c r="I638" s="2" t="s">
        <v>2687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5">
        <v>1</v>
      </c>
      <c r="Q638" s="2">
        <v>0</v>
      </c>
      <c r="R638" s="2">
        <v>0</v>
      </c>
      <c r="S638" s="5">
        <v>1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</row>
    <row r="639" spans="1:28" ht="30" x14ac:dyDescent="0.25">
      <c r="A639" s="2">
        <v>638</v>
      </c>
      <c r="B639" s="5">
        <v>0.37978723404255321</v>
      </c>
      <c r="C639" s="5">
        <v>0.20843373493975911</v>
      </c>
      <c r="D639" s="5">
        <v>1.4999999999999999E-2</v>
      </c>
      <c r="E639" s="5">
        <v>0.10819165378670791</v>
      </c>
      <c r="F639" s="2" t="s">
        <v>1269</v>
      </c>
      <c r="G639" s="2" t="s">
        <v>1270</v>
      </c>
      <c r="H639" s="2" t="s">
        <v>2688</v>
      </c>
      <c r="I639" s="2" t="s">
        <v>2687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5">
        <v>1</v>
      </c>
      <c r="P639" s="2">
        <v>0</v>
      </c>
      <c r="Q639" s="2">
        <v>0</v>
      </c>
      <c r="R639" s="2">
        <v>0</v>
      </c>
      <c r="S639" s="5">
        <v>1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</row>
    <row r="640" spans="1:28" ht="45" x14ac:dyDescent="0.25">
      <c r="A640" s="2">
        <v>639</v>
      </c>
      <c r="B640" s="5">
        <v>4.1489361702127657E-2</v>
      </c>
      <c r="C640" s="5">
        <v>3.6144578313253017E-2</v>
      </c>
      <c r="D640" s="5">
        <v>6.0000000000000001E-3</v>
      </c>
      <c r="E640" s="5">
        <v>1.174652241112828E-2</v>
      </c>
      <c r="F640" s="2" t="s">
        <v>1271</v>
      </c>
      <c r="G640" s="2" t="s">
        <v>1272</v>
      </c>
      <c r="H640" s="2" t="s">
        <v>2683</v>
      </c>
      <c r="I640" s="2" t="s">
        <v>2687</v>
      </c>
      <c r="J640" s="2">
        <v>0</v>
      </c>
      <c r="K640" s="2">
        <v>0</v>
      </c>
      <c r="L640" s="2">
        <v>0</v>
      </c>
      <c r="M640" s="5">
        <v>1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5">
        <v>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</row>
    <row r="641" spans="1:28" ht="45" x14ac:dyDescent="0.25">
      <c r="A641" s="2">
        <v>640</v>
      </c>
      <c r="B641" s="5">
        <v>0.15957446808510639</v>
      </c>
      <c r="C641" s="5">
        <v>3.012048192771084E-2</v>
      </c>
      <c r="D641" s="5">
        <v>0.125</v>
      </c>
      <c r="E641" s="5">
        <v>1.081916537867079E-2</v>
      </c>
      <c r="F641" s="2" t="s">
        <v>1273</v>
      </c>
      <c r="G641" s="2" t="s">
        <v>1274</v>
      </c>
      <c r="H641" s="2" t="s">
        <v>2683</v>
      </c>
      <c r="I641" s="2" t="s">
        <v>2687</v>
      </c>
      <c r="J641" s="2">
        <v>0</v>
      </c>
      <c r="K641" s="2">
        <v>0</v>
      </c>
      <c r="L641" s="2">
        <v>0</v>
      </c>
      <c r="M641" s="5">
        <v>1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5">
        <v>1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</row>
    <row r="642" spans="1:28" ht="30" x14ac:dyDescent="0.25">
      <c r="A642" s="2">
        <v>641</v>
      </c>
      <c r="B642" s="5">
        <v>3.9361702127659583E-2</v>
      </c>
      <c r="C642" s="5">
        <v>3.7349397590361447E-2</v>
      </c>
      <c r="D642" s="5">
        <v>2E-3</v>
      </c>
      <c r="E642" s="5">
        <v>1.2210200927357031E-2</v>
      </c>
      <c r="F642" s="2" t="s">
        <v>1275</v>
      </c>
      <c r="G642" s="2" t="s">
        <v>1276</v>
      </c>
      <c r="H642" s="2" t="s">
        <v>2684</v>
      </c>
      <c r="I642" s="2" t="s">
        <v>2687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5">
        <v>1</v>
      </c>
      <c r="Q642" s="2">
        <v>0</v>
      </c>
      <c r="R642" s="2">
        <v>0</v>
      </c>
      <c r="S642" s="5">
        <v>1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</row>
    <row r="643" spans="1:28" ht="30" x14ac:dyDescent="0.25">
      <c r="A643" s="2">
        <v>642</v>
      </c>
      <c r="B643" s="5">
        <v>0.51489361702127656</v>
      </c>
      <c r="C643" s="5">
        <v>0.10602409638554219</v>
      </c>
      <c r="D643" s="5">
        <v>0.26100000000000001</v>
      </c>
      <c r="E643" s="5">
        <v>8.9180834621329211E-2</v>
      </c>
      <c r="F643" s="2" t="s">
        <v>1277</v>
      </c>
      <c r="G643" s="2" t="s">
        <v>1278</v>
      </c>
      <c r="H643" s="2" t="s">
        <v>2684</v>
      </c>
      <c r="I643" s="2" t="s">
        <v>2687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5">
        <v>1</v>
      </c>
      <c r="Q643" s="2">
        <v>0</v>
      </c>
      <c r="R643" s="2">
        <v>0</v>
      </c>
      <c r="S643" s="5">
        <v>1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</row>
    <row r="644" spans="1:28" ht="30" x14ac:dyDescent="0.25">
      <c r="A644" s="2">
        <v>643</v>
      </c>
      <c r="B644" s="5">
        <v>0.51914893617021274</v>
      </c>
      <c r="C644" s="5">
        <v>0.30843373493975912</v>
      </c>
      <c r="D644" s="5">
        <v>0.25600000000000001</v>
      </c>
      <c r="E644" s="5">
        <v>9.2117465224111281E-2</v>
      </c>
      <c r="F644" s="2" t="s">
        <v>1279</v>
      </c>
      <c r="G644" s="2" t="s">
        <v>1280</v>
      </c>
      <c r="H644" s="2" t="s">
        <v>2684</v>
      </c>
      <c r="I644" s="2" t="s">
        <v>2687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5">
        <v>1</v>
      </c>
      <c r="Q644" s="2">
        <v>0</v>
      </c>
      <c r="R644" s="2">
        <v>0</v>
      </c>
      <c r="S644" s="5">
        <v>1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</row>
    <row r="645" spans="1:28" ht="30" x14ac:dyDescent="0.25">
      <c r="A645" s="2">
        <v>644</v>
      </c>
      <c r="B645" s="5">
        <v>0.56914893617021278</v>
      </c>
      <c r="C645" s="5">
        <v>0.33493975903614459</v>
      </c>
      <c r="D645" s="5">
        <v>0.38100000000000001</v>
      </c>
      <c r="E645" s="5">
        <v>4.4513137557959812E-2</v>
      </c>
      <c r="F645" s="2" t="s">
        <v>1281</v>
      </c>
      <c r="G645" s="2" t="s">
        <v>1282</v>
      </c>
      <c r="H645" s="2" t="s">
        <v>2684</v>
      </c>
      <c r="I645" s="2" t="s">
        <v>2687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5">
        <v>1</v>
      </c>
      <c r="Q645" s="2">
        <v>0</v>
      </c>
      <c r="R645" s="2">
        <v>0</v>
      </c>
      <c r="S645" s="5">
        <v>1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</row>
    <row r="646" spans="1:28" x14ac:dyDescent="0.25">
      <c r="A646" s="2">
        <v>645</v>
      </c>
      <c r="B646" s="5">
        <v>0.6</v>
      </c>
      <c r="C646" s="5">
        <v>0.30722891566265059</v>
      </c>
      <c r="D646" s="5">
        <v>0.44400000000000001</v>
      </c>
      <c r="E646" s="5">
        <v>3.9412673879443583E-2</v>
      </c>
      <c r="F646" s="2" t="s">
        <v>1283</v>
      </c>
      <c r="G646" s="2" t="s">
        <v>1284</v>
      </c>
      <c r="H646" s="2" t="s">
        <v>2684</v>
      </c>
      <c r="I646" s="2" t="s">
        <v>2687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5">
        <v>1</v>
      </c>
      <c r="Q646" s="2">
        <v>0</v>
      </c>
      <c r="R646" s="2">
        <v>0</v>
      </c>
      <c r="S646" s="5">
        <v>1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</row>
    <row r="647" spans="1:28" ht="30" x14ac:dyDescent="0.25">
      <c r="A647" s="2">
        <v>646</v>
      </c>
      <c r="B647" s="5">
        <v>0.59680851063829787</v>
      </c>
      <c r="C647" s="5">
        <v>0.30722891566265059</v>
      </c>
      <c r="D647" s="5">
        <v>0.438</v>
      </c>
      <c r="E647" s="5">
        <v>4.0185471406491501E-2</v>
      </c>
      <c r="F647" s="2" t="s">
        <v>1285</v>
      </c>
      <c r="G647" s="2" t="s">
        <v>1286</v>
      </c>
      <c r="H647" s="2" t="s">
        <v>2684</v>
      </c>
      <c r="I647" s="2" t="s">
        <v>2687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5">
        <v>1</v>
      </c>
      <c r="Q647" s="2">
        <v>0</v>
      </c>
      <c r="R647" s="2">
        <v>0</v>
      </c>
      <c r="S647" s="5">
        <v>1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</row>
    <row r="648" spans="1:28" ht="45" x14ac:dyDescent="0.25">
      <c r="A648" s="2">
        <v>647</v>
      </c>
      <c r="B648" s="5">
        <v>0.5585106382978724</v>
      </c>
      <c r="C648" s="5">
        <v>0.33614457831325301</v>
      </c>
      <c r="D648" s="5">
        <v>0.42699999999999999</v>
      </c>
      <c r="E648" s="5">
        <v>2.6893353941267389E-2</v>
      </c>
      <c r="F648" s="2" t="s">
        <v>1287</v>
      </c>
      <c r="G648" s="2" t="s">
        <v>1288</v>
      </c>
      <c r="H648" s="2" t="s">
        <v>2684</v>
      </c>
      <c r="I648" s="2" t="s">
        <v>2687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5">
        <v>1</v>
      </c>
      <c r="Q648" s="2">
        <v>0</v>
      </c>
      <c r="R648" s="2">
        <v>0</v>
      </c>
      <c r="S648" s="5">
        <v>1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</row>
    <row r="649" spans="1:28" ht="45" x14ac:dyDescent="0.25">
      <c r="A649" s="2">
        <v>648</v>
      </c>
      <c r="B649" s="5">
        <v>0.40957446808510639</v>
      </c>
      <c r="C649" s="5">
        <v>0.16867469879518071</v>
      </c>
      <c r="D649" s="5">
        <v>0.31</v>
      </c>
      <c r="E649" s="5">
        <v>2.009273570324575E-2</v>
      </c>
      <c r="F649" s="2" t="s">
        <v>1289</v>
      </c>
      <c r="G649" s="2" t="s">
        <v>1290</v>
      </c>
      <c r="H649" s="2" t="s">
        <v>2683</v>
      </c>
      <c r="I649" s="2" t="s">
        <v>2687</v>
      </c>
      <c r="J649" s="2">
        <v>0</v>
      </c>
      <c r="K649" s="2">
        <v>0</v>
      </c>
      <c r="L649" s="2">
        <v>0</v>
      </c>
      <c r="M649" s="5">
        <v>1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5">
        <v>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</row>
    <row r="650" spans="1:28" ht="30" x14ac:dyDescent="0.25">
      <c r="A650" s="2">
        <v>649</v>
      </c>
      <c r="B650" s="5">
        <v>0.38297872340425532</v>
      </c>
      <c r="C650" s="5">
        <v>0.16265060240963861</v>
      </c>
      <c r="D650" s="5">
        <v>0.312</v>
      </c>
      <c r="E650" s="5">
        <v>1.9783616692426589E-2</v>
      </c>
      <c r="F650" s="2" t="s">
        <v>1291</v>
      </c>
      <c r="G650" s="2" t="s">
        <v>1292</v>
      </c>
      <c r="H650" s="2" t="s">
        <v>2683</v>
      </c>
      <c r="I650" s="2" t="s">
        <v>2687</v>
      </c>
      <c r="J650" s="2">
        <v>0</v>
      </c>
      <c r="K650" s="2">
        <v>0</v>
      </c>
      <c r="L650" s="2">
        <v>0</v>
      </c>
      <c r="M650" s="5">
        <v>1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5">
        <v>1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</row>
    <row r="651" spans="1:28" ht="45" x14ac:dyDescent="0.25">
      <c r="A651" s="2">
        <v>650</v>
      </c>
      <c r="B651" s="5">
        <v>0.54574468085106387</v>
      </c>
      <c r="C651" s="5">
        <v>0.21084337349397589</v>
      </c>
      <c r="D651" s="5">
        <v>0.32500000000000001</v>
      </c>
      <c r="E651" s="5">
        <v>6.846986089644512E-2</v>
      </c>
      <c r="F651" s="2" t="s">
        <v>1293</v>
      </c>
      <c r="G651" s="2" t="s">
        <v>1294</v>
      </c>
      <c r="H651" s="2" t="s">
        <v>2684</v>
      </c>
      <c r="I651" s="2" t="s">
        <v>2687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5">
        <v>1</v>
      </c>
      <c r="Q651" s="2">
        <v>0</v>
      </c>
      <c r="R651" s="2">
        <v>0</v>
      </c>
      <c r="S651" s="5">
        <v>1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</row>
    <row r="652" spans="1:28" ht="45" x14ac:dyDescent="0.25">
      <c r="A652" s="2">
        <v>651</v>
      </c>
      <c r="B652" s="5">
        <v>0.60531914893617023</v>
      </c>
      <c r="C652" s="5">
        <v>0.34698795180722902</v>
      </c>
      <c r="D652" s="5">
        <v>0.48399999999999999</v>
      </c>
      <c r="E652" s="5">
        <v>2.4420401854714061E-2</v>
      </c>
      <c r="F652" s="2" t="s">
        <v>1295</v>
      </c>
      <c r="G652" s="2" t="s">
        <v>1296</v>
      </c>
      <c r="H652" s="2" t="s">
        <v>2684</v>
      </c>
      <c r="I652" s="2" t="s">
        <v>2687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5">
        <v>1</v>
      </c>
      <c r="Q652" s="2">
        <v>0</v>
      </c>
      <c r="R652" s="2">
        <v>0</v>
      </c>
      <c r="S652" s="5">
        <v>1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</row>
    <row r="653" spans="1:28" ht="45" x14ac:dyDescent="0.25">
      <c r="A653" s="2">
        <v>652</v>
      </c>
      <c r="B653" s="5">
        <v>0.59468085106382984</v>
      </c>
      <c r="C653" s="5">
        <v>0.32409638554216869</v>
      </c>
      <c r="D653" s="5">
        <v>0.44200000000000012</v>
      </c>
      <c r="E653" s="5">
        <v>3.6476043276661513E-2</v>
      </c>
      <c r="F653" s="2" t="s">
        <v>1297</v>
      </c>
      <c r="G653" s="2" t="s">
        <v>1298</v>
      </c>
      <c r="H653" s="2" t="s">
        <v>2684</v>
      </c>
      <c r="I653" s="2" t="s">
        <v>2687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5">
        <v>1</v>
      </c>
      <c r="Q653" s="2">
        <v>0</v>
      </c>
      <c r="R653" s="2">
        <v>0</v>
      </c>
      <c r="S653" s="5">
        <v>1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</row>
    <row r="654" spans="1:28" ht="30" x14ac:dyDescent="0.25">
      <c r="A654" s="2">
        <v>653</v>
      </c>
      <c r="B654" s="5">
        <v>0.59680851063829787</v>
      </c>
      <c r="C654" s="5">
        <v>0.30722891566265059</v>
      </c>
      <c r="D654" s="5">
        <v>0.438</v>
      </c>
      <c r="E654" s="5">
        <v>4.0185471406491501E-2</v>
      </c>
      <c r="F654" s="2" t="s">
        <v>1299</v>
      </c>
      <c r="G654" s="2" t="s">
        <v>1300</v>
      </c>
      <c r="H654" s="2" t="s">
        <v>2684</v>
      </c>
      <c r="I654" s="2" t="s">
        <v>2687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5">
        <v>1</v>
      </c>
      <c r="Q654" s="2">
        <v>0</v>
      </c>
      <c r="R654" s="2">
        <v>0</v>
      </c>
      <c r="S654" s="5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</row>
    <row r="655" spans="1:28" ht="45" x14ac:dyDescent="0.25">
      <c r="A655" s="2">
        <v>654</v>
      </c>
      <c r="B655" s="5">
        <v>0.79574468085106387</v>
      </c>
      <c r="C655" s="5">
        <v>0.25060240963855418</v>
      </c>
      <c r="D655" s="5">
        <v>0.20799999999999999</v>
      </c>
      <c r="E655" s="5">
        <v>0.1928902627511592</v>
      </c>
      <c r="F655" s="2" t="s">
        <v>1301</v>
      </c>
      <c r="G655" s="2" t="s">
        <v>1302</v>
      </c>
      <c r="H655" s="2" t="s">
        <v>2684</v>
      </c>
      <c r="I655" s="2" t="s">
        <v>2687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5">
        <v>1</v>
      </c>
      <c r="Q655" s="2">
        <v>0</v>
      </c>
      <c r="R655" s="2">
        <v>0</v>
      </c>
      <c r="S655" s="5">
        <v>1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</row>
    <row r="656" spans="1:28" ht="45" x14ac:dyDescent="0.25">
      <c r="A656" s="2">
        <v>655</v>
      </c>
      <c r="B656" s="5">
        <v>0.35212765957446812</v>
      </c>
      <c r="C656" s="5">
        <v>0.29397590361445791</v>
      </c>
      <c r="D656" s="5">
        <v>1.9E-2</v>
      </c>
      <c r="E656" s="5">
        <v>8.7480680061823801E-2</v>
      </c>
      <c r="F656" s="2" t="s">
        <v>1303</v>
      </c>
      <c r="G656" s="2" t="s">
        <v>1304</v>
      </c>
      <c r="H656" s="2" t="s">
        <v>2684</v>
      </c>
      <c r="I656" s="2" t="s">
        <v>2687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5">
        <v>1</v>
      </c>
      <c r="Q656" s="2">
        <v>0</v>
      </c>
      <c r="R656" s="2">
        <v>0</v>
      </c>
      <c r="S656" s="5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</row>
    <row r="657" spans="1:28" ht="60" x14ac:dyDescent="0.25">
      <c r="A657" s="2">
        <v>656</v>
      </c>
      <c r="B657" s="5">
        <v>0.14680851063829789</v>
      </c>
      <c r="C657" s="5">
        <v>0.12891566265060239</v>
      </c>
      <c r="D657" s="5">
        <v>1.0999999999999999E-2</v>
      </c>
      <c r="E657" s="5">
        <v>3.4930448222565691E-2</v>
      </c>
      <c r="F657" s="2" t="s">
        <v>1305</v>
      </c>
      <c r="G657" s="2" t="s">
        <v>1306</v>
      </c>
      <c r="H657" s="2" t="s">
        <v>2683</v>
      </c>
      <c r="I657" s="2" t="s">
        <v>2687</v>
      </c>
      <c r="J657" s="2">
        <v>0</v>
      </c>
      <c r="K657" s="2">
        <v>0</v>
      </c>
      <c r="L657" s="2">
        <v>0</v>
      </c>
      <c r="M657" s="5">
        <v>1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5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</row>
    <row r="658" spans="1:28" ht="45" x14ac:dyDescent="0.25">
      <c r="A658" s="2">
        <v>657</v>
      </c>
      <c r="B658" s="5">
        <v>0.36382978723404258</v>
      </c>
      <c r="C658" s="5">
        <v>0.27590361445783129</v>
      </c>
      <c r="D658" s="5">
        <v>1.4E-2</v>
      </c>
      <c r="E658" s="5">
        <v>9.5208655332302938E-2</v>
      </c>
      <c r="F658" s="2" t="s">
        <v>1307</v>
      </c>
      <c r="G658" s="2" t="s">
        <v>1308</v>
      </c>
      <c r="H658" s="2" t="s">
        <v>2684</v>
      </c>
      <c r="I658" s="2" t="s">
        <v>2687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5">
        <v>1</v>
      </c>
      <c r="Q658" s="2">
        <v>0</v>
      </c>
      <c r="R658" s="2">
        <v>0</v>
      </c>
      <c r="S658" s="5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</row>
    <row r="659" spans="1:28" ht="30" x14ac:dyDescent="0.25">
      <c r="A659" s="2">
        <v>658</v>
      </c>
      <c r="B659" s="5">
        <v>0.14680851063829789</v>
      </c>
      <c r="C659" s="5">
        <v>0.12891566265060239</v>
      </c>
      <c r="D659" s="5">
        <v>1.0999999999999999E-2</v>
      </c>
      <c r="E659" s="5">
        <v>3.4930448222565691E-2</v>
      </c>
      <c r="F659" s="2" t="s">
        <v>1309</v>
      </c>
      <c r="G659" s="2" t="s">
        <v>1310</v>
      </c>
      <c r="H659" s="2" t="s">
        <v>2683</v>
      </c>
      <c r="I659" s="2" t="s">
        <v>2687</v>
      </c>
      <c r="J659" s="2">
        <v>0</v>
      </c>
      <c r="K659" s="2">
        <v>0</v>
      </c>
      <c r="L659" s="2">
        <v>0</v>
      </c>
      <c r="M659" s="5">
        <v>1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5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 spans="1:28" ht="60" x14ac:dyDescent="0.25">
      <c r="A660" s="2">
        <v>659</v>
      </c>
      <c r="B660" s="5">
        <v>0.47978723404255319</v>
      </c>
      <c r="C660" s="5">
        <v>0.13493975903614461</v>
      </c>
      <c r="D660" s="5">
        <v>0.20200000000000001</v>
      </c>
      <c r="E660" s="5">
        <v>9.2272024729520868E-2</v>
      </c>
      <c r="F660" s="2" t="s">
        <v>1311</v>
      </c>
      <c r="G660" s="2" t="s">
        <v>1312</v>
      </c>
      <c r="H660" s="2" t="s">
        <v>2684</v>
      </c>
      <c r="I660" s="2" t="s">
        <v>2687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5">
        <v>1</v>
      </c>
      <c r="Q660" s="2">
        <v>0</v>
      </c>
      <c r="R660" s="2">
        <v>0</v>
      </c>
      <c r="S660" s="5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</row>
    <row r="661" spans="1:28" ht="30" x14ac:dyDescent="0.25">
      <c r="A661" s="2">
        <v>660</v>
      </c>
      <c r="B661" s="5">
        <v>0.37340425531914889</v>
      </c>
      <c r="C661" s="5">
        <v>0.1469879518072289</v>
      </c>
      <c r="D661" s="5">
        <v>1.2E-2</v>
      </c>
      <c r="E661" s="5">
        <v>0.1126738794435858</v>
      </c>
      <c r="F661" s="2" t="s">
        <v>1313</v>
      </c>
      <c r="G661" s="2" t="s">
        <v>1314</v>
      </c>
      <c r="H661" s="2" t="s">
        <v>2684</v>
      </c>
      <c r="I661" s="2" t="s">
        <v>2687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5">
        <v>1</v>
      </c>
      <c r="Q661" s="2">
        <v>0</v>
      </c>
      <c r="R661" s="2">
        <v>0</v>
      </c>
      <c r="S661" s="5">
        <v>1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</row>
    <row r="662" spans="1:28" ht="45" x14ac:dyDescent="0.25">
      <c r="A662" s="2">
        <v>661</v>
      </c>
      <c r="B662" s="5">
        <v>0.38085106382978717</v>
      </c>
      <c r="C662" s="5">
        <v>0.28192771084337348</v>
      </c>
      <c r="D662" s="5">
        <v>2.4E-2</v>
      </c>
      <c r="E662" s="5">
        <v>9.3663060278207116E-2</v>
      </c>
      <c r="F662" s="2" t="s">
        <v>1315</v>
      </c>
      <c r="G662" s="2" t="s">
        <v>1316</v>
      </c>
      <c r="H662" s="2" t="s">
        <v>2684</v>
      </c>
      <c r="I662" s="2" t="s">
        <v>2687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5">
        <v>1</v>
      </c>
      <c r="Q662" s="2">
        <v>0</v>
      </c>
      <c r="R662" s="2">
        <v>0</v>
      </c>
      <c r="S662" s="5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</row>
    <row r="663" spans="1:28" ht="30" x14ac:dyDescent="0.25">
      <c r="A663" s="2">
        <v>662</v>
      </c>
      <c r="B663" s="5">
        <v>0.37659574468085111</v>
      </c>
      <c r="C663" s="5">
        <v>0.1542168674698795</v>
      </c>
      <c r="D663" s="5">
        <v>1.7999999999999999E-2</v>
      </c>
      <c r="E663" s="5">
        <v>0.10710973724884081</v>
      </c>
      <c r="F663" s="2" t="s">
        <v>1317</v>
      </c>
      <c r="G663" s="2" t="s">
        <v>1318</v>
      </c>
      <c r="H663" s="2" t="s">
        <v>2684</v>
      </c>
      <c r="I663" s="2" t="s">
        <v>2687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5">
        <v>1</v>
      </c>
      <c r="Q663" s="2">
        <v>0</v>
      </c>
      <c r="R663" s="2">
        <v>0</v>
      </c>
      <c r="S663" s="5">
        <v>1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</row>
    <row r="664" spans="1:28" ht="60" x14ac:dyDescent="0.25">
      <c r="A664" s="2">
        <v>663</v>
      </c>
      <c r="B664" s="5">
        <v>0.1170212765957447</v>
      </c>
      <c r="C664" s="5">
        <v>5.4216867469879519E-2</v>
      </c>
      <c r="D664" s="5">
        <v>6.9000000000000006E-2</v>
      </c>
      <c r="E664" s="5">
        <v>1.097372488408037E-2</v>
      </c>
      <c r="F664" s="2" t="s">
        <v>1319</v>
      </c>
      <c r="G664" s="2" t="s">
        <v>1320</v>
      </c>
      <c r="H664" s="2" t="s">
        <v>2684</v>
      </c>
      <c r="I664" s="2" t="s">
        <v>2682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5">
        <v>1</v>
      </c>
      <c r="Q664" s="2">
        <v>0</v>
      </c>
      <c r="R664" s="2">
        <v>0</v>
      </c>
      <c r="S664" s="2">
        <v>0</v>
      </c>
      <c r="T664" s="2">
        <v>0</v>
      </c>
      <c r="U664" s="5">
        <v>1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</row>
    <row r="665" spans="1:28" ht="60" x14ac:dyDescent="0.25">
      <c r="A665" s="2">
        <v>664</v>
      </c>
      <c r="B665" s="5">
        <v>0.43936170212765963</v>
      </c>
      <c r="C665" s="5">
        <v>0.3457831325301205</v>
      </c>
      <c r="D665" s="5">
        <v>0.19800000000000001</v>
      </c>
      <c r="E665" s="5">
        <v>4.605873261205564E-2</v>
      </c>
      <c r="F665" s="2" t="s">
        <v>1321</v>
      </c>
      <c r="G665" s="2" t="s">
        <v>1322</v>
      </c>
      <c r="H665" s="2" t="s">
        <v>2681</v>
      </c>
      <c r="I665" s="2" t="s">
        <v>2682</v>
      </c>
      <c r="J665" s="2">
        <v>0</v>
      </c>
      <c r="K665" s="2">
        <v>0</v>
      </c>
      <c r="L665" s="2">
        <v>0</v>
      </c>
      <c r="M665" s="2">
        <v>0</v>
      </c>
      <c r="N665" s="5">
        <v>1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5">
        <v>1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</row>
    <row r="666" spans="1:28" ht="45" x14ac:dyDescent="0.25">
      <c r="A666" s="2">
        <v>665</v>
      </c>
      <c r="B666" s="5">
        <v>9.7872340425531917E-2</v>
      </c>
      <c r="C666" s="5">
        <v>0.24096385542168669</v>
      </c>
      <c r="D666" s="5">
        <v>6.9999999999999993E-3</v>
      </c>
      <c r="E666" s="2">
        <v>0</v>
      </c>
      <c r="F666" s="2" t="s">
        <v>1323</v>
      </c>
      <c r="G666" s="2" t="s">
        <v>910</v>
      </c>
      <c r="H666" s="2" t="s">
        <v>2688</v>
      </c>
      <c r="I666" s="2" t="s">
        <v>2682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5">
        <v>1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5">
        <v>1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</row>
    <row r="667" spans="1:28" ht="30" x14ac:dyDescent="0.25">
      <c r="A667" s="2">
        <v>666</v>
      </c>
      <c r="B667" s="5">
        <v>7.0212765957446813E-2</v>
      </c>
      <c r="C667" s="5">
        <v>3.3734939759036138E-2</v>
      </c>
      <c r="D667" s="5">
        <v>6.8000000000000005E-2</v>
      </c>
      <c r="E667" s="5">
        <v>5.2550231839258114E-3</v>
      </c>
      <c r="F667" s="2" t="s">
        <v>1324</v>
      </c>
      <c r="G667" s="2" t="s">
        <v>1325</v>
      </c>
      <c r="H667" s="2" t="s">
        <v>2684</v>
      </c>
      <c r="I667" s="2" t="s">
        <v>2682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5">
        <v>1</v>
      </c>
      <c r="Q667" s="2">
        <v>0</v>
      </c>
      <c r="R667" s="2">
        <v>0</v>
      </c>
      <c r="S667" s="2">
        <v>0</v>
      </c>
      <c r="T667" s="2">
        <v>0</v>
      </c>
      <c r="U667" s="5">
        <v>1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</row>
    <row r="668" spans="1:28" ht="45" x14ac:dyDescent="0.25">
      <c r="A668" s="2">
        <v>667</v>
      </c>
      <c r="B668" s="5">
        <v>0.17340425531914891</v>
      </c>
      <c r="C668" s="5">
        <v>0.1987951807228916</v>
      </c>
      <c r="D668" s="5">
        <v>0.09</v>
      </c>
      <c r="E668" s="5">
        <v>6.33693972179289E-3</v>
      </c>
      <c r="F668" s="2" t="s">
        <v>1326</v>
      </c>
      <c r="G668" s="2" t="s">
        <v>1327</v>
      </c>
      <c r="H668" s="2" t="s">
        <v>2681</v>
      </c>
      <c r="I668" s="2" t="s">
        <v>2682</v>
      </c>
      <c r="J668" s="2">
        <v>0</v>
      </c>
      <c r="K668" s="2">
        <v>0</v>
      </c>
      <c r="L668" s="2">
        <v>0</v>
      </c>
      <c r="M668" s="2">
        <v>0</v>
      </c>
      <c r="N668" s="5">
        <v>1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5">
        <v>1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</row>
    <row r="669" spans="1:28" ht="45" x14ac:dyDescent="0.25">
      <c r="A669" s="2">
        <v>668</v>
      </c>
      <c r="B669" s="5">
        <v>0.12978723404255321</v>
      </c>
      <c r="C669" s="5">
        <v>0.16626506024096391</v>
      </c>
      <c r="D669" s="5">
        <v>5.7000000000000002E-2</v>
      </c>
      <c r="E669" s="5">
        <v>6.0278207109737249E-3</v>
      </c>
      <c r="F669" s="2" t="s">
        <v>1328</v>
      </c>
      <c r="G669" s="2" t="s">
        <v>1329</v>
      </c>
      <c r="H669" s="2" t="s">
        <v>2681</v>
      </c>
      <c r="I669" s="2" t="s">
        <v>2682</v>
      </c>
      <c r="J669" s="2">
        <v>0</v>
      </c>
      <c r="K669" s="2">
        <v>0</v>
      </c>
      <c r="L669" s="2">
        <v>0</v>
      </c>
      <c r="M669" s="2">
        <v>0</v>
      </c>
      <c r="N669" s="5">
        <v>1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5">
        <v>1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</row>
    <row r="670" spans="1:28" ht="45" x14ac:dyDescent="0.25">
      <c r="A670" s="2">
        <v>669</v>
      </c>
      <c r="B670" s="5">
        <v>0.1670212765957447</v>
      </c>
      <c r="C670" s="5">
        <v>9.7590361445783133E-2</v>
      </c>
      <c r="D670" s="5">
        <v>8.8000000000000009E-2</v>
      </c>
      <c r="E670" s="5">
        <v>1.761978361669243E-2</v>
      </c>
      <c r="F670" s="2" t="s">
        <v>1330</v>
      </c>
      <c r="G670" s="2" t="s">
        <v>1331</v>
      </c>
      <c r="H670" s="2" t="s">
        <v>2681</v>
      </c>
      <c r="I670" s="2" t="s">
        <v>2682</v>
      </c>
      <c r="J670" s="2">
        <v>0</v>
      </c>
      <c r="K670" s="2">
        <v>0</v>
      </c>
      <c r="L670" s="2">
        <v>0</v>
      </c>
      <c r="M670" s="2">
        <v>0</v>
      </c>
      <c r="N670" s="5">
        <v>1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5">
        <v>1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</row>
    <row r="671" spans="1:28" ht="45" x14ac:dyDescent="0.25">
      <c r="A671" s="2">
        <v>670</v>
      </c>
      <c r="B671" s="5">
        <v>0.2053191489361702</v>
      </c>
      <c r="C671" s="5">
        <v>0.127710843373494</v>
      </c>
      <c r="D671" s="5">
        <v>0.124</v>
      </c>
      <c r="E671" s="5">
        <v>1.499227202472952E-2</v>
      </c>
      <c r="F671" s="2" t="s">
        <v>1332</v>
      </c>
      <c r="G671" s="2" t="s">
        <v>1333</v>
      </c>
      <c r="H671" s="2" t="s">
        <v>2696</v>
      </c>
      <c r="I671" s="2" t="s">
        <v>2698</v>
      </c>
      <c r="J671" s="2">
        <v>0</v>
      </c>
      <c r="K671" s="5">
        <v>1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5">
        <v>1</v>
      </c>
      <c r="AB671" s="2">
        <v>0</v>
      </c>
    </row>
    <row r="672" spans="1:28" ht="30" x14ac:dyDescent="0.25">
      <c r="A672" s="2">
        <v>671</v>
      </c>
      <c r="B672" s="5">
        <v>0.15851063829787229</v>
      </c>
      <c r="C672" s="5">
        <v>0.2</v>
      </c>
      <c r="D672" s="5">
        <v>9.1999999999999998E-2</v>
      </c>
      <c r="E672" s="2">
        <v>0</v>
      </c>
      <c r="F672" s="2" t="s">
        <v>1334</v>
      </c>
      <c r="G672" s="2" t="s">
        <v>1335</v>
      </c>
      <c r="H672" s="2" t="s">
        <v>2688</v>
      </c>
      <c r="I672" s="2" t="s">
        <v>2689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5">
        <v>1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5">
        <v>1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</row>
    <row r="673" spans="1:28" ht="45" x14ac:dyDescent="0.25">
      <c r="A673" s="2">
        <v>672</v>
      </c>
      <c r="B673" s="5">
        <v>0.17446808510638301</v>
      </c>
      <c r="C673" s="5">
        <v>3.6144578313253017E-2</v>
      </c>
      <c r="D673" s="5">
        <v>2.4E-2</v>
      </c>
      <c r="E673" s="5">
        <v>5.0386398763523958E-2</v>
      </c>
      <c r="F673" s="2" t="s">
        <v>1336</v>
      </c>
      <c r="G673" s="2" t="s">
        <v>1337</v>
      </c>
      <c r="H673" s="2" t="s">
        <v>2683</v>
      </c>
      <c r="I673" s="2" t="s">
        <v>2691</v>
      </c>
      <c r="J673" s="2">
        <v>0</v>
      </c>
      <c r="K673" s="2">
        <v>0</v>
      </c>
      <c r="L673" s="2">
        <v>0</v>
      </c>
      <c r="M673" s="5">
        <v>1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5">
        <v>1</v>
      </c>
      <c r="Z673" s="2">
        <v>0</v>
      </c>
      <c r="AA673" s="2">
        <v>0</v>
      </c>
      <c r="AB673" s="2">
        <v>0</v>
      </c>
    </row>
    <row r="674" spans="1:28" ht="45" x14ac:dyDescent="0.25">
      <c r="A674" s="2">
        <v>673</v>
      </c>
      <c r="B674" s="5">
        <v>3.085106382978723E-2</v>
      </c>
      <c r="C674" s="5">
        <v>3.6144578313253017E-2</v>
      </c>
      <c r="D674" s="5">
        <v>3.0000000000000001E-3</v>
      </c>
      <c r="E674" s="5">
        <v>8.3462132921174655E-3</v>
      </c>
      <c r="F674" s="2" t="s">
        <v>1338</v>
      </c>
      <c r="G674" s="2" t="s">
        <v>1339</v>
      </c>
      <c r="H674" s="2" t="s">
        <v>2683</v>
      </c>
      <c r="I674" s="2" t="s">
        <v>2685</v>
      </c>
      <c r="J674" s="2">
        <v>0</v>
      </c>
      <c r="K674" s="2">
        <v>0</v>
      </c>
      <c r="L674" s="2">
        <v>0</v>
      </c>
      <c r="M674" s="5">
        <v>1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5">
        <v>1</v>
      </c>
      <c r="Y674" s="2">
        <v>0</v>
      </c>
      <c r="Z674" s="2">
        <v>0</v>
      </c>
      <c r="AA674" s="2">
        <v>0</v>
      </c>
      <c r="AB674" s="2">
        <v>0</v>
      </c>
    </row>
    <row r="675" spans="1:28" ht="90" x14ac:dyDescent="0.25">
      <c r="A675" s="2">
        <v>674</v>
      </c>
      <c r="B675" s="5">
        <v>3.1914893617021267E-2</v>
      </c>
      <c r="C675" s="5">
        <v>3.8554216867469883E-2</v>
      </c>
      <c r="D675" s="5">
        <v>6.9999999999999993E-3</v>
      </c>
      <c r="E675" s="5">
        <v>7.2642967542503869E-3</v>
      </c>
      <c r="F675" s="2" t="s">
        <v>1340</v>
      </c>
      <c r="G675" s="2" t="s">
        <v>1341</v>
      </c>
      <c r="H675" s="2" t="s">
        <v>2683</v>
      </c>
      <c r="I675" s="2" t="s">
        <v>2685</v>
      </c>
      <c r="J675" s="2">
        <v>0</v>
      </c>
      <c r="K675" s="2">
        <v>0</v>
      </c>
      <c r="L675" s="2">
        <v>0</v>
      </c>
      <c r="M675" s="5">
        <v>1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5">
        <v>1</v>
      </c>
      <c r="Y675" s="2">
        <v>0</v>
      </c>
      <c r="Z675" s="2">
        <v>0</v>
      </c>
      <c r="AA675" s="2">
        <v>0</v>
      </c>
      <c r="AB675" s="2">
        <v>0</v>
      </c>
    </row>
    <row r="676" spans="1:28" ht="90" x14ac:dyDescent="0.25">
      <c r="A676" s="2">
        <v>675</v>
      </c>
      <c r="B676" s="5">
        <v>2.3404255319148939E-2</v>
      </c>
      <c r="C676" s="5">
        <v>3.012048192771084E-2</v>
      </c>
      <c r="D676" s="5">
        <v>6.0000000000000001E-3</v>
      </c>
      <c r="E676" s="5">
        <v>4.7913446676970638E-3</v>
      </c>
      <c r="F676" s="2" t="s">
        <v>1342</v>
      </c>
      <c r="G676" s="2" t="s">
        <v>1343</v>
      </c>
      <c r="H676" s="2" t="s">
        <v>2683</v>
      </c>
      <c r="I676" s="2" t="s">
        <v>2685</v>
      </c>
      <c r="J676" s="2">
        <v>0</v>
      </c>
      <c r="K676" s="2">
        <v>0</v>
      </c>
      <c r="L676" s="2">
        <v>0</v>
      </c>
      <c r="M676" s="5">
        <v>1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5">
        <v>1</v>
      </c>
      <c r="Y676" s="2">
        <v>0</v>
      </c>
      <c r="Z676" s="2">
        <v>0</v>
      </c>
      <c r="AA676" s="2">
        <v>0</v>
      </c>
      <c r="AB676" s="2">
        <v>0</v>
      </c>
    </row>
    <row r="677" spans="1:28" ht="30" x14ac:dyDescent="0.25">
      <c r="A677" s="2">
        <v>676</v>
      </c>
      <c r="B677" s="5">
        <v>4.5744680851063833E-2</v>
      </c>
      <c r="C677" s="5">
        <v>2.168674698795181E-2</v>
      </c>
      <c r="D677" s="5">
        <v>2E-3</v>
      </c>
      <c r="E677" s="5">
        <v>1.298299845440495E-2</v>
      </c>
      <c r="F677" s="2" t="s">
        <v>1344</v>
      </c>
      <c r="G677" s="2" t="s">
        <v>1345</v>
      </c>
      <c r="H677" s="2" t="s">
        <v>2683</v>
      </c>
      <c r="I677" s="2" t="s">
        <v>2685</v>
      </c>
      <c r="J677" s="2">
        <v>0</v>
      </c>
      <c r="K677" s="2">
        <v>0</v>
      </c>
      <c r="L677" s="2">
        <v>0</v>
      </c>
      <c r="M677" s="5">
        <v>1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5">
        <v>1</v>
      </c>
      <c r="Y677" s="2">
        <v>0</v>
      </c>
      <c r="Z677" s="2">
        <v>0</v>
      </c>
      <c r="AA677" s="2">
        <v>0</v>
      </c>
      <c r="AB677" s="2">
        <v>0</v>
      </c>
    </row>
    <row r="678" spans="1:28" ht="60" x14ac:dyDescent="0.25">
      <c r="A678" s="2">
        <v>677</v>
      </c>
      <c r="B678" s="5">
        <v>5.5319148936170223E-2</v>
      </c>
      <c r="C678" s="5">
        <v>2.168674698795181E-2</v>
      </c>
      <c r="D678" s="5">
        <v>3.5999999999999997E-2</v>
      </c>
      <c r="E678" s="5">
        <v>4.6367851622874804E-3</v>
      </c>
      <c r="F678" s="2" t="s">
        <v>1346</v>
      </c>
      <c r="G678" s="2" t="s">
        <v>1347</v>
      </c>
      <c r="H678" s="2" t="s">
        <v>2683</v>
      </c>
      <c r="I678" s="2" t="s">
        <v>2685</v>
      </c>
      <c r="J678" s="2">
        <v>0</v>
      </c>
      <c r="K678" s="2">
        <v>0</v>
      </c>
      <c r="L678" s="2">
        <v>0</v>
      </c>
      <c r="M678" s="5">
        <v>1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5">
        <v>1</v>
      </c>
      <c r="Y678" s="2">
        <v>0</v>
      </c>
      <c r="Z678" s="2">
        <v>0</v>
      </c>
      <c r="AA678" s="2">
        <v>0</v>
      </c>
      <c r="AB678" s="2">
        <v>0</v>
      </c>
    </row>
    <row r="679" spans="1:28" ht="30" x14ac:dyDescent="0.25">
      <c r="A679" s="2">
        <v>678</v>
      </c>
      <c r="B679" s="5">
        <v>4.042553191489362E-2</v>
      </c>
      <c r="C679" s="5">
        <v>2.891566265060241E-2</v>
      </c>
      <c r="D679" s="5">
        <v>0.02</v>
      </c>
      <c r="E679" s="5">
        <v>4.0185471406491502E-3</v>
      </c>
      <c r="F679" s="2" t="s">
        <v>1348</v>
      </c>
      <c r="G679" s="2" t="s">
        <v>1349</v>
      </c>
      <c r="H679" s="2" t="s">
        <v>2683</v>
      </c>
      <c r="I679" s="2" t="s">
        <v>2685</v>
      </c>
      <c r="J679" s="2">
        <v>0</v>
      </c>
      <c r="K679" s="2">
        <v>0</v>
      </c>
      <c r="L679" s="2">
        <v>0</v>
      </c>
      <c r="M679" s="5">
        <v>1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5">
        <v>1</v>
      </c>
      <c r="Y679" s="2">
        <v>0</v>
      </c>
      <c r="Z679" s="2">
        <v>0</v>
      </c>
      <c r="AA679" s="2">
        <v>0</v>
      </c>
      <c r="AB679" s="2">
        <v>0</v>
      </c>
    </row>
    <row r="680" spans="1:28" ht="90" x14ac:dyDescent="0.25">
      <c r="A680" s="2">
        <v>679</v>
      </c>
      <c r="B680" s="5">
        <v>4.4680851063829789E-2</v>
      </c>
      <c r="C680" s="5">
        <v>3.9759036144578312E-2</v>
      </c>
      <c r="D680" s="5">
        <v>2E-3</v>
      </c>
      <c r="E680" s="5">
        <v>1.4837712519319941E-2</v>
      </c>
      <c r="F680" s="2" t="s">
        <v>1350</v>
      </c>
      <c r="G680" s="2" t="s">
        <v>1351</v>
      </c>
      <c r="H680" s="2" t="s">
        <v>2684</v>
      </c>
      <c r="I680" s="2" t="s">
        <v>2682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5">
        <v>1</v>
      </c>
      <c r="Q680" s="2">
        <v>0</v>
      </c>
      <c r="R680" s="2">
        <v>0</v>
      </c>
      <c r="S680" s="2">
        <v>0</v>
      </c>
      <c r="T680" s="2">
        <v>0</v>
      </c>
      <c r="U680" s="5">
        <v>1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</row>
    <row r="681" spans="1:28" ht="30" x14ac:dyDescent="0.25">
      <c r="A681" s="2">
        <v>680</v>
      </c>
      <c r="B681" s="5">
        <v>4.3617021276595752E-2</v>
      </c>
      <c r="C681" s="5">
        <v>2.4096385542168679E-2</v>
      </c>
      <c r="D681" s="5">
        <v>3.0000000000000001E-3</v>
      </c>
      <c r="E681" s="5">
        <v>1.205564142194745E-2</v>
      </c>
      <c r="F681" s="2" t="s">
        <v>1352</v>
      </c>
      <c r="G681" s="2" t="s">
        <v>1353</v>
      </c>
      <c r="H681" s="2" t="s">
        <v>2688</v>
      </c>
      <c r="I681" s="2" t="s">
        <v>2690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5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5">
        <v>1</v>
      </c>
    </row>
    <row r="682" spans="1:28" ht="30" x14ac:dyDescent="0.25">
      <c r="A682" s="2">
        <v>681</v>
      </c>
      <c r="B682" s="5">
        <v>0.16808510638297869</v>
      </c>
      <c r="C682" s="5">
        <v>5.301204819277109E-2</v>
      </c>
      <c r="D682" s="5">
        <v>3.2000000000000001E-2</v>
      </c>
      <c r="E682" s="5">
        <v>4.296754250386399E-2</v>
      </c>
      <c r="F682" s="2" t="s">
        <v>1354</v>
      </c>
      <c r="G682" s="2" t="s">
        <v>1355</v>
      </c>
      <c r="H682" s="2" t="s">
        <v>2683</v>
      </c>
      <c r="I682" s="2" t="s">
        <v>2691</v>
      </c>
      <c r="J682" s="2">
        <v>0</v>
      </c>
      <c r="K682" s="2">
        <v>0</v>
      </c>
      <c r="L682" s="2">
        <v>0</v>
      </c>
      <c r="M682" s="5">
        <v>1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5">
        <v>1</v>
      </c>
      <c r="Z682" s="2">
        <v>0</v>
      </c>
      <c r="AA682" s="2">
        <v>0</v>
      </c>
      <c r="AB682" s="2">
        <v>0</v>
      </c>
    </row>
    <row r="683" spans="1:28" ht="45" x14ac:dyDescent="0.25">
      <c r="A683" s="2">
        <v>682</v>
      </c>
      <c r="B683" s="5">
        <v>2.6595744680851061E-2</v>
      </c>
      <c r="C683" s="5">
        <v>2.7710843373493971E-2</v>
      </c>
      <c r="D683" s="5">
        <v>2E-3</v>
      </c>
      <c r="E683" s="5">
        <v>5.4095826893353939E-3</v>
      </c>
      <c r="F683" s="2" t="s">
        <v>1356</v>
      </c>
      <c r="G683" s="2" t="s">
        <v>1357</v>
      </c>
      <c r="H683" s="2" t="s">
        <v>2688</v>
      </c>
      <c r="I683" s="2" t="s">
        <v>2682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5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5">
        <v>1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</row>
    <row r="684" spans="1:28" ht="60" x14ac:dyDescent="0.25">
      <c r="A684" s="2">
        <v>683</v>
      </c>
      <c r="B684" s="5">
        <v>0.15606382978723399</v>
      </c>
      <c r="C684" s="5">
        <v>7.1084337349397592E-2</v>
      </c>
      <c r="D684" s="5">
        <v>5.8999999999999997E-2</v>
      </c>
      <c r="E684" s="5">
        <v>3.0448222565687789E-2</v>
      </c>
      <c r="F684" s="2" t="s">
        <v>1358</v>
      </c>
      <c r="G684" s="2" t="s">
        <v>1359</v>
      </c>
      <c r="H684" s="2" t="s">
        <v>2684</v>
      </c>
      <c r="I684" s="2" t="s">
        <v>2682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5">
        <v>1</v>
      </c>
      <c r="Q684" s="2">
        <v>0</v>
      </c>
      <c r="R684" s="2">
        <v>0</v>
      </c>
      <c r="S684" s="2">
        <v>0</v>
      </c>
      <c r="T684" s="2">
        <v>0</v>
      </c>
      <c r="U684" s="5">
        <v>1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</row>
    <row r="685" spans="1:28" ht="45" x14ac:dyDescent="0.25">
      <c r="A685" s="2">
        <v>684</v>
      </c>
      <c r="B685" s="5">
        <v>9.7872340425531917E-2</v>
      </c>
      <c r="C685" s="5">
        <v>2.6506024096385541E-2</v>
      </c>
      <c r="D685" s="5">
        <v>3.3000000000000002E-2</v>
      </c>
      <c r="E685" s="5">
        <v>2.179289026275116E-2</v>
      </c>
      <c r="F685" s="2" t="s">
        <v>1360</v>
      </c>
      <c r="G685" s="2" t="s">
        <v>1361</v>
      </c>
      <c r="H685" s="2" t="s">
        <v>2684</v>
      </c>
      <c r="I685" s="2" t="s">
        <v>2685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5">
        <v>1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5">
        <v>1</v>
      </c>
      <c r="Y685" s="2">
        <v>0</v>
      </c>
      <c r="Z685" s="2">
        <v>0</v>
      </c>
      <c r="AA685" s="2">
        <v>0</v>
      </c>
      <c r="AB685" s="2">
        <v>0</v>
      </c>
    </row>
    <row r="686" spans="1:28" ht="45" x14ac:dyDescent="0.25">
      <c r="A686" s="2">
        <v>685</v>
      </c>
      <c r="B686" s="5">
        <v>0.31063829787234037</v>
      </c>
      <c r="C686" s="5">
        <v>0.13493975903614461</v>
      </c>
      <c r="D686" s="5">
        <v>0.112</v>
      </c>
      <c r="E686" s="5">
        <v>4.3276661514683153E-3</v>
      </c>
      <c r="F686" s="2" t="s">
        <v>1362</v>
      </c>
      <c r="G686" s="2" t="s">
        <v>1363</v>
      </c>
      <c r="H686" s="2" t="s">
        <v>2681</v>
      </c>
      <c r="I686" s="2" t="s">
        <v>2682</v>
      </c>
      <c r="J686" s="2">
        <v>0</v>
      </c>
      <c r="K686" s="2">
        <v>0</v>
      </c>
      <c r="L686" s="2">
        <v>0</v>
      </c>
      <c r="M686" s="2">
        <v>0</v>
      </c>
      <c r="N686" s="5">
        <v>1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5">
        <v>1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</row>
    <row r="687" spans="1:28" ht="90" x14ac:dyDescent="0.25">
      <c r="A687" s="2">
        <v>686</v>
      </c>
      <c r="B687" s="5">
        <v>7.7659574468085107E-2</v>
      </c>
      <c r="C687" s="5">
        <v>0.1975903614457831</v>
      </c>
      <c r="D687" s="5">
        <v>3.0000000000000001E-3</v>
      </c>
      <c r="E687" s="2">
        <v>0</v>
      </c>
      <c r="F687" s="2" t="s">
        <v>1364</v>
      </c>
      <c r="G687" s="2" t="s">
        <v>1365</v>
      </c>
      <c r="H687" s="2" t="s">
        <v>2681</v>
      </c>
      <c r="I687" s="2" t="s">
        <v>2682</v>
      </c>
      <c r="J687" s="2">
        <v>0</v>
      </c>
      <c r="K687" s="2">
        <v>0</v>
      </c>
      <c r="L687" s="2">
        <v>0</v>
      </c>
      <c r="M687" s="2">
        <v>0</v>
      </c>
      <c r="N687" s="5">
        <v>1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5">
        <v>1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</row>
    <row r="688" spans="1:28" ht="60" x14ac:dyDescent="0.25">
      <c r="A688" s="2">
        <v>687</v>
      </c>
      <c r="B688" s="5">
        <v>0.29255319148936171</v>
      </c>
      <c r="C688" s="5">
        <v>0.15180722891566259</v>
      </c>
      <c r="D688" s="5">
        <v>0.14799999999999999</v>
      </c>
      <c r="E688" s="5">
        <v>8.4389489953632144E-2</v>
      </c>
      <c r="F688" s="2" t="s">
        <v>1366</v>
      </c>
      <c r="G688" s="2" t="s">
        <v>1367</v>
      </c>
      <c r="H688" s="2" t="s">
        <v>2688</v>
      </c>
      <c r="I688" s="2" t="s">
        <v>2691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5">
        <v>1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5">
        <v>1</v>
      </c>
      <c r="Z688" s="2">
        <v>0</v>
      </c>
      <c r="AA688" s="2">
        <v>0</v>
      </c>
      <c r="AB688" s="2">
        <v>0</v>
      </c>
    </row>
    <row r="689" spans="1:28" ht="30" x14ac:dyDescent="0.25">
      <c r="A689" s="2">
        <v>688</v>
      </c>
      <c r="B689" s="5">
        <v>0.37872340425531908</v>
      </c>
      <c r="C689" s="5">
        <v>0.108433734939759</v>
      </c>
      <c r="D689" s="5">
        <v>8.5000000000000006E-2</v>
      </c>
      <c r="E689" s="5">
        <v>9.969088098918083E-2</v>
      </c>
      <c r="F689" s="2" t="s">
        <v>1368</v>
      </c>
      <c r="G689" s="2" t="s">
        <v>1369</v>
      </c>
      <c r="H689" s="2" t="s">
        <v>2688</v>
      </c>
      <c r="I689" s="2" t="s">
        <v>2691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5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5">
        <v>1</v>
      </c>
      <c r="Z689" s="2">
        <v>0</v>
      </c>
      <c r="AA689" s="2">
        <v>0</v>
      </c>
      <c r="AB689" s="2">
        <v>0</v>
      </c>
    </row>
    <row r="690" spans="1:28" ht="30" x14ac:dyDescent="0.25">
      <c r="A690" s="2">
        <v>689</v>
      </c>
      <c r="B690" s="5">
        <v>0.1276595744680851</v>
      </c>
      <c r="C690" s="5">
        <v>4.2168674698795178E-2</v>
      </c>
      <c r="D690" s="5">
        <v>2.5000000000000001E-2</v>
      </c>
      <c r="E690" s="5">
        <v>3.2148377125193202E-2</v>
      </c>
      <c r="F690" s="2" t="s">
        <v>1370</v>
      </c>
      <c r="G690" s="2" t="s">
        <v>1371</v>
      </c>
      <c r="H690" s="2" t="s">
        <v>2688</v>
      </c>
      <c r="I690" s="2" t="s">
        <v>2682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5">
        <v>1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5">
        <v>1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</row>
    <row r="691" spans="1:28" ht="45" x14ac:dyDescent="0.25">
      <c r="A691" s="2">
        <v>690</v>
      </c>
      <c r="B691" s="5">
        <v>4.8936170212765959E-2</v>
      </c>
      <c r="C691" s="5">
        <v>6.8674698795180733E-2</v>
      </c>
      <c r="D691" s="5">
        <v>1.2999999999999999E-2</v>
      </c>
      <c r="E691" s="5">
        <v>1.391035548686244E-2</v>
      </c>
      <c r="F691" s="2" t="s">
        <v>1372</v>
      </c>
      <c r="G691" s="2" t="s">
        <v>1373</v>
      </c>
      <c r="H691" s="2" t="s">
        <v>2697</v>
      </c>
      <c r="I691" s="2" t="s">
        <v>2682</v>
      </c>
      <c r="J691" s="2">
        <v>0</v>
      </c>
      <c r="K691" s="2">
        <v>0</v>
      </c>
      <c r="L691" s="5">
        <v>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5">
        <v>1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</row>
    <row r="692" spans="1:28" ht="45" x14ac:dyDescent="0.25">
      <c r="A692" s="2">
        <v>691</v>
      </c>
      <c r="B692" s="5">
        <v>0.49361702127659568</v>
      </c>
      <c r="C692" s="5">
        <v>1.445783132530121E-2</v>
      </c>
      <c r="D692" s="5">
        <v>0.186</v>
      </c>
      <c r="E692" s="5">
        <v>0.1128284389489954</v>
      </c>
      <c r="F692" s="2" t="s">
        <v>1374</v>
      </c>
      <c r="G692" s="2" t="s">
        <v>1375</v>
      </c>
      <c r="H692" s="2" t="s">
        <v>2684</v>
      </c>
      <c r="I692" s="2" t="s">
        <v>2690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5">
        <v>1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5">
        <v>1</v>
      </c>
    </row>
    <row r="693" spans="1:28" ht="60" x14ac:dyDescent="0.25">
      <c r="A693" s="2">
        <v>692</v>
      </c>
      <c r="B693" s="5">
        <v>0.43085106382978722</v>
      </c>
      <c r="C693" s="5">
        <v>0.39518072289156619</v>
      </c>
      <c r="D693" s="5">
        <v>0.17</v>
      </c>
      <c r="E693" s="5">
        <v>5.6414219474497679E-2</v>
      </c>
      <c r="F693" s="2" t="s">
        <v>1376</v>
      </c>
      <c r="G693" s="2" t="s">
        <v>1377</v>
      </c>
      <c r="H693" s="2" t="s">
        <v>2688</v>
      </c>
      <c r="I693" s="2" t="s">
        <v>2690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5">
        <v>1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5">
        <v>1</v>
      </c>
    </row>
    <row r="694" spans="1:28" ht="45" x14ac:dyDescent="0.25">
      <c r="A694" s="2">
        <v>693</v>
      </c>
      <c r="B694" s="5">
        <v>3.7234042553191488E-2</v>
      </c>
      <c r="C694" s="5">
        <v>3.4939759036144581E-2</v>
      </c>
      <c r="D694" s="5">
        <v>2E-3</v>
      </c>
      <c r="E694" s="5">
        <v>1.236476043276662E-3</v>
      </c>
      <c r="F694" s="2" t="s">
        <v>1378</v>
      </c>
      <c r="G694" s="2" t="s">
        <v>1379</v>
      </c>
      <c r="H694" s="2" t="s">
        <v>2684</v>
      </c>
      <c r="I694" s="2" t="s">
        <v>2686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5">
        <v>1</v>
      </c>
      <c r="Q694" s="5">
        <v>1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</row>
    <row r="695" spans="1:28" ht="45" x14ac:dyDescent="0.25">
      <c r="A695" s="2">
        <v>694</v>
      </c>
      <c r="B695" s="5">
        <v>3.4042553191489362E-2</v>
      </c>
      <c r="C695" s="5">
        <v>3.4939759036144581E-2</v>
      </c>
      <c r="D695" s="5">
        <v>2E-3</v>
      </c>
      <c r="E695" s="5">
        <v>8.9644513137557957E-3</v>
      </c>
      <c r="F695" s="2" t="s">
        <v>1380</v>
      </c>
      <c r="G695" s="2" t="s">
        <v>1381</v>
      </c>
      <c r="H695" s="2" t="s">
        <v>2684</v>
      </c>
      <c r="I695" s="2" t="s">
        <v>2682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5">
        <v>1</v>
      </c>
      <c r="Q695" s="2">
        <v>0</v>
      </c>
      <c r="R695" s="2">
        <v>0</v>
      </c>
      <c r="S695" s="2">
        <v>0</v>
      </c>
      <c r="T695" s="2">
        <v>0</v>
      </c>
      <c r="U695" s="5">
        <v>1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</row>
    <row r="696" spans="1:28" ht="45" x14ac:dyDescent="0.25">
      <c r="A696" s="2">
        <v>695</v>
      </c>
      <c r="B696" s="5">
        <v>3.617021276595745E-2</v>
      </c>
      <c r="C696" s="5">
        <v>1.084337349397591E-2</v>
      </c>
      <c r="D696" s="5">
        <v>0.01</v>
      </c>
      <c r="E696" s="5">
        <v>1.035548686244204E-2</v>
      </c>
      <c r="F696" s="2" t="s">
        <v>1382</v>
      </c>
      <c r="G696" s="2" t="s">
        <v>1383</v>
      </c>
      <c r="H696" s="2" t="s">
        <v>2684</v>
      </c>
      <c r="I696" s="2" t="s">
        <v>2682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5">
        <v>1</v>
      </c>
      <c r="Q696" s="2">
        <v>0</v>
      </c>
      <c r="R696" s="2">
        <v>0</v>
      </c>
      <c r="S696" s="2">
        <v>0</v>
      </c>
      <c r="T696" s="2">
        <v>0</v>
      </c>
      <c r="U696" s="5">
        <v>1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</row>
    <row r="697" spans="1:28" ht="45" x14ac:dyDescent="0.25">
      <c r="A697" s="2">
        <v>696</v>
      </c>
      <c r="B697" s="5">
        <v>0.05</v>
      </c>
      <c r="C697" s="5">
        <v>6.024096385542169E-3</v>
      </c>
      <c r="D697" s="5">
        <v>2E-3</v>
      </c>
      <c r="E697" s="5">
        <v>1.6074188562596601E-2</v>
      </c>
      <c r="F697" s="2" t="s">
        <v>1384</v>
      </c>
      <c r="G697" s="2" t="s">
        <v>1385</v>
      </c>
      <c r="H697" s="2" t="s">
        <v>2684</v>
      </c>
      <c r="I697" s="2" t="s">
        <v>2682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5">
        <v>1</v>
      </c>
      <c r="Q697" s="2">
        <v>0</v>
      </c>
      <c r="R697" s="2">
        <v>0</v>
      </c>
      <c r="S697" s="2">
        <v>0</v>
      </c>
      <c r="T697" s="2">
        <v>0</v>
      </c>
      <c r="U697" s="5">
        <v>1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</row>
    <row r="698" spans="1:28" ht="45" x14ac:dyDescent="0.25">
      <c r="A698" s="2">
        <v>697</v>
      </c>
      <c r="B698" s="5">
        <v>0.34680851063829787</v>
      </c>
      <c r="C698" s="5">
        <v>0.27469879518072288</v>
      </c>
      <c r="D698" s="5">
        <v>0.20300000000000001</v>
      </c>
      <c r="E698" s="5">
        <v>2.0247295208655331E-2</v>
      </c>
      <c r="F698" s="2" t="s">
        <v>1386</v>
      </c>
      <c r="G698" s="2" t="s">
        <v>1387</v>
      </c>
      <c r="H698" s="2" t="s">
        <v>2683</v>
      </c>
      <c r="I698" s="2" t="s">
        <v>2693</v>
      </c>
      <c r="J698" s="2">
        <v>0</v>
      </c>
      <c r="K698" s="2">
        <v>0</v>
      </c>
      <c r="L698" s="2">
        <v>0</v>
      </c>
      <c r="M698" s="5">
        <v>1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5">
        <v>1</v>
      </c>
      <c r="AA698" s="2">
        <v>0</v>
      </c>
      <c r="AB698" s="2">
        <v>0</v>
      </c>
    </row>
    <row r="699" spans="1:28" ht="75" x14ac:dyDescent="0.25">
      <c r="A699" s="2">
        <v>698</v>
      </c>
      <c r="B699" s="5">
        <v>0.62765957446808507</v>
      </c>
      <c r="C699" s="5">
        <v>0.3253012048192771</v>
      </c>
      <c r="D699" s="5">
        <v>0.49</v>
      </c>
      <c r="E699" s="5">
        <v>3.2302936630602783E-2</v>
      </c>
      <c r="F699" s="2" t="s">
        <v>1388</v>
      </c>
      <c r="G699" s="2" t="s">
        <v>1389</v>
      </c>
      <c r="H699" s="2" t="s">
        <v>2683</v>
      </c>
      <c r="I699" s="2" t="s">
        <v>2693</v>
      </c>
      <c r="J699" s="2">
        <v>0</v>
      </c>
      <c r="K699" s="2">
        <v>0</v>
      </c>
      <c r="L699" s="2">
        <v>0</v>
      </c>
      <c r="M699" s="5">
        <v>1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5">
        <v>1</v>
      </c>
      <c r="AA699" s="2">
        <v>0</v>
      </c>
      <c r="AB699" s="2">
        <v>0</v>
      </c>
    </row>
    <row r="700" spans="1:28" ht="30" x14ac:dyDescent="0.25">
      <c r="A700" s="2">
        <v>699</v>
      </c>
      <c r="B700" s="5">
        <v>0.66276595744680855</v>
      </c>
      <c r="C700" s="5">
        <v>2.4096385542168679E-2</v>
      </c>
      <c r="D700" s="5">
        <v>0.52100000000000002</v>
      </c>
      <c r="E700" s="5">
        <v>5.6414219474497679E-2</v>
      </c>
      <c r="F700" s="2" t="s">
        <v>1390</v>
      </c>
      <c r="G700" s="2" t="s">
        <v>1391</v>
      </c>
      <c r="H700" s="2" t="s">
        <v>2688</v>
      </c>
      <c r="I700" s="2" t="s">
        <v>2686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5">
        <v>1</v>
      </c>
      <c r="P700" s="2">
        <v>0</v>
      </c>
      <c r="Q700" s="5">
        <v>1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</row>
    <row r="701" spans="1:28" ht="45" x14ac:dyDescent="0.25">
      <c r="A701" s="2">
        <v>700</v>
      </c>
      <c r="B701" s="5">
        <v>1.8085106382978729E-2</v>
      </c>
      <c r="C701" s="5">
        <v>2.4096385542168681E-3</v>
      </c>
      <c r="D701" s="5">
        <v>1E-3</v>
      </c>
      <c r="E701" s="5">
        <v>5.8732612055641424E-3</v>
      </c>
      <c r="F701" s="2" t="s">
        <v>1392</v>
      </c>
      <c r="G701" s="2" t="s">
        <v>1393</v>
      </c>
      <c r="H701" s="2" t="s">
        <v>2688</v>
      </c>
      <c r="I701" s="2" t="s">
        <v>2686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5">
        <v>1</v>
      </c>
      <c r="P701" s="2">
        <v>0</v>
      </c>
      <c r="Q701" s="5">
        <v>1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</row>
    <row r="702" spans="1:28" ht="45" x14ac:dyDescent="0.25">
      <c r="A702" s="2">
        <v>701</v>
      </c>
      <c r="B702" s="5">
        <v>7.2340425531914901E-2</v>
      </c>
      <c r="C702" s="5">
        <v>1.204819277108434E-2</v>
      </c>
      <c r="D702" s="5">
        <v>9.0000000000000011E-3</v>
      </c>
      <c r="E702" s="5">
        <v>2.1638330757341579E-2</v>
      </c>
      <c r="F702" s="2" t="s">
        <v>1394</v>
      </c>
      <c r="G702" s="2" t="s">
        <v>1395</v>
      </c>
      <c r="H702" s="2" t="s">
        <v>2688</v>
      </c>
      <c r="I702" s="2" t="s">
        <v>2686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5">
        <v>1</v>
      </c>
      <c r="P702" s="2">
        <v>0</v>
      </c>
      <c r="Q702" s="5">
        <v>1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</row>
    <row r="703" spans="1:28" ht="30" x14ac:dyDescent="0.25">
      <c r="A703" s="2">
        <v>702</v>
      </c>
      <c r="B703" s="5">
        <v>0.19148936170212769</v>
      </c>
      <c r="C703" s="5">
        <v>4.8192771084337352E-2</v>
      </c>
      <c r="D703" s="5">
        <v>0.15</v>
      </c>
      <c r="E703" s="5">
        <v>1.5455950540958271E-2</v>
      </c>
      <c r="F703" s="2" t="s">
        <v>1396</v>
      </c>
      <c r="G703" s="2" t="s">
        <v>1397</v>
      </c>
      <c r="H703" s="2" t="s">
        <v>2688</v>
      </c>
      <c r="I703" s="2" t="s">
        <v>2686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5">
        <v>1</v>
      </c>
      <c r="P703" s="2">
        <v>0</v>
      </c>
      <c r="Q703" s="5">
        <v>1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</row>
    <row r="704" spans="1:28" ht="45" x14ac:dyDescent="0.25">
      <c r="A704" s="2">
        <v>703</v>
      </c>
      <c r="B704" s="5">
        <v>0.3819148936170213</v>
      </c>
      <c r="C704" s="5">
        <v>4.0963855421686748E-2</v>
      </c>
      <c r="D704" s="5">
        <v>0.34699999999999998</v>
      </c>
      <c r="E704" s="5">
        <v>2.1638330757341579E-2</v>
      </c>
      <c r="F704" s="2" t="s">
        <v>1398</v>
      </c>
      <c r="G704" s="2" t="s">
        <v>1399</v>
      </c>
      <c r="H704" s="2" t="s">
        <v>2688</v>
      </c>
      <c r="I704" s="2" t="s">
        <v>2686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5">
        <v>1</v>
      </c>
      <c r="P704" s="2">
        <v>0</v>
      </c>
      <c r="Q704" s="5">
        <v>1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</row>
    <row r="705" spans="1:28" ht="45" x14ac:dyDescent="0.25">
      <c r="A705" s="2">
        <v>704</v>
      </c>
      <c r="B705" s="5">
        <v>0.2276595744680851</v>
      </c>
      <c r="C705" s="5">
        <v>6.5060240963855431E-2</v>
      </c>
      <c r="D705" s="5">
        <v>5.4000000000000013E-2</v>
      </c>
      <c r="E705" s="5">
        <v>6.2132921174652238E-2</v>
      </c>
      <c r="F705" s="2" t="s">
        <v>1400</v>
      </c>
      <c r="G705" s="2" t="s">
        <v>1401</v>
      </c>
      <c r="H705" s="2" t="s">
        <v>2683</v>
      </c>
      <c r="I705" s="2" t="s">
        <v>2691</v>
      </c>
      <c r="J705" s="2">
        <v>0</v>
      </c>
      <c r="K705" s="2">
        <v>0</v>
      </c>
      <c r="L705" s="2">
        <v>0</v>
      </c>
      <c r="M705" s="5">
        <v>1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5">
        <v>1</v>
      </c>
      <c r="Z705" s="2">
        <v>0</v>
      </c>
      <c r="AA705" s="2">
        <v>0</v>
      </c>
      <c r="AB705" s="2">
        <v>0</v>
      </c>
    </row>
    <row r="706" spans="1:28" ht="45" x14ac:dyDescent="0.25">
      <c r="A706" s="2">
        <v>705</v>
      </c>
      <c r="B706" s="5">
        <v>0.1180851063829787</v>
      </c>
      <c r="C706" s="5">
        <v>1.8072289156626509E-2</v>
      </c>
      <c r="D706" s="5">
        <v>3.0000000000000001E-3</v>
      </c>
      <c r="E706" s="5">
        <v>4.2040185471406491E-2</v>
      </c>
      <c r="F706" s="2" t="s">
        <v>1402</v>
      </c>
      <c r="G706" s="2" t="s">
        <v>1403</v>
      </c>
      <c r="H706" s="2" t="s">
        <v>2683</v>
      </c>
      <c r="I706" s="2" t="s">
        <v>2682</v>
      </c>
      <c r="J706" s="2">
        <v>0</v>
      </c>
      <c r="K706" s="2">
        <v>0</v>
      </c>
      <c r="L706" s="2">
        <v>0</v>
      </c>
      <c r="M706" s="5">
        <v>1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5">
        <v>1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</row>
    <row r="707" spans="1:28" ht="90" x14ac:dyDescent="0.25">
      <c r="A707" s="2">
        <v>706</v>
      </c>
      <c r="B707" s="5">
        <v>0.15106382978723401</v>
      </c>
      <c r="C707" s="5">
        <v>0.20361445783132531</v>
      </c>
      <c r="D707" s="5">
        <v>7.8E-2</v>
      </c>
      <c r="E707" s="2">
        <v>0</v>
      </c>
      <c r="F707" s="2" t="s">
        <v>1404</v>
      </c>
      <c r="G707" s="2" t="s">
        <v>1405</v>
      </c>
      <c r="H707" s="2" t="s">
        <v>2688</v>
      </c>
      <c r="I707" s="2" t="s">
        <v>2689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5">
        <v>1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5">
        <v>1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</row>
    <row r="708" spans="1:28" ht="30" x14ac:dyDescent="0.25">
      <c r="A708" s="2">
        <v>707</v>
      </c>
      <c r="B708" s="5">
        <v>5.1063829787234047E-2</v>
      </c>
      <c r="C708" s="5">
        <v>1.204819277108434E-2</v>
      </c>
      <c r="D708" s="5">
        <v>2E-3</v>
      </c>
      <c r="E708" s="5">
        <v>1.8392581143740341E-2</v>
      </c>
      <c r="F708" s="2" t="s">
        <v>1406</v>
      </c>
      <c r="G708" s="2" t="s">
        <v>1407</v>
      </c>
      <c r="H708" s="2" t="s">
        <v>2683</v>
      </c>
      <c r="I708" s="2" t="s">
        <v>2682</v>
      </c>
      <c r="J708" s="2">
        <v>0</v>
      </c>
      <c r="K708" s="2">
        <v>0</v>
      </c>
      <c r="L708" s="2">
        <v>0</v>
      </c>
      <c r="M708" s="5">
        <v>1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5">
        <v>1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</row>
    <row r="709" spans="1:28" ht="45" x14ac:dyDescent="0.25">
      <c r="A709" s="2">
        <v>708</v>
      </c>
      <c r="B709" s="5">
        <v>0.4042553191489362</v>
      </c>
      <c r="C709" s="5">
        <v>0.58915662650602407</v>
      </c>
      <c r="D709" s="5">
        <v>0.13800000000000001</v>
      </c>
      <c r="E709" s="5">
        <v>3.601236476043277E-2</v>
      </c>
      <c r="F709" s="2" t="s">
        <v>1408</v>
      </c>
      <c r="G709" s="2" t="s">
        <v>1409</v>
      </c>
      <c r="H709" s="2" t="s">
        <v>2683</v>
      </c>
      <c r="I709" s="2" t="s">
        <v>2687</v>
      </c>
      <c r="J709" s="2">
        <v>0</v>
      </c>
      <c r="K709" s="2">
        <v>0</v>
      </c>
      <c r="L709" s="2">
        <v>0</v>
      </c>
      <c r="M709" s="5">
        <v>1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5">
        <v>1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</row>
    <row r="710" spans="1:28" ht="45" x14ac:dyDescent="0.25">
      <c r="A710" s="2">
        <v>709</v>
      </c>
      <c r="B710" s="5">
        <v>4.6808510638297871E-2</v>
      </c>
      <c r="C710" s="5">
        <v>2.168674698795181E-2</v>
      </c>
      <c r="D710" s="5">
        <v>6.0000000000000001E-3</v>
      </c>
      <c r="E710" s="5">
        <v>1.4837712519319941E-2</v>
      </c>
      <c r="F710" s="2" t="s">
        <v>1410</v>
      </c>
      <c r="G710" s="2" t="s">
        <v>1411</v>
      </c>
      <c r="H710" s="2" t="s">
        <v>2683</v>
      </c>
      <c r="I710" s="2" t="s">
        <v>2687</v>
      </c>
      <c r="J710" s="2">
        <v>0</v>
      </c>
      <c r="K710" s="2">
        <v>0</v>
      </c>
      <c r="L710" s="2">
        <v>0</v>
      </c>
      <c r="M710" s="5">
        <v>1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5">
        <v>1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</row>
    <row r="711" spans="1:28" ht="45" x14ac:dyDescent="0.25">
      <c r="A711" s="2">
        <v>710</v>
      </c>
      <c r="B711" s="5">
        <v>0.67659574468085104</v>
      </c>
      <c r="C711" s="5">
        <v>0.2289156626506024</v>
      </c>
      <c r="D711" s="5">
        <v>0.63</v>
      </c>
      <c r="E711" s="5">
        <v>1.236476043276661E-2</v>
      </c>
      <c r="F711" s="2" t="s">
        <v>1412</v>
      </c>
      <c r="G711" s="2" t="s">
        <v>1413</v>
      </c>
      <c r="H711" s="2" t="s">
        <v>2683</v>
      </c>
      <c r="I711" s="2" t="s">
        <v>2691</v>
      </c>
      <c r="J711" s="2">
        <v>0</v>
      </c>
      <c r="K711" s="2">
        <v>0</v>
      </c>
      <c r="L711" s="2">
        <v>0</v>
      </c>
      <c r="M711" s="5">
        <v>1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5">
        <v>1</v>
      </c>
      <c r="Z711" s="2">
        <v>0</v>
      </c>
      <c r="AA711" s="2">
        <v>0</v>
      </c>
      <c r="AB711" s="2">
        <v>0</v>
      </c>
    </row>
    <row r="712" spans="1:28" ht="45" x14ac:dyDescent="0.25">
      <c r="A712" s="2">
        <v>711</v>
      </c>
      <c r="B712" s="5">
        <v>0.69893617021276599</v>
      </c>
      <c r="C712" s="5">
        <v>0.18072289156626509</v>
      </c>
      <c r="D712" s="5">
        <v>0.66</v>
      </c>
      <c r="E712" s="5">
        <v>2.009273570324575E-2</v>
      </c>
      <c r="F712" s="2" t="s">
        <v>1414</v>
      </c>
      <c r="G712" s="2" t="s">
        <v>1415</v>
      </c>
      <c r="H712" s="2" t="s">
        <v>2688</v>
      </c>
      <c r="I712" s="2" t="s">
        <v>2687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5">
        <v>1</v>
      </c>
      <c r="P712" s="2">
        <v>0</v>
      </c>
      <c r="Q712" s="2">
        <v>0</v>
      </c>
      <c r="R712" s="2">
        <v>0</v>
      </c>
      <c r="S712" s="5">
        <v>1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</row>
    <row r="713" spans="1:28" x14ac:dyDescent="0.25">
      <c r="A713" s="2">
        <v>712</v>
      </c>
      <c r="B713" s="5">
        <v>0.65531914893617027</v>
      </c>
      <c r="C713" s="5">
        <v>0.1674698795180723</v>
      </c>
      <c r="D713" s="5">
        <v>0.56200000000000006</v>
      </c>
      <c r="E713" s="5">
        <v>2.117465224111283E-2</v>
      </c>
      <c r="F713" s="2" t="s">
        <v>1416</v>
      </c>
      <c r="G713" s="2" t="s">
        <v>1417</v>
      </c>
      <c r="H713" s="2" t="s">
        <v>2688</v>
      </c>
      <c r="I713" s="2" t="s">
        <v>2687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5">
        <v>1</v>
      </c>
      <c r="P713" s="2">
        <v>0</v>
      </c>
      <c r="Q713" s="2">
        <v>0</v>
      </c>
      <c r="R713" s="2">
        <v>0</v>
      </c>
      <c r="S713" s="5">
        <v>1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</row>
    <row r="714" spans="1:28" ht="90" x14ac:dyDescent="0.25">
      <c r="A714" s="2">
        <v>713</v>
      </c>
      <c r="B714" s="5">
        <v>8.8297872340425534E-2</v>
      </c>
      <c r="C714" s="5">
        <v>2.4096385542168679E-2</v>
      </c>
      <c r="D714" s="5">
        <v>1E-3</v>
      </c>
      <c r="E714" s="5">
        <v>2.952086553323029E-2</v>
      </c>
      <c r="F714" s="2" t="s">
        <v>1418</v>
      </c>
      <c r="G714" s="2" t="s">
        <v>1419</v>
      </c>
      <c r="H714" s="2" t="s">
        <v>2688</v>
      </c>
      <c r="I714" s="2" t="s">
        <v>2690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5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5">
        <v>1</v>
      </c>
    </row>
    <row r="715" spans="1:28" ht="30" x14ac:dyDescent="0.25">
      <c r="A715" s="2">
        <v>714</v>
      </c>
      <c r="B715" s="5">
        <v>0.15106382978723401</v>
      </c>
      <c r="C715" s="5">
        <v>1.084337349397591E-2</v>
      </c>
      <c r="D715" s="5">
        <v>4.0000000000000001E-3</v>
      </c>
      <c r="E715" s="5">
        <v>5.2086553323029368E-2</v>
      </c>
      <c r="F715" s="2" t="s">
        <v>1420</v>
      </c>
      <c r="G715" s="2" t="s">
        <v>1421</v>
      </c>
      <c r="H715" s="2" t="s">
        <v>2688</v>
      </c>
      <c r="I715" s="2" t="s">
        <v>2690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5">
        <v>1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5">
        <v>1</v>
      </c>
    </row>
    <row r="716" spans="1:28" ht="45" x14ac:dyDescent="0.25">
      <c r="A716" s="2">
        <v>715</v>
      </c>
      <c r="B716" s="5">
        <v>6.8085106382978725E-2</v>
      </c>
      <c r="C716" s="5">
        <v>0.1445783132530121</v>
      </c>
      <c r="D716" s="5">
        <v>0.01</v>
      </c>
      <c r="E716" s="5">
        <v>3.0911901081916542E-3</v>
      </c>
      <c r="F716" s="2" t="s">
        <v>1422</v>
      </c>
      <c r="G716" s="2" t="s">
        <v>1423</v>
      </c>
      <c r="H716" s="2" t="s">
        <v>2681</v>
      </c>
      <c r="I716" s="2" t="s">
        <v>2682</v>
      </c>
      <c r="J716" s="2">
        <v>0</v>
      </c>
      <c r="K716" s="2">
        <v>0</v>
      </c>
      <c r="L716" s="2">
        <v>0</v>
      </c>
      <c r="M716" s="2">
        <v>0</v>
      </c>
      <c r="N716" s="5">
        <v>1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5">
        <v>1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</row>
    <row r="717" spans="1:28" ht="30" x14ac:dyDescent="0.25">
      <c r="A717" s="2">
        <v>716</v>
      </c>
      <c r="B717" s="5">
        <v>0.21702127659574469</v>
      </c>
      <c r="C717" s="5">
        <v>3.1325301204819279E-2</v>
      </c>
      <c r="D717" s="5">
        <v>0.2</v>
      </c>
      <c r="E717" s="5">
        <v>6.1823802163833066E-3</v>
      </c>
      <c r="F717" s="2" t="s">
        <v>1424</v>
      </c>
      <c r="G717" s="2" t="s">
        <v>1425</v>
      </c>
      <c r="H717" s="2" t="s">
        <v>2696</v>
      </c>
      <c r="I717" s="2" t="s">
        <v>2693</v>
      </c>
      <c r="J717" s="2">
        <v>0</v>
      </c>
      <c r="K717" s="5">
        <v>1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5">
        <v>1</v>
      </c>
      <c r="AA717" s="2">
        <v>0</v>
      </c>
      <c r="AB717" s="2">
        <v>0</v>
      </c>
    </row>
    <row r="718" spans="1:28" ht="45" x14ac:dyDescent="0.25">
      <c r="A718" s="2">
        <v>717</v>
      </c>
      <c r="B718" s="5">
        <v>0.16063829787234041</v>
      </c>
      <c r="C718" s="5">
        <v>0.16626506024096391</v>
      </c>
      <c r="D718" s="5">
        <v>3.7999999999999999E-2</v>
      </c>
      <c r="E718" s="5">
        <v>2.179289026275116E-2</v>
      </c>
      <c r="F718" s="2" t="s">
        <v>1426</v>
      </c>
      <c r="G718" s="2" t="s">
        <v>1427</v>
      </c>
      <c r="H718" s="2" t="s">
        <v>2683</v>
      </c>
      <c r="I718" s="2" t="s">
        <v>2682</v>
      </c>
      <c r="J718" s="2">
        <v>0</v>
      </c>
      <c r="K718" s="2">
        <v>0</v>
      </c>
      <c r="L718" s="2">
        <v>0</v>
      </c>
      <c r="M718" s="5">
        <v>1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5">
        <v>1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 spans="1:28" ht="45" x14ac:dyDescent="0.25">
      <c r="A719" s="2">
        <v>718</v>
      </c>
      <c r="B719" s="5">
        <v>6.2765957446808518E-2</v>
      </c>
      <c r="C719" s="5">
        <v>0.2168674698795181</v>
      </c>
      <c r="D719" s="5">
        <v>1.0999999999999999E-2</v>
      </c>
      <c r="E719" s="5">
        <v>5.5641421947449756E-3</v>
      </c>
      <c r="F719" s="2" t="s">
        <v>1428</v>
      </c>
      <c r="G719" s="2" t="s">
        <v>1429</v>
      </c>
      <c r="H719" s="2" t="s">
        <v>2683</v>
      </c>
      <c r="I719" s="2" t="s">
        <v>2682</v>
      </c>
      <c r="J719" s="2">
        <v>0</v>
      </c>
      <c r="K719" s="2">
        <v>0</v>
      </c>
      <c r="L719" s="2">
        <v>0</v>
      </c>
      <c r="M719" s="5">
        <v>1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5">
        <v>1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</row>
    <row r="720" spans="1:28" ht="45" x14ac:dyDescent="0.25">
      <c r="A720" s="2">
        <v>719</v>
      </c>
      <c r="B720" s="5">
        <v>0.41808510638297869</v>
      </c>
      <c r="C720" s="5">
        <v>0.46867469879518081</v>
      </c>
      <c r="D720" s="5">
        <v>0.13300000000000001</v>
      </c>
      <c r="E720" s="5">
        <v>4.544049459041731E-2</v>
      </c>
      <c r="F720" s="2" t="s">
        <v>1430</v>
      </c>
      <c r="G720" s="2" t="s">
        <v>1431</v>
      </c>
      <c r="H720" s="2" t="s">
        <v>2683</v>
      </c>
      <c r="I720" s="2" t="s">
        <v>2682</v>
      </c>
      <c r="J720" s="2">
        <v>0</v>
      </c>
      <c r="K720" s="2">
        <v>0</v>
      </c>
      <c r="L720" s="2">
        <v>0</v>
      </c>
      <c r="M720" s="5">
        <v>1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5">
        <v>1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</row>
    <row r="721" spans="1:28" ht="45" x14ac:dyDescent="0.25">
      <c r="A721" s="2">
        <v>720</v>
      </c>
      <c r="B721" s="5">
        <v>0.37978723404255321</v>
      </c>
      <c r="C721" s="5">
        <v>0.49518072289156628</v>
      </c>
      <c r="D721" s="5">
        <v>0.1</v>
      </c>
      <c r="E721" s="5">
        <v>3.956723338485317E-2</v>
      </c>
      <c r="F721" s="2" t="s">
        <v>1432</v>
      </c>
      <c r="G721" s="2" t="s">
        <v>1433</v>
      </c>
      <c r="H721" s="2" t="s">
        <v>2683</v>
      </c>
      <c r="I721" s="2" t="s">
        <v>2682</v>
      </c>
      <c r="J721" s="2">
        <v>0</v>
      </c>
      <c r="K721" s="2">
        <v>0</v>
      </c>
      <c r="L721" s="2">
        <v>0</v>
      </c>
      <c r="M721" s="5">
        <v>1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5">
        <v>1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</row>
    <row r="722" spans="1:28" ht="30" x14ac:dyDescent="0.25">
      <c r="A722" s="2">
        <v>721</v>
      </c>
      <c r="B722" s="5">
        <v>8.4042553191489358E-2</v>
      </c>
      <c r="C722" s="5">
        <v>0.2253012048192771</v>
      </c>
      <c r="D722" s="5">
        <v>5.0000000000000001E-3</v>
      </c>
      <c r="E722" s="2">
        <v>0</v>
      </c>
      <c r="F722" s="2" t="s">
        <v>1434</v>
      </c>
      <c r="G722" s="2" t="s">
        <v>1435</v>
      </c>
      <c r="H722" s="2" t="s">
        <v>2688</v>
      </c>
      <c r="I722" s="2" t="s">
        <v>2689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5">
        <v>1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5">
        <v>1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</row>
    <row r="723" spans="1:28" ht="75" x14ac:dyDescent="0.25">
      <c r="A723" s="2">
        <v>722</v>
      </c>
      <c r="B723" s="5">
        <v>0.50531914893617025</v>
      </c>
      <c r="C723" s="5">
        <v>1.9277108433734941E-2</v>
      </c>
      <c r="D723" s="5">
        <v>0.255</v>
      </c>
      <c r="E723" s="5">
        <v>9.9536321483771256E-2</v>
      </c>
      <c r="F723" s="2" t="s">
        <v>1436</v>
      </c>
      <c r="G723" s="2" t="s">
        <v>1437</v>
      </c>
      <c r="H723" s="2" t="s">
        <v>2683</v>
      </c>
      <c r="I723" s="2" t="s">
        <v>2690</v>
      </c>
      <c r="J723" s="2">
        <v>0</v>
      </c>
      <c r="K723" s="2">
        <v>0</v>
      </c>
      <c r="L723" s="2">
        <v>0</v>
      </c>
      <c r="M723" s="5">
        <v>1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5">
        <v>1</v>
      </c>
    </row>
    <row r="724" spans="1:28" ht="45" x14ac:dyDescent="0.25">
      <c r="A724" s="2">
        <v>723</v>
      </c>
      <c r="B724" s="5">
        <v>0.14574468085106379</v>
      </c>
      <c r="C724" s="5">
        <v>1.566265060240964E-2</v>
      </c>
      <c r="D724" s="5">
        <v>1.0999999999999999E-2</v>
      </c>
      <c r="E724" s="5">
        <v>4.605873261205564E-2</v>
      </c>
      <c r="F724" s="2" t="s">
        <v>1438</v>
      </c>
      <c r="G724" s="2" t="s">
        <v>1439</v>
      </c>
      <c r="H724" s="2" t="s">
        <v>2688</v>
      </c>
      <c r="I724" s="2" t="s">
        <v>2690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5">
        <v>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5">
        <v>1</v>
      </c>
    </row>
    <row r="725" spans="1:28" ht="45" x14ac:dyDescent="0.25">
      <c r="A725" s="2">
        <v>724</v>
      </c>
      <c r="B725" s="5">
        <v>0.62340425531914889</v>
      </c>
      <c r="C725" s="5">
        <v>5.9036144578313257E-2</v>
      </c>
      <c r="D725" s="5">
        <v>0.40600000000000003</v>
      </c>
      <c r="E725" s="5">
        <v>7.7588871715610519E-2</v>
      </c>
      <c r="F725" s="2" t="s">
        <v>1440</v>
      </c>
      <c r="G725" s="2" t="s">
        <v>1441</v>
      </c>
      <c r="H725" s="2" t="s">
        <v>2684</v>
      </c>
      <c r="I725" s="2" t="s">
        <v>2685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5">
        <v>1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5">
        <v>1</v>
      </c>
      <c r="Y725" s="2">
        <v>0</v>
      </c>
      <c r="Z725" s="2">
        <v>0</v>
      </c>
      <c r="AA725" s="2">
        <v>0</v>
      </c>
      <c r="AB725" s="2">
        <v>0</v>
      </c>
    </row>
    <row r="726" spans="1:28" ht="30" x14ac:dyDescent="0.25">
      <c r="A726" s="2">
        <v>725</v>
      </c>
      <c r="B726" s="5">
        <v>0.474468085106383</v>
      </c>
      <c r="C726" s="5">
        <v>3.3734939759036138E-2</v>
      </c>
      <c r="D726" s="5">
        <v>0.14499999999999999</v>
      </c>
      <c r="E726" s="5">
        <v>0.1174652241112828</v>
      </c>
      <c r="F726" s="2" t="s">
        <v>1442</v>
      </c>
      <c r="G726" s="2" t="s">
        <v>1443</v>
      </c>
      <c r="H726" s="2" t="s">
        <v>2684</v>
      </c>
      <c r="I726" s="2" t="s">
        <v>2690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5">
        <v>1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5">
        <v>1</v>
      </c>
    </row>
    <row r="727" spans="1:28" ht="60" x14ac:dyDescent="0.25">
      <c r="A727" s="2">
        <v>726</v>
      </c>
      <c r="B727" s="5">
        <v>0.47659574468085109</v>
      </c>
      <c r="C727" s="5">
        <v>3.2530120481927723E-2</v>
      </c>
      <c r="D727" s="5">
        <v>0.188</v>
      </c>
      <c r="E727" s="5">
        <v>0.10370942812983</v>
      </c>
      <c r="F727" s="2" t="s">
        <v>1444</v>
      </c>
      <c r="G727" s="2" t="s">
        <v>1445</v>
      </c>
      <c r="H727" s="2" t="s">
        <v>2684</v>
      </c>
      <c r="I727" s="2" t="s">
        <v>2690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5">
        <v>1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5">
        <v>1</v>
      </c>
    </row>
    <row r="728" spans="1:28" ht="60" x14ac:dyDescent="0.25">
      <c r="A728" s="2">
        <v>727</v>
      </c>
      <c r="B728" s="5">
        <v>0.51595744680851063</v>
      </c>
      <c r="C728" s="5">
        <v>2.0481927710843371E-2</v>
      </c>
      <c r="D728" s="5">
        <v>0.222</v>
      </c>
      <c r="E728" s="5">
        <v>0.1077279752704791</v>
      </c>
      <c r="F728" s="2" t="s">
        <v>1446</v>
      </c>
      <c r="G728" s="2" t="s">
        <v>1447</v>
      </c>
      <c r="H728" s="2" t="s">
        <v>2684</v>
      </c>
      <c r="I728" s="2" t="s">
        <v>2690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5">
        <v>1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5">
        <v>1</v>
      </c>
    </row>
    <row r="729" spans="1:28" ht="45" x14ac:dyDescent="0.25">
      <c r="A729" s="2">
        <v>728</v>
      </c>
      <c r="B729" s="5">
        <v>0.63617021276595742</v>
      </c>
      <c r="C729" s="5">
        <v>0.1</v>
      </c>
      <c r="D729" s="5">
        <v>0.438</v>
      </c>
      <c r="E729" s="5">
        <v>6.5842349304482226E-2</v>
      </c>
      <c r="F729" s="2" t="s">
        <v>1448</v>
      </c>
      <c r="G729" s="2" t="s">
        <v>1449</v>
      </c>
      <c r="H729" s="2" t="s">
        <v>2684</v>
      </c>
      <c r="I729" s="2" t="s">
        <v>2687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5">
        <v>1</v>
      </c>
      <c r="Q729" s="2">
        <v>0</v>
      </c>
      <c r="R729" s="2">
        <v>0</v>
      </c>
      <c r="S729" s="5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</row>
    <row r="730" spans="1:28" ht="45" x14ac:dyDescent="0.25">
      <c r="A730" s="2">
        <v>729</v>
      </c>
      <c r="B730" s="5">
        <v>0.50851063829787235</v>
      </c>
      <c r="C730" s="5">
        <v>1.084337349397591E-2</v>
      </c>
      <c r="D730" s="5">
        <v>0.20699999999999999</v>
      </c>
      <c r="E730" s="5">
        <v>0.11128284389489949</v>
      </c>
      <c r="F730" s="2" t="s">
        <v>1450</v>
      </c>
      <c r="G730" s="2" t="s">
        <v>1451</v>
      </c>
      <c r="H730" s="2" t="s">
        <v>2684</v>
      </c>
      <c r="I730" s="2" t="s">
        <v>2690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5">
        <v>1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5">
        <v>1</v>
      </c>
    </row>
    <row r="731" spans="1:28" ht="30" x14ac:dyDescent="0.25">
      <c r="A731" s="2">
        <v>730</v>
      </c>
      <c r="B731" s="5">
        <v>0.51170212765957446</v>
      </c>
      <c r="C731" s="5">
        <v>2.6506024096385541E-2</v>
      </c>
      <c r="D731" s="5">
        <v>0.19700000000000001</v>
      </c>
      <c r="E731" s="5">
        <v>0.1137557959814528</v>
      </c>
      <c r="F731" s="2" t="s">
        <v>1452</v>
      </c>
      <c r="G731" s="2" t="s">
        <v>1453</v>
      </c>
      <c r="H731" s="2" t="s">
        <v>2684</v>
      </c>
      <c r="I731" s="2" t="s">
        <v>2690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5">
        <v>1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5">
        <v>1</v>
      </c>
    </row>
    <row r="732" spans="1:28" ht="45" x14ac:dyDescent="0.25">
      <c r="A732" s="2">
        <v>731</v>
      </c>
      <c r="B732" s="5">
        <v>0.61808510638297876</v>
      </c>
      <c r="C732" s="5">
        <v>0.14578313253012051</v>
      </c>
      <c r="D732" s="5">
        <v>0.40600000000000003</v>
      </c>
      <c r="E732" s="5">
        <v>6.4451313755795991E-2</v>
      </c>
      <c r="F732" s="2" t="s">
        <v>1454</v>
      </c>
      <c r="G732" s="2" t="s">
        <v>1455</v>
      </c>
      <c r="H732" s="2" t="s">
        <v>2684</v>
      </c>
      <c r="I732" s="2" t="s">
        <v>2687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5">
        <v>1</v>
      </c>
      <c r="Q732" s="2">
        <v>0</v>
      </c>
      <c r="R732" s="2">
        <v>0</v>
      </c>
      <c r="S732" s="5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</row>
    <row r="733" spans="1:28" ht="30" x14ac:dyDescent="0.25">
      <c r="A733" s="2">
        <v>732</v>
      </c>
      <c r="B733" s="5">
        <v>0.57659574468085106</v>
      </c>
      <c r="C733" s="5">
        <v>0.48554216867469879</v>
      </c>
      <c r="D733" s="5">
        <v>0.42399999999999999</v>
      </c>
      <c r="E733" s="5">
        <v>1.7928902627511591E-2</v>
      </c>
      <c r="F733" s="2" t="s">
        <v>1456</v>
      </c>
      <c r="G733" s="2" t="s">
        <v>1457</v>
      </c>
      <c r="H733" s="2" t="s">
        <v>2684</v>
      </c>
      <c r="I733" s="2" t="s">
        <v>2687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5">
        <v>1</v>
      </c>
      <c r="Q733" s="2">
        <v>0</v>
      </c>
      <c r="R733" s="2">
        <v>0</v>
      </c>
      <c r="S733" s="5">
        <v>1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</row>
    <row r="734" spans="1:28" x14ac:dyDescent="0.25">
      <c r="A734" s="2">
        <v>733</v>
      </c>
      <c r="B734" s="5">
        <v>0.54255319148936176</v>
      </c>
      <c r="C734" s="5">
        <v>0.1481927710843374</v>
      </c>
      <c r="D734" s="5">
        <v>0.27900000000000003</v>
      </c>
      <c r="E734" s="5">
        <v>8.0989180834621324E-2</v>
      </c>
      <c r="F734" s="2" t="s">
        <v>1458</v>
      </c>
      <c r="G734" s="2" t="s">
        <v>1459</v>
      </c>
      <c r="H734" s="2" t="s">
        <v>2684</v>
      </c>
      <c r="I734" s="2" t="s">
        <v>2687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5">
        <v>1</v>
      </c>
      <c r="Q734" s="2">
        <v>0</v>
      </c>
      <c r="R734" s="2">
        <v>0</v>
      </c>
      <c r="S734" s="5">
        <v>1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</row>
    <row r="735" spans="1:28" ht="30" x14ac:dyDescent="0.25">
      <c r="A735" s="2">
        <v>734</v>
      </c>
      <c r="B735" s="5">
        <v>0.56276595744680857</v>
      </c>
      <c r="C735" s="5">
        <v>0.25060240963855418</v>
      </c>
      <c r="D735" s="5">
        <v>0.317</v>
      </c>
      <c r="E735" s="5">
        <v>6.2132921174652238E-2</v>
      </c>
      <c r="F735" s="2" t="s">
        <v>1460</v>
      </c>
      <c r="G735" s="2" t="s">
        <v>1461</v>
      </c>
      <c r="H735" s="2" t="s">
        <v>2684</v>
      </c>
      <c r="I735" s="2" t="s">
        <v>2698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5">
        <v>1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5">
        <v>1</v>
      </c>
      <c r="AB735" s="2">
        <v>0</v>
      </c>
    </row>
    <row r="736" spans="1:28" ht="30" x14ac:dyDescent="0.25">
      <c r="A736" s="2">
        <v>735</v>
      </c>
      <c r="B736" s="5">
        <v>0.51702127659574471</v>
      </c>
      <c r="C736" s="5">
        <v>2.4096385542168681E-3</v>
      </c>
      <c r="D736" s="5">
        <v>0.23899999999999999</v>
      </c>
      <c r="E736" s="5">
        <v>0.1044822256568779</v>
      </c>
      <c r="F736" s="2" t="s">
        <v>1462</v>
      </c>
      <c r="G736" s="2" t="s">
        <v>1463</v>
      </c>
      <c r="H736" s="2" t="s">
        <v>2684</v>
      </c>
      <c r="I736" s="2" t="s">
        <v>2690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5">
        <v>1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5">
        <v>1</v>
      </c>
    </row>
    <row r="737" spans="1:28" ht="60" x14ac:dyDescent="0.25">
      <c r="A737" s="2">
        <v>736</v>
      </c>
      <c r="B737" s="5">
        <v>2.7659574468085112E-2</v>
      </c>
      <c r="C737" s="5">
        <v>2.0481927710843371E-2</v>
      </c>
      <c r="D737" s="5">
        <v>4.0000000000000001E-3</v>
      </c>
      <c r="E737" s="5">
        <v>5.8732612055641424E-3</v>
      </c>
      <c r="F737" s="2" t="s">
        <v>1464</v>
      </c>
      <c r="G737" s="2" t="s">
        <v>1465</v>
      </c>
      <c r="H737" s="2" t="s">
        <v>2684</v>
      </c>
      <c r="I737" s="2" t="s">
        <v>2682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5">
        <v>1</v>
      </c>
      <c r="Q737" s="2">
        <v>0</v>
      </c>
      <c r="R737" s="2">
        <v>0</v>
      </c>
      <c r="S737" s="2">
        <v>0</v>
      </c>
      <c r="T737" s="2">
        <v>0</v>
      </c>
      <c r="U737" s="5">
        <v>1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</row>
    <row r="738" spans="1:28" ht="30" x14ac:dyDescent="0.25">
      <c r="A738" s="2">
        <v>737</v>
      </c>
      <c r="B738" s="5">
        <v>0.37234042553191488</v>
      </c>
      <c r="C738" s="5">
        <v>6.024096385542169E-3</v>
      </c>
      <c r="D738" s="5">
        <v>2E-3</v>
      </c>
      <c r="E738" s="5">
        <v>0.1327666151468315</v>
      </c>
      <c r="F738" s="2" t="s">
        <v>1466</v>
      </c>
      <c r="G738" s="2" t="s">
        <v>1467</v>
      </c>
      <c r="H738" s="2" t="s">
        <v>2684</v>
      </c>
      <c r="I738" s="2" t="s">
        <v>2690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5">
        <v>1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5">
        <v>1</v>
      </c>
    </row>
    <row r="739" spans="1:28" ht="30" x14ac:dyDescent="0.25">
      <c r="A739" s="2">
        <v>738</v>
      </c>
      <c r="B739" s="5">
        <v>0.47234042553191491</v>
      </c>
      <c r="C739" s="5">
        <v>8.313253012048194E-2</v>
      </c>
      <c r="D739" s="5">
        <v>0.14599999999999999</v>
      </c>
      <c r="E739" s="5">
        <v>0.11020092735703239</v>
      </c>
      <c r="F739" s="2" t="s">
        <v>1468</v>
      </c>
      <c r="G739" s="2" t="s">
        <v>1469</v>
      </c>
      <c r="H739" s="2" t="s">
        <v>2684</v>
      </c>
      <c r="I739" s="2" t="s">
        <v>2691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5">
        <v>1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5">
        <v>1</v>
      </c>
      <c r="Z739" s="2">
        <v>0</v>
      </c>
      <c r="AA739" s="2">
        <v>0</v>
      </c>
      <c r="AB739" s="2">
        <v>0</v>
      </c>
    </row>
    <row r="740" spans="1:28" ht="60" x14ac:dyDescent="0.25">
      <c r="A740" s="2">
        <v>739</v>
      </c>
      <c r="B740" s="5">
        <v>0.36382978723404258</v>
      </c>
      <c r="C740" s="5">
        <v>0.19277108433734941</v>
      </c>
      <c r="D740" s="5">
        <v>4.0000000000000001E-3</v>
      </c>
      <c r="E740" s="5">
        <v>0.1013910355486862</v>
      </c>
      <c r="F740" s="2" t="s">
        <v>1470</v>
      </c>
      <c r="G740" s="2" t="s">
        <v>1471</v>
      </c>
      <c r="H740" s="2" t="s">
        <v>2688</v>
      </c>
      <c r="I740" s="2" t="s">
        <v>2689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5">
        <v>1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5">
        <v>1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</row>
    <row r="741" spans="1:28" ht="45" x14ac:dyDescent="0.25">
      <c r="A741" s="2">
        <v>740</v>
      </c>
      <c r="B741" s="5">
        <v>0.34574468085106391</v>
      </c>
      <c r="C741" s="5">
        <v>2.168674698795181E-2</v>
      </c>
      <c r="D741" s="5">
        <v>4.0000000000000001E-3</v>
      </c>
      <c r="E741" s="5">
        <v>0.12132921174652241</v>
      </c>
      <c r="F741" s="2" t="s">
        <v>1472</v>
      </c>
      <c r="G741" s="2" t="s">
        <v>1473</v>
      </c>
      <c r="H741" s="2" t="s">
        <v>2688</v>
      </c>
      <c r="I741" s="2" t="s">
        <v>2689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5">
        <v>1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5">
        <v>1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</row>
    <row r="742" spans="1:28" ht="45" x14ac:dyDescent="0.25">
      <c r="A742" s="2">
        <v>741</v>
      </c>
      <c r="B742" s="5">
        <v>0.53617021276595744</v>
      </c>
      <c r="C742" s="5">
        <v>6.746987951807229E-2</v>
      </c>
      <c r="D742" s="5">
        <v>0.28100000000000003</v>
      </c>
      <c r="E742" s="5">
        <v>8.8253477588871712E-2</v>
      </c>
      <c r="F742" s="2" t="s">
        <v>1474</v>
      </c>
      <c r="G742" s="2" t="s">
        <v>1475</v>
      </c>
      <c r="H742" s="2" t="s">
        <v>2684</v>
      </c>
      <c r="I742" s="2" t="s">
        <v>2690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5">
        <v>1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5">
        <v>1</v>
      </c>
    </row>
    <row r="743" spans="1:28" ht="45" x14ac:dyDescent="0.25">
      <c r="A743" s="2">
        <v>742</v>
      </c>
      <c r="B743" s="5">
        <v>0.37872340425531908</v>
      </c>
      <c r="C743" s="5">
        <v>0.1168674698795181</v>
      </c>
      <c r="D743" s="5">
        <v>1.0999999999999999E-2</v>
      </c>
      <c r="E743" s="5">
        <v>0.1188562596599691</v>
      </c>
      <c r="F743" s="2" t="s">
        <v>1476</v>
      </c>
      <c r="G743" s="2" t="s">
        <v>1477</v>
      </c>
      <c r="H743" s="2" t="s">
        <v>2684</v>
      </c>
      <c r="I743" s="2" t="s">
        <v>2690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5">
        <v>1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5">
        <v>1</v>
      </c>
    </row>
    <row r="744" spans="1:28" ht="45" x14ac:dyDescent="0.25">
      <c r="A744" s="2">
        <v>743</v>
      </c>
      <c r="B744" s="5">
        <v>0.44893617021276588</v>
      </c>
      <c r="C744" s="5">
        <v>1</v>
      </c>
      <c r="D744" s="5">
        <v>0.04</v>
      </c>
      <c r="E744" s="2">
        <v>0</v>
      </c>
      <c r="F744" s="2" t="s">
        <v>1478</v>
      </c>
      <c r="G744" s="2" t="s">
        <v>1479</v>
      </c>
      <c r="H744" s="2" t="s">
        <v>2688</v>
      </c>
      <c r="I744" s="2" t="s">
        <v>2689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5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5">
        <v>1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</row>
    <row r="745" spans="1:28" ht="30" x14ac:dyDescent="0.25">
      <c r="A745" s="2">
        <v>744</v>
      </c>
      <c r="B745" s="5">
        <v>0.36702127659574468</v>
      </c>
      <c r="C745" s="5">
        <v>0.1445783132530121</v>
      </c>
      <c r="D745" s="5">
        <v>1.4999999999999999E-2</v>
      </c>
      <c r="E745" s="5">
        <v>0.1105100463678516</v>
      </c>
      <c r="F745" s="2" t="s">
        <v>1480</v>
      </c>
      <c r="G745" s="2" t="s">
        <v>1481</v>
      </c>
      <c r="H745" s="2" t="s">
        <v>2688</v>
      </c>
      <c r="I745" s="2" t="s">
        <v>2687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5">
        <v>1</v>
      </c>
      <c r="P745" s="2">
        <v>0</v>
      </c>
      <c r="Q745" s="2">
        <v>0</v>
      </c>
      <c r="R745" s="2">
        <v>0</v>
      </c>
      <c r="S745" s="5">
        <v>1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</row>
    <row r="746" spans="1:28" ht="45" x14ac:dyDescent="0.25">
      <c r="A746" s="2">
        <v>745</v>
      </c>
      <c r="B746" s="5">
        <v>0.45851063829787242</v>
      </c>
      <c r="C746" s="5">
        <v>0.13373493975903611</v>
      </c>
      <c r="D746" s="5">
        <v>0.16200000000000001</v>
      </c>
      <c r="E746" s="5">
        <v>9.7372488408037097E-2</v>
      </c>
      <c r="F746" s="2" t="s">
        <v>1482</v>
      </c>
      <c r="G746" s="2" t="s">
        <v>1483</v>
      </c>
      <c r="H746" s="2" t="s">
        <v>2684</v>
      </c>
      <c r="I746" s="2" t="s">
        <v>2687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5">
        <v>1</v>
      </c>
      <c r="Q746" s="2">
        <v>0</v>
      </c>
      <c r="R746" s="2">
        <v>0</v>
      </c>
      <c r="S746" s="5">
        <v>1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</row>
    <row r="747" spans="1:28" ht="45" x14ac:dyDescent="0.25">
      <c r="A747" s="2">
        <v>746</v>
      </c>
      <c r="B747" s="5">
        <v>0.46702127659574472</v>
      </c>
      <c r="C747" s="5">
        <v>0.1204819277108434</v>
      </c>
      <c r="D747" s="5">
        <v>0.16400000000000001</v>
      </c>
      <c r="E747" s="5">
        <v>0.1015455950540958</v>
      </c>
      <c r="F747" s="2" t="s">
        <v>1484</v>
      </c>
      <c r="G747" s="2" t="s">
        <v>1483</v>
      </c>
      <c r="H747" s="2" t="s">
        <v>2684</v>
      </c>
      <c r="I747" s="2" t="s">
        <v>2687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5">
        <v>1</v>
      </c>
      <c r="Q747" s="2">
        <v>0</v>
      </c>
      <c r="R747" s="2">
        <v>0</v>
      </c>
      <c r="S747" s="5">
        <v>1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</row>
    <row r="748" spans="1:28" ht="45" x14ac:dyDescent="0.25">
      <c r="A748" s="2">
        <v>747</v>
      </c>
      <c r="B748" s="5">
        <v>0.51595744680851063</v>
      </c>
      <c r="C748" s="5">
        <v>0.13855421686746991</v>
      </c>
      <c r="D748" s="5">
        <v>0.245</v>
      </c>
      <c r="E748" s="5">
        <v>9.134466769706337E-2</v>
      </c>
      <c r="F748" s="2" t="s">
        <v>1485</v>
      </c>
      <c r="G748" s="2" t="s">
        <v>1483</v>
      </c>
      <c r="H748" s="2" t="s">
        <v>2684</v>
      </c>
      <c r="I748" s="2" t="s">
        <v>2687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5">
        <v>1</v>
      </c>
      <c r="Q748" s="2">
        <v>0</v>
      </c>
      <c r="R748" s="2">
        <v>0</v>
      </c>
      <c r="S748" s="5">
        <v>1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</row>
    <row r="749" spans="1:28" ht="45" x14ac:dyDescent="0.25">
      <c r="A749" s="2">
        <v>748</v>
      </c>
      <c r="B749" s="5">
        <v>0.50638297872340421</v>
      </c>
      <c r="C749" s="5">
        <v>1.2048192771084341E-3</v>
      </c>
      <c r="D749" s="5">
        <v>0.21099999999999999</v>
      </c>
      <c r="E749" s="5">
        <v>0.11020092735703239</v>
      </c>
      <c r="F749" s="2" t="s">
        <v>1486</v>
      </c>
      <c r="G749" s="2" t="s">
        <v>1487</v>
      </c>
      <c r="H749" s="2" t="s">
        <v>2684</v>
      </c>
      <c r="I749" s="2" t="s">
        <v>2691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5">
        <v>1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5">
        <v>1</v>
      </c>
      <c r="Z749" s="2">
        <v>0</v>
      </c>
      <c r="AA749" s="2">
        <v>0</v>
      </c>
      <c r="AB749" s="2">
        <v>0</v>
      </c>
    </row>
    <row r="750" spans="1:28" ht="45" x14ac:dyDescent="0.25">
      <c r="A750" s="2">
        <v>749</v>
      </c>
      <c r="B750" s="5">
        <v>4.9680851063829787E-2</v>
      </c>
      <c r="C750" s="5">
        <v>0.20843373493975911</v>
      </c>
      <c r="D750" s="5">
        <v>0.17299999999999999</v>
      </c>
      <c r="E750" s="5">
        <v>0.12565687789799071</v>
      </c>
      <c r="F750" s="2" t="s">
        <v>1488</v>
      </c>
      <c r="G750" s="2" t="s">
        <v>1489</v>
      </c>
      <c r="H750" s="2" t="s">
        <v>2684</v>
      </c>
      <c r="I750" s="2" t="s">
        <v>2690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5">
        <v>1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5">
        <v>1</v>
      </c>
    </row>
    <row r="751" spans="1:28" ht="90" x14ac:dyDescent="0.25">
      <c r="A751" s="2">
        <v>750</v>
      </c>
      <c r="B751" s="5">
        <v>0.36170212765957449</v>
      </c>
      <c r="C751" s="5">
        <v>0.36144578313253012</v>
      </c>
      <c r="D751" s="5">
        <v>0.3</v>
      </c>
      <c r="E751" s="5">
        <v>8.0370942812983001E-2</v>
      </c>
      <c r="F751" s="2" t="s">
        <v>1490</v>
      </c>
      <c r="G751" s="2" t="s">
        <v>1491</v>
      </c>
      <c r="H751" s="2" t="s">
        <v>2688</v>
      </c>
      <c r="I751" s="2" t="s">
        <v>2690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5">
        <v>1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5">
        <v>1</v>
      </c>
    </row>
    <row r="752" spans="1:28" ht="90" x14ac:dyDescent="0.25">
      <c r="A752" s="2">
        <v>751</v>
      </c>
      <c r="B752" s="5">
        <v>0.3819148936170213</v>
      </c>
      <c r="C752" s="5">
        <v>0.20722891566265059</v>
      </c>
      <c r="D752" s="5">
        <v>0.68200000000000005</v>
      </c>
      <c r="E752" s="5">
        <v>0.51313755795981453</v>
      </c>
      <c r="F752" s="2" t="s">
        <v>1492</v>
      </c>
      <c r="G752" s="2" t="s">
        <v>1493</v>
      </c>
      <c r="H752" s="2" t="s">
        <v>2688</v>
      </c>
      <c r="I752" s="2" t="s">
        <v>2690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5">
        <v>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5">
        <v>1</v>
      </c>
    </row>
    <row r="753" spans="1:28" ht="45" x14ac:dyDescent="0.25">
      <c r="A753" s="2">
        <v>752</v>
      </c>
      <c r="B753" s="5">
        <v>0.50744680851063828</v>
      </c>
      <c r="C753" s="5">
        <v>5.6626506024096392E-2</v>
      </c>
      <c r="D753" s="5">
        <v>0.20499999999999999</v>
      </c>
      <c r="E753" s="5">
        <v>0.1058732612055641</v>
      </c>
      <c r="F753" s="2" t="s">
        <v>1494</v>
      </c>
      <c r="G753" s="2" t="s">
        <v>1495</v>
      </c>
      <c r="H753" s="2" t="s">
        <v>2684</v>
      </c>
      <c r="I753" s="2" t="s">
        <v>2690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5">
        <v>1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5">
        <v>1</v>
      </c>
    </row>
    <row r="754" spans="1:28" ht="45" x14ac:dyDescent="0.25">
      <c r="A754" s="2">
        <v>753</v>
      </c>
      <c r="B754" s="5">
        <v>0.62553191489361704</v>
      </c>
      <c r="C754" s="5">
        <v>0.64698795180722901</v>
      </c>
      <c r="D754" s="5">
        <v>0.40899999999999997</v>
      </c>
      <c r="E754" s="5">
        <v>1.8547140649149919E-3</v>
      </c>
      <c r="F754" s="2" t="s">
        <v>1496</v>
      </c>
      <c r="G754" s="2" t="s">
        <v>1497</v>
      </c>
      <c r="H754" s="2" t="s">
        <v>2684</v>
      </c>
      <c r="I754" s="2" t="s">
        <v>2690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5">
        <v>1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5">
        <v>1</v>
      </c>
    </row>
    <row r="755" spans="1:28" ht="45" x14ac:dyDescent="0.25">
      <c r="A755" s="2">
        <v>754</v>
      </c>
      <c r="B755" s="5">
        <v>8.2978723404255314E-2</v>
      </c>
      <c r="C755" s="5">
        <v>9.6385542168674707E-3</v>
      </c>
      <c r="D755" s="5">
        <v>4.0000000000000001E-3</v>
      </c>
      <c r="E755" s="5">
        <v>3.0911901081916542E-2</v>
      </c>
      <c r="F755" s="2" t="s">
        <v>1498</v>
      </c>
      <c r="G755" s="2" t="s">
        <v>1499</v>
      </c>
      <c r="H755" s="2" t="s">
        <v>2683</v>
      </c>
      <c r="I755" s="2" t="s">
        <v>2682</v>
      </c>
      <c r="J755" s="2">
        <v>0</v>
      </c>
      <c r="K755" s="2">
        <v>0</v>
      </c>
      <c r="L755" s="2">
        <v>0</v>
      </c>
      <c r="M755" s="5">
        <v>1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5">
        <v>1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 spans="1:28" ht="45" x14ac:dyDescent="0.25">
      <c r="A756" s="2">
        <v>755</v>
      </c>
      <c r="B756" s="5">
        <v>0.1925531914893617</v>
      </c>
      <c r="C756" s="5">
        <v>4.8192771084337352E-2</v>
      </c>
      <c r="D756" s="5">
        <v>1.2E-2</v>
      </c>
      <c r="E756" s="5">
        <v>5.7650695517774339E-2</v>
      </c>
      <c r="F756" s="2" t="s">
        <v>1500</v>
      </c>
      <c r="G756" s="2" t="s">
        <v>1501</v>
      </c>
      <c r="H756" s="2" t="s">
        <v>2683</v>
      </c>
      <c r="I756" s="2" t="s">
        <v>2691</v>
      </c>
      <c r="J756" s="2">
        <v>0</v>
      </c>
      <c r="K756" s="2">
        <v>0</v>
      </c>
      <c r="L756" s="2">
        <v>0</v>
      </c>
      <c r="M756" s="5">
        <v>1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5">
        <v>1</v>
      </c>
      <c r="Z756" s="2">
        <v>0</v>
      </c>
      <c r="AA756" s="2">
        <v>0</v>
      </c>
      <c r="AB756" s="2">
        <v>0</v>
      </c>
    </row>
    <row r="757" spans="1:28" ht="45" x14ac:dyDescent="0.25">
      <c r="A757" s="2">
        <v>756</v>
      </c>
      <c r="B757" s="5">
        <v>0.17340425531914891</v>
      </c>
      <c r="C757" s="5">
        <v>3.6144578313253017E-2</v>
      </c>
      <c r="D757" s="5">
        <v>4.0000000000000001E-3</v>
      </c>
      <c r="E757" s="5">
        <v>5.5177743431221032E-2</v>
      </c>
      <c r="F757" s="2" t="s">
        <v>1502</v>
      </c>
      <c r="G757" s="2" t="s">
        <v>1503</v>
      </c>
      <c r="H757" s="2" t="s">
        <v>2683</v>
      </c>
      <c r="I757" s="2" t="s">
        <v>2691</v>
      </c>
      <c r="J757" s="2">
        <v>0</v>
      </c>
      <c r="K757" s="2">
        <v>0</v>
      </c>
      <c r="L757" s="2">
        <v>0</v>
      </c>
      <c r="M757" s="5">
        <v>1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5">
        <v>1</v>
      </c>
      <c r="Z757" s="2">
        <v>0</v>
      </c>
      <c r="AA757" s="2">
        <v>0</v>
      </c>
      <c r="AB757" s="2">
        <v>0</v>
      </c>
    </row>
    <row r="758" spans="1:28" ht="90" x14ac:dyDescent="0.25">
      <c r="A758" s="2">
        <v>757</v>
      </c>
      <c r="B758" s="5">
        <v>0.36170212765957449</v>
      </c>
      <c r="C758" s="5">
        <v>0.13253012048192769</v>
      </c>
      <c r="D758" s="5">
        <v>0.11</v>
      </c>
      <c r="E758" s="5">
        <v>8.3462132921174645E-2</v>
      </c>
      <c r="F758" s="2" t="s">
        <v>1504</v>
      </c>
      <c r="G758" s="2" t="s">
        <v>1505</v>
      </c>
      <c r="H758" s="2" t="s">
        <v>2688</v>
      </c>
      <c r="I758" s="2" t="s">
        <v>2682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5">
        <v>1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5">
        <v>1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</row>
    <row r="759" spans="1:28" ht="30" x14ac:dyDescent="0.25">
      <c r="A759" s="2">
        <v>758</v>
      </c>
      <c r="B759" s="5">
        <v>0.1670212765957447</v>
      </c>
      <c r="C759" s="5">
        <v>9.6385542168674707E-3</v>
      </c>
      <c r="D759" s="5">
        <v>3.0000000000000001E-3</v>
      </c>
      <c r="E759" s="5">
        <v>5.8578052550231838E-2</v>
      </c>
      <c r="F759" s="2" t="s">
        <v>1506</v>
      </c>
      <c r="G759" s="2" t="s">
        <v>1507</v>
      </c>
      <c r="H759" s="2" t="s">
        <v>2688</v>
      </c>
      <c r="I759" s="2" t="s">
        <v>2690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5">
        <v>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5">
        <v>1</v>
      </c>
    </row>
    <row r="760" spans="1:28" ht="30" x14ac:dyDescent="0.25">
      <c r="A760" s="2">
        <v>759</v>
      </c>
      <c r="B760" s="5">
        <v>0.1638297872340426</v>
      </c>
      <c r="C760" s="5">
        <v>1.204819277108434E-2</v>
      </c>
      <c r="D760" s="5">
        <v>3.0000000000000001E-3</v>
      </c>
      <c r="E760" s="5">
        <v>5.6877897990726421E-2</v>
      </c>
      <c r="F760" s="2" t="s">
        <v>1508</v>
      </c>
      <c r="G760" s="2" t="s">
        <v>1509</v>
      </c>
      <c r="H760" s="2" t="s">
        <v>2688</v>
      </c>
      <c r="I760" s="2" t="s">
        <v>2690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5">
        <v>1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5">
        <v>1</v>
      </c>
    </row>
    <row r="761" spans="1:28" ht="45" x14ac:dyDescent="0.25">
      <c r="A761" s="2">
        <v>760</v>
      </c>
      <c r="B761" s="5">
        <v>0.1627659574468085</v>
      </c>
      <c r="C761" s="5">
        <v>1.445783132530121E-2</v>
      </c>
      <c r="D761" s="5">
        <v>3.0000000000000001E-3</v>
      </c>
      <c r="E761" s="5">
        <v>5.6259659969088098E-2</v>
      </c>
      <c r="F761" s="2" t="s">
        <v>1510</v>
      </c>
      <c r="G761" s="2" t="s">
        <v>1511</v>
      </c>
      <c r="H761" s="2" t="s">
        <v>2683</v>
      </c>
      <c r="I761" s="2" t="s">
        <v>2690</v>
      </c>
      <c r="J761" s="2">
        <v>0</v>
      </c>
      <c r="K761" s="2">
        <v>0</v>
      </c>
      <c r="L761" s="2">
        <v>0</v>
      </c>
      <c r="M761" s="5">
        <v>1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5">
        <v>1</v>
      </c>
    </row>
    <row r="762" spans="1:28" x14ac:dyDescent="0.25">
      <c r="A762" s="2">
        <v>761</v>
      </c>
      <c r="B762" s="5">
        <v>1.276595744680851E-2</v>
      </c>
      <c r="C762" s="5">
        <v>8.4337349397590362E-3</v>
      </c>
      <c r="D762" s="5">
        <v>1E-3</v>
      </c>
      <c r="E762" s="5">
        <v>4.1731066460587328E-3</v>
      </c>
      <c r="F762" s="2" t="s">
        <v>1512</v>
      </c>
      <c r="G762" s="2" t="s">
        <v>1513</v>
      </c>
      <c r="H762" s="2" t="s">
        <v>2684</v>
      </c>
      <c r="I762" s="2" t="s">
        <v>2682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5">
        <v>1</v>
      </c>
      <c r="Q762" s="2">
        <v>0</v>
      </c>
      <c r="R762" s="2">
        <v>0</v>
      </c>
      <c r="S762" s="2">
        <v>0</v>
      </c>
      <c r="T762" s="2">
        <v>0</v>
      </c>
      <c r="U762" s="5">
        <v>1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</row>
    <row r="763" spans="1:28" ht="60" x14ac:dyDescent="0.25">
      <c r="A763" s="2">
        <v>762</v>
      </c>
      <c r="B763" s="5">
        <v>9.5744680851063829E-3</v>
      </c>
      <c r="C763" s="5">
        <v>6.024096385542169E-3</v>
      </c>
      <c r="D763" s="5">
        <v>1E-3</v>
      </c>
      <c r="E763" s="5">
        <v>2.9366306027820712E-3</v>
      </c>
      <c r="F763" s="2" t="s">
        <v>1514</v>
      </c>
      <c r="G763" s="2" t="s">
        <v>1515</v>
      </c>
      <c r="H763" s="2" t="s">
        <v>2697</v>
      </c>
      <c r="I763" s="2" t="s">
        <v>2682</v>
      </c>
      <c r="J763" s="2">
        <v>0</v>
      </c>
      <c r="K763" s="2">
        <v>0</v>
      </c>
      <c r="L763" s="5">
        <v>1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5">
        <v>1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</row>
    <row r="764" spans="1:28" ht="45" x14ac:dyDescent="0.25">
      <c r="A764" s="2">
        <v>763</v>
      </c>
      <c r="B764" s="5">
        <v>0.1627659574468085</v>
      </c>
      <c r="C764" s="5">
        <v>9.5180722891566275E-2</v>
      </c>
      <c r="D764" s="5">
        <v>7.6999999999999999E-2</v>
      </c>
      <c r="E764" s="5">
        <v>2.009273570324575E-2</v>
      </c>
      <c r="F764" s="2" t="s">
        <v>1516</v>
      </c>
      <c r="G764" s="2" t="s">
        <v>1517</v>
      </c>
      <c r="H764" s="2" t="s">
        <v>2683</v>
      </c>
      <c r="I764" s="2" t="s">
        <v>2691</v>
      </c>
      <c r="J764" s="2">
        <v>0</v>
      </c>
      <c r="K764" s="2">
        <v>0</v>
      </c>
      <c r="L764" s="2">
        <v>0</v>
      </c>
      <c r="M764" s="5">
        <v>1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5">
        <v>1</v>
      </c>
      <c r="Z764" s="2">
        <v>0</v>
      </c>
      <c r="AA764" s="2">
        <v>0</v>
      </c>
      <c r="AB764" s="2">
        <v>0</v>
      </c>
    </row>
    <row r="765" spans="1:28" ht="60" x14ac:dyDescent="0.25">
      <c r="A765" s="2">
        <v>764</v>
      </c>
      <c r="B765" s="5">
        <v>0.4297872340425532</v>
      </c>
      <c r="C765" s="5">
        <v>0.16987951807228921</v>
      </c>
      <c r="D765" s="5">
        <v>0.161</v>
      </c>
      <c r="E765" s="5">
        <v>8.377125193199382E-2</v>
      </c>
      <c r="F765" s="2" t="s">
        <v>1518</v>
      </c>
      <c r="G765" s="2" t="s">
        <v>1519</v>
      </c>
      <c r="H765" s="2" t="s">
        <v>2688</v>
      </c>
      <c r="I765" s="2" t="s">
        <v>2682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5">
        <v>1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5">
        <v>1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</row>
    <row r="766" spans="1:28" ht="45" x14ac:dyDescent="0.25">
      <c r="A766" s="2">
        <v>765</v>
      </c>
      <c r="B766" s="5">
        <v>0.22553191489361701</v>
      </c>
      <c r="C766" s="5">
        <v>4.8192771084337352E-2</v>
      </c>
      <c r="D766" s="5">
        <v>4.5999999999999999E-2</v>
      </c>
      <c r="E766" s="5">
        <v>5.9659969088098917E-2</v>
      </c>
      <c r="F766" s="2" t="s">
        <v>1520</v>
      </c>
      <c r="G766" s="2" t="s">
        <v>1521</v>
      </c>
      <c r="H766" s="2" t="s">
        <v>2683</v>
      </c>
      <c r="I766" s="2" t="s">
        <v>2691</v>
      </c>
      <c r="J766" s="2">
        <v>0</v>
      </c>
      <c r="K766" s="2">
        <v>0</v>
      </c>
      <c r="L766" s="2">
        <v>0</v>
      </c>
      <c r="M766" s="5">
        <v>1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5">
        <v>1</v>
      </c>
      <c r="Z766" s="2">
        <v>0</v>
      </c>
      <c r="AA766" s="2">
        <v>0</v>
      </c>
      <c r="AB766" s="2">
        <v>0</v>
      </c>
    </row>
    <row r="767" spans="1:28" ht="45" x14ac:dyDescent="0.25">
      <c r="A767" s="2">
        <v>766</v>
      </c>
      <c r="B767" s="5">
        <v>0.1165957446808511</v>
      </c>
      <c r="C767" s="5">
        <v>3.1325301204819279E-2</v>
      </c>
      <c r="D767" s="5">
        <v>2.5999999999999999E-2</v>
      </c>
      <c r="E767" s="5">
        <v>2.8748068006182379E-2</v>
      </c>
      <c r="F767" s="2" t="s">
        <v>1522</v>
      </c>
      <c r="G767" s="2" t="s">
        <v>1523</v>
      </c>
      <c r="H767" s="2" t="s">
        <v>2683</v>
      </c>
      <c r="I767" s="2" t="s">
        <v>2687</v>
      </c>
      <c r="J767" s="2">
        <v>0</v>
      </c>
      <c r="K767" s="2">
        <v>0</v>
      </c>
      <c r="L767" s="2">
        <v>0</v>
      </c>
      <c r="M767" s="5">
        <v>1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5">
        <v>1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</row>
    <row r="768" spans="1:28" x14ac:dyDescent="0.25">
      <c r="A768" s="2">
        <v>767</v>
      </c>
      <c r="B768" s="5">
        <v>0.32978723404255322</v>
      </c>
      <c r="C768" s="5">
        <v>0.1204819277108434</v>
      </c>
      <c r="D768" s="5">
        <v>0.24</v>
      </c>
      <c r="E768" s="5">
        <v>2.0865533230293661E-2</v>
      </c>
      <c r="F768" s="2" t="s">
        <v>1524</v>
      </c>
      <c r="G768" s="2" t="s">
        <v>1525</v>
      </c>
      <c r="H768" s="2" t="s">
        <v>2688</v>
      </c>
      <c r="I768" s="2" t="s">
        <v>2682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5">
        <v>1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5">
        <v>1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</row>
    <row r="769" spans="1:28" ht="105" x14ac:dyDescent="0.25">
      <c r="A769" s="2">
        <v>768</v>
      </c>
      <c r="B769" s="5">
        <v>7.7659574468085107E-2</v>
      </c>
      <c r="C769" s="5">
        <v>0.1975903614457831</v>
      </c>
      <c r="D769" s="5">
        <v>3.0000000000000001E-3</v>
      </c>
      <c r="E769" s="2">
        <v>0</v>
      </c>
      <c r="F769" s="2" t="s">
        <v>1526</v>
      </c>
      <c r="G769" s="2" t="s">
        <v>1527</v>
      </c>
      <c r="H769" s="2" t="s">
        <v>2681</v>
      </c>
      <c r="I769" s="2" t="s">
        <v>2682</v>
      </c>
      <c r="J769" s="2">
        <v>0</v>
      </c>
      <c r="K769" s="2">
        <v>0</v>
      </c>
      <c r="L769" s="2">
        <v>0</v>
      </c>
      <c r="M769" s="2">
        <v>0</v>
      </c>
      <c r="N769" s="5">
        <v>1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5">
        <v>1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</row>
    <row r="770" spans="1:28" ht="45" x14ac:dyDescent="0.25">
      <c r="A770" s="2">
        <v>769</v>
      </c>
      <c r="B770" s="5">
        <v>9.1489361702127667E-2</v>
      </c>
      <c r="C770" s="5">
        <v>1.9277108433734941E-2</v>
      </c>
      <c r="D770" s="5">
        <v>2E-3</v>
      </c>
      <c r="E770" s="5">
        <v>2.009273570324575E-2</v>
      </c>
      <c r="F770" s="2" t="s">
        <v>1528</v>
      </c>
      <c r="G770" s="2" t="s">
        <v>1529</v>
      </c>
      <c r="H770" s="2" t="s">
        <v>2683</v>
      </c>
      <c r="I770" s="2" t="s">
        <v>2682</v>
      </c>
      <c r="J770" s="2">
        <v>0</v>
      </c>
      <c r="K770" s="2">
        <v>0</v>
      </c>
      <c r="L770" s="2">
        <v>0</v>
      </c>
      <c r="M770" s="5">
        <v>1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5">
        <v>1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</row>
    <row r="771" spans="1:28" ht="75" x14ac:dyDescent="0.25">
      <c r="A771" s="2">
        <v>770</v>
      </c>
      <c r="B771" s="5">
        <v>0.1053191489361702</v>
      </c>
      <c r="C771" s="5">
        <v>3.9759036144578312E-2</v>
      </c>
      <c r="D771" s="5">
        <v>1E-3</v>
      </c>
      <c r="E771" s="5">
        <v>3.2766615146831532E-2</v>
      </c>
      <c r="F771" s="2" t="s">
        <v>1530</v>
      </c>
      <c r="G771" s="2" t="s">
        <v>1531</v>
      </c>
      <c r="H771" s="2" t="s">
        <v>2684</v>
      </c>
      <c r="I771" s="2" t="s">
        <v>2687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5">
        <v>1</v>
      </c>
      <c r="Q771" s="2">
        <v>0</v>
      </c>
      <c r="R771" s="2">
        <v>0</v>
      </c>
      <c r="S771" s="5">
        <v>1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</row>
    <row r="772" spans="1:28" ht="45" x14ac:dyDescent="0.25">
      <c r="A772" s="2">
        <v>771</v>
      </c>
      <c r="B772" s="5">
        <v>2.6595744680851061E-2</v>
      </c>
      <c r="C772" s="5">
        <v>2.891566265060241E-2</v>
      </c>
      <c r="D772" s="5">
        <v>2E-3</v>
      </c>
      <c r="E772" s="5">
        <v>7.573415765069552E-3</v>
      </c>
      <c r="F772" s="2" t="s">
        <v>1532</v>
      </c>
      <c r="G772" s="2" t="s">
        <v>1533</v>
      </c>
      <c r="H772" s="2" t="s">
        <v>2684</v>
      </c>
      <c r="I772" s="2" t="s">
        <v>2687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5">
        <v>1</v>
      </c>
      <c r="Q772" s="2">
        <v>0</v>
      </c>
      <c r="R772" s="2">
        <v>0</v>
      </c>
      <c r="S772" s="5">
        <v>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</row>
    <row r="773" spans="1:28" ht="45" x14ac:dyDescent="0.25">
      <c r="A773" s="2">
        <v>772</v>
      </c>
      <c r="B773" s="5">
        <v>2.553191489361702E-2</v>
      </c>
      <c r="C773" s="5">
        <v>1.6867469879518069E-2</v>
      </c>
      <c r="D773" s="5">
        <v>2E-3</v>
      </c>
      <c r="E773" s="5">
        <v>8.1916537867078813E-3</v>
      </c>
      <c r="F773" s="2" t="s">
        <v>1534</v>
      </c>
      <c r="G773" s="2" t="s">
        <v>1535</v>
      </c>
      <c r="H773" s="2" t="s">
        <v>2684</v>
      </c>
      <c r="I773" s="2" t="s">
        <v>2682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5">
        <v>1</v>
      </c>
      <c r="Q773" s="2">
        <v>0</v>
      </c>
      <c r="R773" s="2">
        <v>0</v>
      </c>
      <c r="S773" s="2">
        <v>0</v>
      </c>
      <c r="T773" s="2">
        <v>0</v>
      </c>
      <c r="U773" s="5">
        <v>1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</row>
    <row r="774" spans="1:28" ht="90" x14ac:dyDescent="0.25">
      <c r="A774" s="2">
        <v>773</v>
      </c>
      <c r="B774" s="5">
        <v>0.37446808510638302</v>
      </c>
      <c r="C774" s="5">
        <v>0.2096385542168675</v>
      </c>
      <c r="D774" s="5">
        <v>1.2999999999999999E-2</v>
      </c>
      <c r="E774" s="5">
        <v>0.1066460587326121</v>
      </c>
      <c r="F774" s="2" t="s">
        <v>1536</v>
      </c>
      <c r="G774" s="2" t="s">
        <v>1537</v>
      </c>
      <c r="H774" s="2" t="s">
        <v>2694</v>
      </c>
      <c r="I774" s="2" t="s">
        <v>2682</v>
      </c>
      <c r="J774" s="5">
        <v>1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5">
        <v>1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</row>
    <row r="775" spans="1:28" ht="30" x14ac:dyDescent="0.25">
      <c r="A775" s="2">
        <v>774</v>
      </c>
      <c r="B775" s="5">
        <v>0.13723404255319149</v>
      </c>
      <c r="C775" s="5">
        <v>0.1481927710843374</v>
      </c>
      <c r="D775" s="5">
        <v>5.0000000000000001E-3</v>
      </c>
      <c r="E775" s="5">
        <v>5.4095826893353939E-2</v>
      </c>
      <c r="F775" s="2" t="s">
        <v>1538</v>
      </c>
      <c r="G775" s="2" t="s">
        <v>1539</v>
      </c>
      <c r="H775" s="2" t="s">
        <v>2694</v>
      </c>
      <c r="I775" s="2" t="s">
        <v>2682</v>
      </c>
      <c r="J775" s="5">
        <v>1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5">
        <v>1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</row>
    <row r="776" spans="1:28" x14ac:dyDescent="0.25">
      <c r="A776" s="2">
        <v>775</v>
      </c>
      <c r="B776" s="5">
        <v>0.37872340425531908</v>
      </c>
      <c r="C776" s="5">
        <v>0.24698795180722891</v>
      </c>
      <c r="D776" s="5">
        <v>4.0999999999999988E-2</v>
      </c>
      <c r="E776" s="5">
        <v>9.5208655332302938E-2</v>
      </c>
      <c r="F776" s="2" t="s">
        <v>1540</v>
      </c>
      <c r="G776" s="2" t="s">
        <v>1541</v>
      </c>
      <c r="H776" s="2" t="s">
        <v>2684</v>
      </c>
      <c r="I776" s="2" t="s">
        <v>2687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5">
        <v>1</v>
      </c>
      <c r="Q776" s="2">
        <v>0</v>
      </c>
      <c r="R776" s="2">
        <v>0</v>
      </c>
      <c r="S776" s="5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</row>
    <row r="777" spans="1:28" ht="45" x14ac:dyDescent="0.25">
      <c r="A777" s="2">
        <v>776</v>
      </c>
      <c r="B777" s="5">
        <v>0.35319148936170208</v>
      </c>
      <c r="C777" s="5">
        <v>0.28915662650602408</v>
      </c>
      <c r="D777" s="5">
        <v>0.03</v>
      </c>
      <c r="E777" s="5">
        <v>8.5007727975270481E-2</v>
      </c>
      <c r="F777" s="2" t="s">
        <v>1542</v>
      </c>
      <c r="G777" s="2" t="s">
        <v>1543</v>
      </c>
      <c r="H777" s="2" t="s">
        <v>2688</v>
      </c>
      <c r="I777" s="2" t="s">
        <v>2687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5">
        <v>1</v>
      </c>
      <c r="P777" s="2">
        <v>0</v>
      </c>
      <c r="Q777" s="2">
        <v>0</v>
      </c>
      <c r="R777" s="2">
        <v>0</v>
      </c>
      <c r="S777" s="5">
        <v>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 spans="1:28" ht="45" x14ac:dyDescent="0.25">
      <c r="A778" s="2">
        <v>777</v>
      </c>
      <c r="B778" s="5">
        <v>0.15</v>
      </c>
      <c r="C778" s="5">
        <v>0.1228915662650602</v>
      </c>
      <c r="D778" s="5">
        <v>1.2999999999999999E-2</v>
      </c>
      <c r="E778" s="5">
        <v>3.5857805255023183E-2</v>
      </c>
      <c r="F778" s="2" t="s">
        <v>1544</v>
      </c>
      <c r="G778" s="2" t="s">
        <v>1545</v>
      </c>
      <c r="H778" s="2" t="s">
        <v>2684</v>
      </c>
      <c r="I778" s="2" t="s">
        <v>2687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5">
        <v>1</v>
      </c>
      <c r="Q778" s="2">
        <v>0</v>
      </c>
      <c r="R778" s="2">
        <v>0</v>
      </c>
      <c r="S778" s="5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</row>
    <row r="779" spans="1:28" ht="30" x14ac:dyDescent="0.25">
      <c r="A779" s="2">
        <v>778</v>
      </c>
      <c r="B779" s="5">
        <v>0.13297872340425529</v>
      </c>
      <c r="C779" s="5">
        <v>0.1</v>
      </c>
      <c r="D779" s="5">
        <v>6.9999999999999993E-3</v>
      </c>
      <c r="E779" s="5">
        <v>3.4157650695517773E-2</v>
      </c>
      <c r="F779" s="2" t="s">
        <v>1546</v>
      </c>
      <c r="G779" s="2" t="s">
        <v>1547</v>
      </c>
      <c r="H779" s="2" t="s">
        <v>2684</v>
      </c>
      <c r="I779" s="2" t="s">
        <v>2690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5">
        <v>1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5">
        <v>1</v>
      </c>
    </row>
    <row r="780" spans="1:28" ht="45" x14ac:dyDescent="0.25">
      <c r="A780" s="2">
        <v>779</v>
      </c>
      <c r="B780" s="5">
        <v>3.5106382978723413E-2</v>
      </c>
      <c r="C780" s="5">
        <v>3.2530120481927723E-2</v>
      </c>
      <c r="D780" s="5">
        <v>2E-3</v>
      </c>
      <c r="E780" s="5">
        <v>1.2210200927357031E-2</v>
      </c>
      <c r="F780" s="2" t="s">
        <v>1548</v>
      </c>
      <c r="G780" s="2" t="s">
        <v>1549</v>
      </c>
      <c r="H780" s="2" t="s">
        <v>2688</v>
      </c>
      <c r="I780" s="2" t="s">
        <v>2687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5">
        <v>1</v>
      </c>
      <c r="P780" s="2">
        <v>0</v>
      </c>
      <c r="Q780" s="2">
        <v>0</v>
      </c>
      <c r="R780" s="2">
        <v>0</v>
      </c>
      <c r="S780" s="5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</row>
    <row r="781" spans="1:28" ht="45" x14ac:dyDescent="0.25">
      <c r="A781" s="2">
        <v>780</v>
      </c>
      <c r="B781" s="5">
        <v>0.36595744680851072</v>
      </c>
      <c r="C781" s="5">
        <v>0.1506024096385542</v>
      </c>
      <c r="D781" s="5">
        <v>2.1000000000000001E-2</v>
      </c>
      <c r="E781" s="5">
        <v>0.10726429675425039</v>
      </c>
      <c r="F781" s="2" t="s">
        <v>1550</v>
      </c>
      <c r="G781" s="2" t="s">
        <v>1551</v>
      </c>
      <c r="H781" s="2" t="s">
        <v>2688</v>
      </c>
      <c r="I781" s="2" t="s">
        <v>2687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5">
        <v>1</v>
      </c>
      <c r="P781" s="2">
        <v>0</v>
      </c>
      <c r="Q781" s="2">
        <v>0</v>
      </c>
      <c r="R781" s="2">
        <v>0</v>
      </c>
      <c r="S781" s="5">
        <v>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</row>
    <row r="782" spans="1:28" ht="30" x14ac:dyDescent="0.25">
      <c r="A782" s="2">
        <v>781</v>
      </c>
      <c r="B782" s="5">
        <v>0.3595744680851064</v>
      </c>
      <c r="C782" s="5">
        <v>0.26746987951807227</v>
      </c>
      <c r="D782" s="5">
        <v>1.4999999999999999E-2</v>
      </c>
      <c r="E782" s="5">
        <v>9.428129829984544E-2</v>
      </c>
      <c r="F782" s="2" t="s">
        <v>1552</v>
      </c>
      <c r="G782" s="2" t="s">
        <v>1202</v>
      </c>
      <c r="H782" s="2" t="s">
        <v>2688</v>
      </c>
      <c r="I782" s="2" t="s">
        <v>2687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5">
        <v>1</v>
      </c>
      <c r="P782" s="2">
        <v>0</v>
      </c>
      <c r="Q782" s="2">
        <v>0</v>
      </c>
      <c r="R782" s="2">
        <v>0</v>
      </c>
      <c r="S782" s="5">
        <v>1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</row>
    <row r="783" spans="1:28" ht="30" x14ac:dyDescent="0.25">
      <c r="A783" s="2">
        <v>782</v>
      </c>
      <c r="B783" s="5">
        <v>4.042553191489362E-2</v>
      </c>
      <c r="C783" s="5">
        <v>3.6144578313253017E-2</v>
      </c>
      <c r="D783" s="5">
        <v>3.0000000000000001E-3</v>
      </c>
      <c r="E783" s="5">
        <v>1.2210200927357031E-2</v>
      </c>
      <c r="F783" s="2" t="s">
        <v>1553</v>
      </c>
      <c r="G783" s="2" t="s">
        <v>1554</v>
      </c>
      <c r="H783" s="2" t="s">
        <v>2684</v>
      </c>
      <c r="I783" s="2" t="s">
        <v>2687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5">
        <v>1</v>
      </c>
      <c r="Q783" s="2">
        <v>0</v>
      </c>
      <c r="R783" s="2">
        <v>0</v>
      </c>
      <c r="S783" s="5">
        <v>1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</row>
    <row r="784" spans="1:28" ht="30" x14ac:dyDescent="0.25">
      <c r="A784" s="2">
        <v>783</v>
      </c>
      <c r="B784" s="5">
        <v>4.8936170212765959E-2</v>
      </c>
      <c r="C784" s="5">
        <v>3.6144578313253017E-2</v>
      </c>
      <c r="D784" s="5">
        <v>3.0000000000000001E-3</v>
      </c>
      <c r="E784" s="5">
        <v>1.2210200927357031E-2</v>
      </c>
      <c r="F784" s="2" t="s">
        <v>1555</v>
      </c>
      <c r="G784" s="2" t="s">
        <v>1556</v>
      </c>
      <c r="H784" s="2" t="s">
        <v>2684</v>
      </c>
      <c r="I784" s="2" t="s">
        <v>2687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5">
        <v>1</v>
      </c>
      <c r="Q784" s="2">
        <v>0</v>
      </c>
      <c r="R784" s="2">
        <v>0</v>
      </c>
      <c r="S784" s="5">
        <v>1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</row>
    <row r="785" spans="1:28" ht="30" x14ac:dyDescent="0.25">
      <c r="A785" s="2">
        <v>784</v>
      </c>
      <c r="B785" s="5">
        <v>4.8936170212765959E-2</v>
      </c>
      <c r="C785" s="5">
        <v>2.6506024096385541E-2</v>
      </c>
      <c r="D785" s="5">
        <v>1.4999999999999999E-2</v>
      </c>
      <c r="E785" s="5">
        <v>9.2735703245749607E-3</v>
      </c>
      <c r="F785" s="2" t="s">
        <v>1557</v>
      </c>
      <c r="G785" s="2" t="s">
        <v>351</v>
      </c>
      <c r="H785" s="2" t="s">
        <v>2681</v>
      </c>
      <c r="I785" s="2" t="s">
        <v>2682</v>
      </c>
      <c r="J785" s="2">
        <v>0</v>
      </c>
      <c r="K785" s="2">
        <v>0</v>
      </c>
      <c r="L785" s="2">
        <v>0</v>
      </c>
      <c r="M785" s="2">
        <v>0</v>
      </c>
      <c r="N785" s="5">
        <v>1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5">
        <v>1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</row>
    <row r="786" spans="1:28" ht="30" x14ac:dyDescent="0.25">
      <c r="A786" s="2">
        <v>785</v>
      </c>
      <c r="B786" s="5">
        <v>0.38936170212765958</v>
      </c>
      <c r="C786" s="5">
        <v>5.0602409638554217E-2</v>
      </c>
      <c r="D786" s="5">
        <v>4.2999999999999997E-2</v>
      </c>
      <c r="E786" s="5">
        <v>0.1197836166924266</v>
      </c>
      <c r="F786" s="2" t="s">
        <v>1558</v>
      </c>
      <c r="G786" s="2" t="s">
        <v>1559</v>
      </c>
      <c r="H786" s="2" t="s">
        <v>2694</v>
      </c>
      <c r="I786" s="2" t="s">
        <v>2691</v>
      </c>
      <c r="J786" s="5">
        <v>1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5">
        <v>1</v>
      </c>
      <c r="Z786" s="2">
        <v>0</v>
      </c>
      <c r="AA786" s="2">
        <v>0</v>
      </c>
      <c r="AB786" s="2">
        <v>0</v>
      </c>
    </row>
    <row r="787" spans="1:28" ht="30" x14ac:dyDescent="0.25">
      <c r="A787" s="2">
        <v>786</v>
      </c>
      <c r="B787" s="5">
        <v>0.39361702127659581</v>
      </c>
      <c r="C787" s="5">
        <v>9.6385542168674704E-2</v>
      </c>
      <c r="D787" s="5">
        <v>0.01</v>
      </c>
      <c r="E787" s="5">
        <v>0.12704791344667701</v>
      </c>
      <c r="F787" s="2" t="s">
        <v>1560</v>
      </c>
      <c r="G787" s="2" t="s">
        <v>1561</v>
      </c>
      <c r="H787" s="2" t="s">
        <v>2683</v>
      </c>
      <c r="I787" s="2" t="s">
        <v>2691</v>
      </c>
      <c r="J787" s="2">
        <v>0</v>
      </c>
      <c r="K787" s="2">
        <v>0</v>
      </c>
      <c r="L787" s="2">
        <v>0</v>
      </c>
      <c r="M787" s="5">
        <v>1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5">
        <v>1</v>
      </c>
      <c r="Z787" s="2">
        <v>0</v>
      </c>
      <c r="AA787" s="2">
        <v>0</v>
      </c>
      <c r="AB787" s="2">
        <v>0</v>
      </c>
    </row>
    <row r="788" spans="1:28" ht="45" x14ac:dyDescent="0.25">
      <c r="A788" s="2">
        <v>787</v>
      </c>
      <c r="B788" s="5">
        <v>0.33510638297872342</v>
      </c>
      <c r="C788" s="5">
        <v>2.5301204819277109E-2</v>
      </c>
      <c r="D788" s="5">
        <v>1.4E-2</v>
      </c>
      <c r="E788" s="5">
        <v>0.1136012364760433</v>
      </c>
      <c r="F788" s="2" t="s">
        <v>1562</v>
      </c>
      <c r="G788" s="2" t="s">
        <v>1563</v>
      </c>
      <c r="H788" s="2" t="s">
        <v>2688</v>
      </c>
      <c r="I788" s="2" t="s">
        <v>2682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5">
        <v>1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5">
        <v>1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</row>
    <row r="789" spans="1:28" ht="60" x14ac:dyDescent="0.25">
      <c r="A789" s="2">
        <v>788</v>
      </c>
      <c r="B789" s="5">
        <v>0.57659574468085106</v>
      </c>
      <c r="C789" s="5">
        <v>0.48554216867469879</v>
      </c>
      <c r="D789" s="5">
        <v>0.42399999999999999</v>
      </c>
      <c r="E789" s="5">
        <v>1.7774343122102011E-2</v>
      </c>
      <c r="F789" s="2" t="s">
        <v>1564</v>
      </c>
      <c r="G789" s="2" t="s">
        <v>1565</v>
      </c>
      <c r="H789" s="2" t="s">
        <v>2684</v>
      </c>
      <c r="I789" s="2" t="s">
        <v>2687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5">
        <v>1</v>
      </c>
      <c r="Q789" s="2">
        <v>0</v>
      </c>
      <c r="R789" s="2">
        <v>0</v>
      </c>
      <c r="S789" s="5">
        <v>1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</row>
    <row r="790" spans="1:28" ht="45" x14ac:dyDescent="0.25">
      <c r="A790" s="2">
        <v>789</v>
      </c>
      <c r="B790" s="5">
        <v>2.2340425531914891E-2</v>
      </c>
      <c r="C790" s="5">
        <v>2.0481927710843371E-2</v>
      </c>
      <c r="D790" s="5">
        <v>4.0000000000000001E-3</v>
      </c>
      <c r="E790" s="5">
        <v>5.8732612055641424E-3</v>
      </c>
      <c r="F790" s="2" t="s">
        <v>1566</v>
      </c>
      <c r="G790" s="2" t="s">
        <v>1567</v>
      </c>
      <c r="H790" s="2" t="s">
        <v>2684</v>
      </c>
      <c r="I790" s="2" t="s">
        <v>2682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5">
        <v>1</v>
      </c>
      <c r="Q790" s="2">
        <v>0</v>
      </c>
      <c r="R790" s="2">
        <v>0</v>
      </c>
      <c r="S790" s="2">
        <v>0</v>
      </c>
      <c r="T790" s="2">
        <v>0</v>
      </c>
      <c r="U790" s="5">
        <v>1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 spans="1:28" ht="105" x14ac:dyDescent="0.25">
      <c r="A791" s="2">
        <v>790</v>
      </c>
      <c r="B791" s="5">
        <v>4.7872340425531908E-2</v>
      </c>
      <c r="C791" s="5">
        <v>2.6506024096385541E-2</v>
      </c>
      <c r="D791" s="5">
        <v>3.0000000000000001E-3</v>
      </c>
      <c r="E791" s="5">
        <v>1.591962905718702E-2</v>
      </c>
      <c r="F791" s="2" t="s">
        <v>1568</v>
      </c>
      <c r="G791" s="2" t="s">
        <v>1569</v>
      </c>
      <c r="H791" s="2" t="s">
        <v>2684</v>
      </c>
      <c r="I791" s="2" t="s">
        <v>2682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5">
        <v>1</v>
      </c>
      <c r="Q791" s="2">
        <v>0</v>
      </c>
      <c r="R791" s="2">
        <v>0</v>
      </c>
      <c r="S791" s="2">
        <v>0</v>
      </c>
      <c r="T791" s="2">
        <v>0</v>
      </c>
      <c r="U791" s="5">
        <v>1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</row>
    <row r="792" spans="1:28" ht="45" x14ac:dyDescent="0.25">
      <c r="A792" s="2">
        <v>791</v>
      </c>
      <c r="B792" s="5">
        <v>4.4680851063829789E-2</v>
      </c>
      <c r="C792" s="5">
        <v>4.5783132530120479E-2</v>
      </c>
      <c r="D792" s="5">
        <v>6.0000000000000001E-3</v>
      </c>
      <c r="E792" s="5">
        <v>1.205564142194745E-2</v>
      </c>
      <c r="F792" s="2" t="s">
        <v>1570</v>
      </c>
      <c r="G792" s="2" t="s">
        <v>1571</v>
      </c>
      <c r="H792" s="2" t="s">
        <v>2684</v>
      </c>
      <c r="I792" s="2" t="s">
        <v>2682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5">
        <v>1</v>
      </c>
      <c r="Q792" s="2">
        <v>0</v>
      </c>
      <c r="R792" s="2">
        <v>0</v>
      </c>
      <c r="S792" s="2">
        <v>0</v>
      </c>
      <c r="T792" s="2">
        <v>0</v>
      </c>
      <c r="U792" s="5">
        <v>1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</row>
    <row r="793" spans="1:28" ht="30" x14ac:dyDescent="0.25">
      <c r="A793" s="2">
        <v>792</v>
      </c>
      <c r="B793" s="5">
        <v>0.1202127659574468</v>
      </c>
      <c r="C793" s="5">
        <v>0.21807228915662649</v>
      </c>
      <c r="D793" s="5">
        <v>4.0999999999999988E-2</v>
      </c>
      <c r="E793" s="5">
        <v>1.3910355486862439E-3</v>
      </c>
      <c r="F793" s="2" t="s">
        <v>1572</v>
      </c>
      <c r="G793" s="2" t="s">
        <v>466</v>
      </c>
      <c r="H793" s="2" t="s">
        <v>2688</v>
      </c>
      <c r="I793" s="2" t="s">
        <v>2689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5">
        <v>1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5">
        <v>1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</row>
    <row r="794" spans="1:28" ht="30" x14ac:dyDescent="0.25">
      <c r="A794" s="2">
        <v>793</v>
      </c>
      <c r="B794" s="5">
        <v>0.46808510638297868</v>
      </c>
      <c r="C794" s="5">
        <v>4.5783132530120479E-2</v>
      </c>
      <c r="D794" s="5">
        <v>0.185</v>
      </c>
      <c r="E794" s="5">
        <v>9.969088098918083E-2</v>
      </c>
      <c r="F794" s="2" t="s">
        <v>1573</v>
      </c>
      <c r="G794" s="2" t="s">
        <v>1574</v>
      </c>
      <c r="H794" s="2" t="s">
        <v>2681</v>
      </c>
      <c r="I794" s="2" t="s">
        <v>2691</v>
      </c>
      <c r="J794" s="2">
        <v>0</v>
      </c>
      <c r="K794" s="2">
        <v>0</v>
      </c>
      <c r="L794" s="2">
        <v>0</v>
      </c>
      <c r="M794" s="2">
        <v>0</v>
      </c>
      <c r="N794" s="5">
        <v>1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5">
        <v>1</v>
      </c>
      <c r="Z794" s="2">
        <v>0</v>
      </c>
      <c r="AA794" s="2">
        <v>0</v>
      </c>
      <c r="AB794" s="2">
        <v>0</v>
      </c>
    </row>
    <row r="795" spans="1:28" ht="90" x14ac:dyDescent="0.25">
      <c r="A795" s="2">
        <v>794</v>
      </c>
      <c r="B795" s="5">
        <v>0.1986170212765957</v>
      </c>
      <c r="C795" s="5">
        <v>1.9277108433734941E-2</v>
      </c>
      <c r="D795" s="5">
        <v>1.6E-2</v>
      </c>
      <c r="E795" s="5">
        <v>6.1205564142194753E-2</v>
      </c>
      <c r="F795" s="2" t="s">
        <v>1575</v>
      </c>
      <c r="G795" s="2" t="s">
        <v>1576</v>
      </c>
      <c r="H795" s="2" t="s">
        <v>2681</v>
      </c>
      <c r="I795" s="2" t="s">
        <v>2691</v>
      </c>
      <c r="J795" s="2">
        <v>0</v>
      </c>
      <c r="K795" s="2">
        <v>0</v>
      </c>
      <c r="L795" s="2">
        <v>0</v>
      </c>
      <c r="M795" s="2">
        <v>0</v>
      </c>
      <c r="N795" s="5">
        <v>1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5">
        <v>1</v>
      </c>
      <c r="Z795" s="2">
        <v>0</v>
      </c>
      <c r="AA795" s="2">
        <v>0</v>
      </c>
      <c r="AB795" s="2">
        <v>0</v>
      </c>
    </row>
    <row r="796" spans="1:28" ht="45" x14ac:dyDescent="0.25">
      <c r="A796" s="2">
        <v>795</v>
      </c>
      <c r="B796" s="5">
        <v>0.3595744680851064</v>
      </c>
      <c r="C796" s="5">
        <v>1.8072289156626509E-2</v>
      </c>
      <c r="D796" s="5">
        <v>1.2E-2</v>
      </c>
      <c r="E796" s="5">
        <v>0.1241112828438949</v>
      </c>
      <c r="F796" s="2" t="s">
        <v>1577</v>
      </c>
      <c r="G796" s="2" t="s">
        <v>1578</v>
      </c>
      <c r="H796" s="2" t="s">
        <v>2681</v>
      </c>
      <c r="I796" s="2" t="s">
        <v>2691</v>
      </c>
      <c r="J796" s="2">
        <v>0</v>
      </c>
      <c r="K796" s="2">
        <v>0</v>
      </c>
      <c r="L796" s="2">
        <v>0</v>
      </c>
      <c r="M796" s="2">
        <v>0</v>
      </c>
      <c r="N796" s="5">
        <v>1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5">
        <v>1</v>
      </c>
      <c r="Z796" s="2">
        <v>0</v>
      </c>
      <c r="AA796" s="2">
        <v>0</v>
      </c>
      <c r="AB796" s="2">
        <v>0</v>
      </c>
    </row>
    <row r="797" spans="1:28" ht="45" x14ac:dyDescent="0.25">
      <c r="A797" s="2">
        <v>796</v>
      </c>
      <c r="B797" s="5">
        <v>0.25531914893617019</v>
      </c>
      <c r="C797" s="5">
        <v>1.204819277108434E-2</v>
      </c>
      <c r="D797" s="5">
        <v>0.04</v>
      </c>
      <c r="E797" s="5">
        <v>8.3462132921174645E-2</v>
      </c>
      <c r="F797" s="2" t="s">
        <v>1579</v>
      </c>
      <c r="G797" s="2" t="s">
        <v>1580</v>
      </c>
      <c r="H797" s="2" t="s">
        <v>2681</v>
      </c>
      <c r="I797" s="2" t="s">
        <v>2691</v>
      </c>
      <c r="J797" s="2">
        <v>0</v>
      </c>
      <c r="K797" s="2">
        <v>0</v>
      </c>
      <c r="L797" s="2">
        <v>0</v>
      </c>
      <c r="M797" s="2">
        <v>0</v>
      </c>
      <c r="N797" s="5">
        <v>1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5">
        <v>1</v>
      </c>
      <c r="Z797" s="2">
        <v>0</v>
      </c>
      <c r="AA797" s="2">
        <v>0</v>
      </c>
      <c r="AB797" s="2">
        <v>0</v>
      </c>
    </row>
    <row r="798" spans="1:28" ht="30" x14ac:dyDescent="0.25">
      <c r="A798" s="2">
        <v>797</v>
      </c>
      <c r="B798" s="5">
        <v>0.4521276595744681</v>
      </c>
      <c r="C798" s="5">
        <v>1.9277108433734941E-2</v>
      </c>
      <c r="D798" s="5">
        <v>8.8000000000000009E-2</v>
      </c>
      <c r="E798" s="5">
        <v>0.13075734157650701</v>
      </c>
      <c r="F798" s="2" t="s">
        <v>1581</v>
      </c>
      <c r="G798" s="2" t="s">
        <v>1582</v>
      </c>
      <c r="H798" s="2" t="s">
        <v>2688</v>
      </c>
      <c r="I798" s="2" t="s">
        <v>2692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5">
        <v>1</v>
      </c>
      <c r="P798" s="2">
        <v>0</v>
      </c>
      <c r="Q798" s="2">
        <v>0</v>
      </c>
      <c r="R798" s="5">
        <v>1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</row>
    <row r="799" spans="1:28" ht="30" x14ac:dyDescent="0.25">
      <c r="A799" s="2">
        <v>798</v>
      </c>
      <c r="B799" s="5">
        <v>0.62872340425531914</v>
      </c>
      <c r="C799" s="5">
        <v>6.746987951807229E-2</v>
      </c>
      <c r="D799" s="5">
        <v>0.42099999999999999</v>
      </c>
      <c r="E799" s="5">
        <v>7.3415765069551775E-2</v>
      </c>
      <c r="F799" s="2" t="s">
        <v>1583</v>
      </c>
      <c r="G799" s="2" t="s">
        <v>1584</v>
      </c>
      <c r="H799" s="2" t="s">
        <v>2688</v>
      </c>
      <c r="I799" s="2" t="s">
        <v>2686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5">
        <v>1</v>
      </c>
      <c r="P799" s="2">
        <v>0</v>
      </c>
      <c r="Q799" s="5">
        <v>1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</row>
    <row r="800" spans="1:28" ht="45" x14ac:dyDescent="0.25">
      <c r="A800" s="2">
        <v>799</v>
      </c>
      <c r="B800" s="5">
        <v>0.38936170212765958</v>
      </c>
      <c r="C800" s="5">
        <v>5.0602409638554217E-2</v>
      </c>
      <c r="D800" s="5">
        <v>4.2999999999999997E-2</v>
      </c>
      <c r="E800" s="5">
        <v>1.2210200927357031E-2</v>
      </c>
      <c r="F800" s="2" t="s">
        <v>1585</v>
      </c>
      <c r="G800" s="2" t="s">
        <v>1586</v>
      </c>
      <c r="H800" s="2" t="s">
        <v>2694</v>
      </c>
      <c r="I800" s="2" t="s">
        <v>2691</v>
      </c>
      <c r="J800" s="5">
        <v>1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5">
        <v>1</v>
      </c>
      <c r="Z800" s="2">
        <v>0</v>
      </c>
      <c r="AA800" s="2">
        <v>0</v>
      </c>
      <c r="AB800" s="2">
        <v>0</v>
      </c>
    </row>
    <row r="801" spans="1:28" ht="60" x14ac:dyDescent="0.25">
      <c r="A801" s="2">
        <v>800</v>
      </c>
      <c r="B801" s="5">
        <v>0.30957446808510641</v>
      </c>
      <c r="C801" s="5">
        <v>4.3373493975903621E-2</v>
      </c>
      <c r="D801" s="5">
        <v>0.111</v>
      </c>
      <c r="E801" s="5">
        <v>6.8160741885625972E-2</v>
      </c>
      <c r="F801" s="2" t="s">
        <v>1587</v>
      </c>
      <c r="G801" s="2" t="s">
        <v>1588</v>
      </c>
      <c r="H801" s="2" t="s">
        <v>2681</v>
      </c>
      <c r="I801" s="2" t="s">
        <v>2691</v>
      </c>
      <c r="J801" s="2">
        <v>0</v>
      </c>
      <c r="K801" s="2">
        <v>0</v>
      </c>
      <c r="L801" s="2">
        <v>0</v>
      </c>
      <c r="M801" s="2">
        <v>0</v>
      </c>
      <c r="N801" s="5">
        <v>1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5">
        <v>1</v>
      </c>
      <c r="Z801" s="2">
        <v>0</v>
      </c>
      <c r="AA801" s="2">
        <v>0</v>
      </c>
      <c r="AB801" s="2">
        <v>0</v>
      </c>
    </row>
    <row r="802" spans="1:28" ht="60" x14ac:dyDescent="0.25">
      <c r="A802" s="2">
        <v>801</v>
      </c>
      <c r="B802" s="5">
        <v>0.19361702127659569</v>
      </c>
      <c r="C802" s="5">
        <v>1.204819277108434E-2</v>
      </c>
      <c r="D802" s="5">
        <v>0.01</v>
      </c>
      <c r="E802" s="5">
        <v>6.2442040185471413E-2</v>
      </c>
      <c r="F802" s="2" t="s">
        <v>1589</v>
      </c>
      <c r="G802" s="2" t="s">
        <v>1590</v>
      </c>
      <c r="H802" s="2" t="s">
        <v>2681</v>
      </c>
      <c r="I802" s="2" t="s">
        <v>2691</v>
      </c>
      <c r="J802" s="2">
        <v>0</v>
      </c>
      <c r="K802" s="2">
        <v>0</v>
      </c>
      <c r="L802" s="2">
        <v>0</v>
      </c>
      <c r="M802" s="2">
        <v>0</v>
      </c>
      <c r="N802" s="5">
        <v>1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5">
        <v>1</v>
      </c>
      <c r="Z802" s="2">
        <v>0</v>
      </c>
      <c r="AA802" s="2">
        <v>0</v>
      </c>
      <c r="AB802" s="2">
        <v>0</v>
      </c>
    </row>
    <row r="803" spans="1:28" ht="45" x14ac:dyDescent="0.25">
      <c r="A803" s="2">
        <v>802</v>
      </c>
      <c r="B803" s="5">
        <v>0.13478723404255319</v>
      </c>
      <c r="C803" s="5">
        <v>8.4337349397590362E-3</v>
      </c>
      <c r="D803" s="5">
        <v>6.9999999999999993E-3</v>
      </c>
      <c r="E803" s="5">
        <v>8.8562596599690874E-2</v>
      </c>
      <c r="F803" s="2" t="s">
        <v>1591</v>
      </c>
      <c r="G803" s="2" t="s">
        <v>1592</v>
      </c>
      <c r="H803" s="2" t="s">
        <v>2681</v>
      </c>
      <c r="I803" s="2" t="s">
        <v>2691</v>
      </c>
      <c r="J803" s="2">
        <v>0</v>
      </c>
      <c r="K803" s="2">
        <v>0</v>
      </c>
      <c r="L803" s="2">
        <v>0</v>
      </c>
      <c r="M803" s="2">
        <v>0</v>
      </c>
      <c r="N803" s="5">
        <v>1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5">
        <v>1</v>
      </c>
      <c r="Z803" s="2">
        <v>0</v>
      </c>
      <c r="AA803" s="2">
        <v>0</v>
      </c>
      <c r="AB803" s="2">
        <v>0</v>
      </c>
    </row>
    <row r="804" spans="1:28" ht="45" x14ac:dyDescent="0.25">
      <c r="A804" s="2">
        <v>803</v>
      </c>
      <c r="B804" s="5">
        <v>0.31489361702127661</v>
      </c>
      <c r="C804" s="5">
        <v>1.6867469879518069E-2</v>
      </c>
      <c r="D804" s="5">
        <v>1.4E-2</v>
      </c>
      <c r="E804" s="5">
        <v>0.1026275115919629</v>
      </c>
      <c r="F804" s="2" t="s">
        <v>1593</v>
      </c>
      <c r="G804" s="2" t="s">
        <v>1594</v>
      </c>
      <c r="H804" s="2" t="s">
        <v>2681</v>
      </c>
      <c r="I804" s="2" t="s">
        <v>2691</v>
      </c>
      <c r="J804" s="2">
        <v>0</v>
      </c>
      <c r="K804" s="2">
        <v>0</v>
      </c>
      <c r="L804" s="2">
        <v>0</v>
      </c>
      <c r="M804" s="2">
        <v>0</v>
      </c>
      <c r="N804" s="5">
        <v>1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5">
        <v>1</v>
      </c>
      <c r="Z804" s="2">
        <v>0</v>
      </c>
      <c r="AA804" s="2">
        <v>0</v>
      </c>
      <c r="AB804" s="2">
        <v>0</v>
      </c>
    </row>
    <row r="805" spans="1:28" ht="30" x14ac:dyDescent="0.25">
      <c r="A805" s="2">
        <v>804</v>
      </c>
      <c r="B805" s="5">
        <v>0.32340425531914901</v>
      </c>
      <c r="C805" s="5">
        <v>6.3855421686746988E-2</v>
      </c>
      <c r="D805" s="5">
        <v>7.0000000000000007E-2</v>
      </c>
      <c r="E805" s="5">
        <v>8.4853168469860893E-2</v>
      </c>
      <c r="F805" s="2" t="s">
        <v>1595</v>
      </c>
      <c r="G805" s="2" t="s">
        <v>1596</v>
      </c>
      <c r="H805" s="2" t="s">
        <v>2683</v>
      </c>
      <c r="I805" s="2" t="s">
        <v>2691</v>
      </c>
      <c r="J805" s="2">
        <v>0</v>
      </c>
      <c r="K805" s="2">
        <v>0</v>
      </c>
      <c r="L805" s="2">
        <v>0</v>
      </c>
      <c r="M805" s="5">
        <v>1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5">
        <v>1</v>
      </c>
      <c r="Z805" s="2">
        <v>0</v>
      </c>
      <c r="AA805" s="2">
        <v>0</v>
      </c>
      <c r="AB805" s="2">
        <v>0</v>
      </c>
    </row>
    <row r="806" spans="1:28" ht="45" x14ac:dyDescent="0.25">
      <c r="A806" s="2">
        <v>805</v>
      </c>
      <c r="B806" s="5">
        <v>0.23085106382978721</v>
      </c>
      <c r="C806" s="5">
        <v>1.445783132530121E-2</v>
      </c>
      <c r="D806" s="5">
        <v>5.0000000000000001E-3</v>
      </c>
      <c r="E806" s="5">
        <v>8.2225656877897998E-2</v>
      </c>
      <c r="F806" s="2" t="s">
        <v>1597</v>
      </c>
      <c r="G806" s="2" t="s">
        <v>1598</v>
      </c>
      <c r="H806" s="2" t="s">
        <v>2683</v>
      </c>
      <c r="I806" s="2" t="s">
        <v>2691</v>
      </c>
      <c r="J806" s="2">
        <v>0</v>
      </c>
      <c r="K806" s="2">
        <v>0</v>
      </c>
      <c r="L806" s="2">
        <v>0</v>
      </c>
      <c r="M806" s="5">
        <v>1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5">
        <v>1</v>
      </c>
      <c r="Z806" s="2">
        <v>0</v>
      </c>
      <c r="AA806" s="2">
        <v>0</v>
      </c>
      <c r="AB806" s="2">
        <v>0</v>
      </c>
    </row>
    <row r="807" spans="1:28" ht="30" x14ac:dyDescent="0.25">
      <c r="A807" s="2">
        <v>806</v>
      </c>
      <c r="B807" s="5">
        <v>0.41840425531914888</v>
      </c>
      <c r="C807" s="5">
        <v>3.2530120481927723E-2</v>
      </c>
      <c r="D807" s="5">
        <v>2.7E-2</v>
      </c>
      <c r="E807" s="5">
        <v>0.12256568778979909</v>
      </c>
      <c r="F807" s="2" t="s">
        <v>1599</v>
      </c>
      <c r="G807" s="2" t="s">
        <v>1600</v>
      </c>
      <c r="H807" s="2" t="s">
        <v>2681</v>
      </c>
      <c r="I807" s="2" t="s">
        <v>2691</v>
      </c>
      <c r="J807" s="2">
        <v>0</v>
      </c>
      <c r="K807" s="2">
        <v>0</v>
      </c>
      <c r="L807" s="2">
        <v>0</v>
      </c>
      <c r="M807" s="2">
        <v>0</v>
      </c>
      <c r="N807" s="5">
        <v>1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5">
        <v>1</v>
      </c>
      <c r="Z807" s="2">
        <v>0</v>
      </c>
      <c r="AA807" s="2">
        <v>0</v>
      </c>
      <c r="AB807" s="2">
        <v>0</v>
      </c>
    </row>
    <row r="808" spans="1:28" ht="45" x14ac:dyDescent="0.25">
      <c r="A808" s="2">
        <v>807</v>
      </c>
      <c r="B808" s="5">
        <v>0.4042553191489362</v>
      </c>
      <c r="C808" s="5">
        <v>1.204819277108434E-2</v>
      </c>
      <c r="D808" s="5">
        <v>0.01</v>
      </c>
      <c r="E808" s="5">
        <v>0.14219474497681611</v>
      </c>
      <c r="F808" s="2" t="s">
        <v>1601</v>
      </c>
      <c r="G808" s="2" t="s">
        <v>1602</v>
      </c>
      <c r="H808" s="2" t="s">
        <v>2681</v>
      </c>
      <c r="I808" s="2" t="s">
        <v>2691</v>
      </c>
      <c r="J808" s="2">
        <v>0</v>
      </c>
      <c r="K808" s="2">
        <v>0</v>
      </c>
      <c r="L808" s="2">
        <v>0</v>
      </c>
      <c r="M808" s="2">
        <v>0</v>
      </c>
      <c r="N808" s="5">
        <v>1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5">
        <v>1</v>
      </c>
      <c r="Z808" s="2">
        <v>0</v>
      </c>
      <c r="AA808" s="2">
        <v>0</v>
      </c>
      <c r="AB808" s="2">
        <v>0</v>
      </c>
    </row>
    <row r="809" spans="1:28" ht="30" x14ac:dyDescent="0.25">
      <c r="A809" s="2">
        <v>808</v>
      </c>
      <c r="B809" s="5">
        <v>0.23510638297872341</v>
      </c>
      <c r="C809" s="5">
        <v>9.036144578313253E-2</v>
      </c>
      <c r="D809" s="5">
        <v>0.10199999999999999</v>
      </c>
      <c r="E809" s="5">
        <v>3.833075734157651E-2</v>
      </c>
      <c r="F809" s="2" t="s">
        <v>1603</v>
      </c>
      <c r="G809" s="2" t="s">
        <v>1604</v>
      </c>
      <c r="H809" s="2" t="s">
        <v>2681</v>
      </c>
      <c r="I809" s="2" t="s">
        <v>2691</v>
      </c>
      <c r="J809" s="2">
        <v>0</v>
      </c>
      <c r="K809" s="2">
        <v>0</v>
      </c>
      <c r="L809" s="2">
        <v>0</v>
      </c>
      <c r="M809" s="2">
        <v>0</v>
      </c>
      <c r="N809" s="5">
        <v>1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5">
        <v>1</v>
      </c>
      <c r="Z809" s="2">
        <v>0</v>
      </c>
      <c r="AA809" s="2">
        <v>0</v>
      </c>
      <c r="AB809" s="2">
        <v>0</v>
      </c>
    </row>
    <row r="810" spans="1:28" ht="75" x14ac:dyDescent="0.25">
      <c r="A810" s="2">
        <v>809</v>
      </c>
      <c r="B810" s="5">
        <v>0.19148936170212769</v>
      </c>
      <c r="C810" s="5">
        <v>6.0240963855421693E-2</v>
      </c>
      <c r="D810" s="5">
        <v>0.05</v>
      </c>
      <c r="E810" s="5">
        <v>4.945904173106646E-2</v>
      </c>
      <c r="F810" s="2" t="s">
        <v>1605</v>
      </c>
      <c r="G810" s="2" t="s">
        <v>1606</v>
      </c>
      <c r="H810" s="2" t="s">
        <v>2681</v>
      </c>
      <c r="I810" s="2" t="s">
        <v>2691</v>
      </c>
      <c r="J810" s="2">
        <v>0</v>
      </c>
      <c r="K810" s="2">
        <v>0</v>
      </c>
      <c r="L810" s="2">
        <v>0</v>
      </c>
      <c r="M810" s="2">
        <v>0</v>
      </c>
      <c r="N810" s="5">
        <v>1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5">
        <v>1</v>
      </c>
      <c r="Z810" s="2">
        <v>0</v>
      </c>
      <c r="AA810" s="2">
        <v>0</v>
      </c>
      <c r="AB810" s="2">
        <v>0</v>
      </c>
    </row>
    <row r="811" spans="1:28" ht="45" x14ac:dyDescent="0.25">
      <c r="A811" s="2">
        <v>810</v>
      </c>
      <c r="B811" s="5">
        <v>0.5446808510638298</v>
      </c>
      <c r="C811" s="5">
        <v>0.31325301204819278</v>
      </c>
      <c r="D811" s="5">
        <v>0.26</v>
      </c>
      <c r="E811" s="5">
        <v>9.3353941267387941E-2</v>
      </c>
      <c r="F811" s="2" t="s">
        <v>1607</v>
      </c>
      <c r="G811" s="2" t="s">
        <v>1608</v>
      </c>
      <c r="H811" s="2" t="s">
        <v>2681</v>
      </c>
      <c r="I811" s="2" t="s">
        <v>2691</v>
      </c>
      <c r="J811" s="2">
        <v>0</v>
      </c>
      <c r="K811" s="2">
        <v>0</v>
      </c>
      <c r="L811" s="2">
        <v>0</v>
      </c>
      <c r="M811" s="2">
        <v>0</v>
      </c>
      <c r="N811" s="5">
        <v>1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5">
        <v>1</v>
      </c>
      <c r="Z811" s="2">
        <v>0</v>
      </c>
      <c r="AA811" s="2">
        <v>0</v>
      </c>
      <c r="AB811" s="2">
        <v>0</v>
      </c>
    </row>
    <row r="812" spans="1:28" ht="45" x14ac:dyDescent="0.25">
      <c r="A812" s="2">
        <v>811</v>
      </c>
      <c r="B812" s="5">
        <v>0.26276595744680847</v>
      </c>
      <c r="C812" s="5">
        <v>3.4939759036144581E-2</v>
      </c>
      <c r="D812" s="5">
        <v>4.2000000000000003E-2</v>
      </c>
      <c r="E812" s="5">
        <v>7.6506955177743433E-2</v>
      </c>
      <c r="F812" s="2" t="s">
        <v>1609</v>
      </c>
      <c r="G812" s="2" t="s">
        <v>1610</v>
      </c>
      <c r="H812" s="2" t="s">
        <v>2681</v>
      </c>
      <c r="I812" s="2" t="s">
        <v>2691</v>
      </c>
      <c r="J812" s="2">
        <v>0</v>
      </c>
      <c r="K812" s="2">
        <v>0</v>
      </c>
      <c r="L812" s="2">
        <v>0</v>
      </c>
      <c r="M812" s="2">
        <v>0</v>
      </c>
      <c r="N812" s="5">
        <v>1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5">
        <v>1</v>
      </c>
      <c r="Z812" s="2">
        <v>0</v>
      </c>
      <c r="AA812" s="2">
        <v>0</v>
      </c>
      <c r="AB812" s="2">
        <v>0</v>
      </c>
    </row>
    <row r="813" spans="1:28" ht="30" x14ac:dyDescent="0.25">
      <c r="A813" s="2">
        <v>812</v>
      </c>
      <c r="B813" s="5">
        <v>0.1180851063829787</v>
      </c>
      <c r="C813" s="5">
        <v>5.4216867469879519E-2</v>
      </c>
      <c r="D813" s="5">
        <v>1.0999999999999999E-2</v>
      </c>
      <c r="E813" s="5">
        <v>3.1993817619783607E-2</v>
      </c>
      <c r="F813" s="2" t="s">
        <v>1611</v>
      </c>
      <c r="G813" s="2" t="s">
        <v>1612</v>
      </c>
      <c r="H813" s="2" t="s">
        <v>2683</v>
      </c>
      <c r="I813" s="2" t="s">
        <v>2687</v>
      </c>
      <c r="J813" s="2">
        <v>0</v>
      </c>
      <c r="K813" s="2">
        <v>0</v>
      </c>
      <c r="L813" s="2">
        <v>0</v>
      </c>
      <c r="M813" s="5">
        <v>1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5">
        <v>1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</row>
    <row r="814" spans="1:28" ht="45" x14ac:dyDescent="0.25">
      <c r="A814" s="2">
        <v>813</v>
      </c>
      <c r="B814" s="5">
        <v>2.3404255319148939E-2</v>
      </c>
      <c r="C814" s="5">
        <v>4.8192771084337354E-3</v>
      </c>
      <c r="D814" s="5">
        <v>2E-3</v>
      </c>
      <c r="E814" s="5">
        <v>7.2642967542503869E-3</v>
      </c>
      <c r="F814" s="2" t="s">
        <v>1613</v>
      </c>
      <c r="G814" s="2" t="s">
        <v>1614</v>
      </c>
      <c r="H814" s="2" t="s">
        <v>2688</v>
      </c>
      <c r="I814" s="2" t="s">
        <v>2682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5">
        <v>1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5">
        <v>1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</row>
    <row r="815" spans="1:28" ht="45" x14ac:dyDescent="0.25">
      <c r="A815" s="2">
        <v>814</v>
      </c>
      <c r="B815" s="5">
        <v>6.702127659574468E-2</v>
      </c>
      <c r="C815" s="5">
        <v>2.4096385542168679E-2</v>
      </c>
      <c r="D815" s="5">
        <v>2.7E-2</v>
      </c>
      <c r="E815" s="5">
        <v>1.4064914992272019E-2</v>
      </c>
      <c r="F815" s="2" t="s">
        <v>1615</v>
      </c>
      <c r="G815" s="2" t="s">
        <v>1616</v>
      </c>
      <c r="H815" s="2" t="s">
        <v>2688</v>
      </c>
      <c r="I815" s="2" t="s">
        <v>2692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5">
        <v>1</v>
      </c>
      <c r="P815" s="2">
        <v>0</v>
      </c>
      <c r="Q815" s="2">
        <v>0</v>
      </c>
      <c r="R815" s="5">
        <v>1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</row>
    <row r="816" spans="1:28" ht="75" x14ac:dyDescent="0.25">
      <c r="A816" s="2">
        <v>815</v>
      </c>
      <c r="B816" s="5">
        <v>8.8297872340425534E-2</v>
      </c>
      <c r="C816" s="5">
        <v>0.2301204819277109</v>
      </c>
      <c r="D816" s="5">
        <v>2E-3</v>
      </c>
      <c r="E816" s="2">
        <v>0</v>
      </c>
      <c r="F816" s="2" t="s">
        <v>1617</v>
      </c>
      <c r="G816" s="2" t="s">
        <v>1618</v>
      </c>
      <c r="H816" s="2" t="s">
        <v>2681</v>
      </c>
      <c r="I816" s="2" t="s">
        <v>2682</v>
      </c>
      <c r="J816" s="2">
        <v>0</v>
      </c>
      <c r="K816" s="2">
        <v>0</v>
      </c>
      <c r="L816" s="2">
        <v>0</v>
      </c>
      <c r="M816" s="2">
        <v>0</v>
      </c>
      <c r="N816" s="5">
        <v>1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5">
        <v>1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 spans="1:28" ht="45" x14ac:dyDescent="0.25">
      <c r="A817" s="2">
        <v>816</v>
      </c>
      <c r="B817" s="5">
        <v>0.5478723404255319</v>
      </c>
      <c r="C817" s="5">
        <v>0.36867469879518078</v>
      </c>
      <c r="D817" s="5">
        <v>0.42099999999999999</v>
      </c>
      <c r="E817" s="5">
        <v>2.1329211746522411E-2</v>
      </c>
      <c r="F817" s="2" t="s">
        <v>1619</v>
      </c>
      <c r="G817" s="2" t="s">
        <v>1620</v>
      </c>
      <c r="H817" s="2" t="s">
        <v>2683</v>
      </c>
      <c r="I817" s="2" t="s">
        <v>2687</v>
      </c>
      <c r="J817" s="2">
        <v>0</v>
      </c>
      <c r="K817" s="2">
        <v>0</v>
      </c>
      <c r="L817" s="2">
        <v>0</v>
      </c>
      <c r="M817" s="5">
        <v>1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5">
        <v>1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</row>
    <row r="818" spans="1:28" ht="45" x14ac:dyDescent="0.25">
      <c r="A818" s="2">
        <v>817</v>
      </c>
      <c r="B818" s="5">
        <v>0.25744680851063828</v>
      </c>
      <c r="C818" s="5">
        <v>0.2289156626506024</v>
      </c>
      <c r="D818" s="5">
        <v>0.17</v>
      </c>
      <c r="E818" s="5">
        <v>4.6367851622874804E-3</v>
      </c>
      <c r="F818" s="2" t="s">
        <v>1621</v>
      </c>
      <c r="G818" s="2" t="s">
        <v>1622</v>
      </c>
      <c r="H818" s="2" t="s">
        <v>2683</v>
      </c>
      <c r="I818" s="2" t="s">
        <v>2682</v>
      </c>
      <c r="J818" s="2">
        <v>0</v>
      </c>
      <c r="K818" s="2">
        <v>0</v>
      </c>
      <c r="L818" s="2">
        <v>0</v>
      </c>
      <c r="M818" s="5">
        <v>1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5">
        <v>1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 spans="1:28" ht="45" x14ac:dyDescent="0.25">
      <c r="A819" s="2">
        <v>818</v>
      </c>
      <c r="B819" s="5">
        <v>1.8085106382978729E-2</v>
      </c>
      <c r="C819" s="5">
        <v>7.2289156626506026E-3</v>
      </c>
      <c r="D819" s="5">
        <v>2E-3</v>
      </c>
      <c r="E819" s="5">
        <v>5.8732612055641424E-3</v>
      </c>
      <c r="F819" s="2" t="s">
        <v>1623</v>
      </c>
      <c r="G819" s="2" t="s">
        <v>1624</v>
      </c>
      <c r="H819" s="2" t="s">
        <v>2696</v>
      </c>
      <c r="I819" s="2" t="s">
        <v>2682</v>
      </c>
      <c r="J819" s="2">
        <v>0</v>
      </c>
      <c r="K819" s="5">
        <v>1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5">
        <v>1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</row>
    <row r="820" spans="1:28" ht="45" x14ac:dyDescent="0.25">
      <c r="A820" s="2">
        <v>819</v>
      </c>
      <c r="B820" s="5">
        <v>5.4255319148936172E-2</v>
      </c>
      <c r="C820" s="5">
        <v>2.0481927710843371E-2</v>
      </c>
      <c r="D820" s="5">
        <v>5.0000000000000001E-3</v>
      </c>
      <c r="E820" s="5">
        <v>1.5455950540958271E-2</v>
      </c>
      <c r="F820" s="2" t="s">
        <v>1625</v>
      </c>
      <c r="G820" s="2" t="s">
        <v>1626</v>
      </c>
      <c r="H820" s="2" t="s">
        <v>2688</v>
      </c>
      <c r="I820" s="2" t="s">
        <v>2682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5">
        <v>1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5">
        <v>1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</row>
    <row r="821" spans="1:28" ht="45" x14ac:dyDescent="0.25">
      <c r="A821" s="2">
        <v>820</v>
      </c>
      <c r="B821" s="5">
        <v>2.7659574468085112E-2</v>
      </c>
      <c r="C821" s="5">
        <v>7.2289156626506026E-3</v>
      </c>
      <c r="D821" s="5">
        <v>1E-3</v>
      </c>
      <c r="E821" s="5">
        <v>1.035548686244204E-2</v>
      </c>
      <c r="F821" s="2" t="s">
        <v>1627</v>
      </c>
      <c r="G821" s="2" t="s">
        <v>1628</v>
      </c>
      <c r="H821" s="2" t="s">
        <v>2688</v>
      </c>
      <c r="I821" s="2" t="s">
        <v>2682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5">
        <v>1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5">
        <v>1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 spans="1:28" ht="75" x14ac:dyDescent="0.25">
      <c r="A822" s="2">
        <v>821</v>
      </c>
      <c r="B822" s="5">
        <v>3.4042553191489362E-2</v>
      </c>
      <c r="C822" s="5">
        <v>1.3253012048192771E-2</v>
      </c>
      <c r="D822" s="5">
        <v>1E-3</v>
      </c>
      <c r="E822" s="5">
        <v>1.0200927357032459E-2</v>
      </c>
      <c r="F822" s="2" t="s">
        <v>1629</v>
      </c>
      <c r="G822" s="2" t="s">
        <v>1630</v>
      </c>
      <c r="H822" s="2" t="s">
        <v>2683</v>
      </c>
      <c r="I822" s="2" t="s">
        <v>2682</v>
      </c>
      <c r="J822" s="2">
        <v>0</v>
      </c>
      <c r="K822" s="2">
        <v>0</v>
      </c>
      <c r="L822" s="2">
        <v>0</v>
      </c>
      <c r="M822" s="5">
        <v>1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5">
        <v>1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</row>
    <row r="823" spans="1:28" ht="45" x14ac:dyDescent="0.25">
      <c r="A823" s="2">
        <v>822</v>
      </c>
      <c r="B823" s="5">
        <v>0.17691489361702131</v>
      </c>
      <c r="C823" s="5">
        <v>3.2530120481927723E-2</v>
      </c>
      <c r="D823" s="5">
        <v>3.9E-2</v>
      </c>
      <c r="E823" s="5">
        <v>4.5595054095826891E-2</v>
      </c>
      <c r="F823" s="2" t="s">
        <v>1631</v>
      </c>
      <c r="G823" s="2" t="s">
        <v>1632</v>
      </c>
      <c r="H823" s="2" t="s">
        <v>2684</v>
      </c>
      <c r="I823" s="2" t="s">
        <v>2691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5">
        <v>1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5">
        <v>1</v>
      </c>
      <c r="Z823" s="2">
        <v>0</v>
      </c>
      <c r="AA823" s="2">
        <v>0</v>
      </c>
      <c r="AB823" s="2">
        <v>0</v>
      </c>
    </row>
    <row r="824" spans="1:28" ht="45" x14ac:dyDescent="0.25">
      <c r="A824" s="2">
        <v>823</v>
      </c>
      <c r="B824" s="5">
        <v>9.0425531914893623E-2</v>
      </c>
      <c r="C824" s="5">
        <v>6.8674698795180733E-2</v>
      </c>
      <c r="D824" s="5">
        <v>3.0000000000000001E-3</v>
      </c>
      <c r="E824" s="5">
        <v>2.3802163833075731E-2</v>
      </c>
      <c r="F824" s="2" t="s">
        <v>1633</v>
      </c>
      <c r="G824" s="2" t="s">
        <v>1634</v>
      </c>
      <c r="H824" s="2" t="s">
        <v>2683</v>
      </c>
      <c r="I824" s="2" t="s">
        <v>2687</v>
      </c>
      <c r="J824" s="2">
        <v>0</v>
      </c>
      <c r="K824" s="2">
        <v>0</v>
      </c>
      <c r="L824" s="2">
        <v>0</v>
      </c>
      <c r="M824" s="5">
        <v>1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5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ht="45" x14ac:dyDescent="0.25">
      <c r="A825" s="2">
        <v>824</v>
      </c>
      <c r="B825" s="5">
        <v>0.1574468085106383</v>
      </c>
      <c r="C825" s="5">
        <v>0.127710843373494</v>
      </c>
      <c r="D825" s="5">
        <v>5.0000000000000001E-3</v>
      </c>
      <c r="E825" s="5">
        <v>4.0494590417310662E-2</v>
      </c>
      <c r="F825" s="2" t="s">
        <v>1635</v>
      </c>
      <c r="G825" s="2" t="s">
        <v>1636</v>
      </c>
      <c r="H825" s="2" t="s">
        <v>2683</v>
      </c>
      <c r="I825" s="2" t="s">
        <v>2687</v>
      </c>
      <c r="J825" s="2">
        <v>0</v>
      </c>
      <c r="K825" s="2">
        <v>0</v>
      </c>
      <c r="L825" s="2">
        <v>0</v>
      </c>
      <c r="M825" s="5">
        <v>1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5">
        <v>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 spans="1:28" ht="45" x14ac:dyDescent="0.25">
      <c r="A826" s="2">
        <v>825</v>
      </c>
      <c r="B826" s="5">
        <v>0.15106382978723401</v>
      </c>
      <c r="C826" s="5">
        <v>0.13253012048192769</v>
      </c>
      <c r="D826" s="5">
        <v>2.5000000000000001E-2</v>
      </c>
      <c r="E826" s="5">
        <v>3.1530139103554858E-2</v>
      </c>
      <c r="F826" s="2" t="s">
        <v>1637</v>
      </c>
      <c r="G826" s="2" t="s">
        <v>1638</v>
      </c>
      <c r="H826" s="2" t="s">
        <v>2683</v>
      </c>
      <c r="I826" s="2" t="s">
        <v>2687</v>
      </c>
      <c r="J826" s="2">
        <v>0</v>
      </c>
      <c r="K826" s="2">
        <v>0</v>
      </c>
      <c r="L826" s="2">
        <v>0</v>
      </c>
      <c r="M826" s="5">
        <v>1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5">
        <v>1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</row>
    <row r="827" spans="1:28" ht="30" x14ac:dyDescent="0.25">
      <c r="A827" s="2">
        <v>826</v>
      </c>
      <c r="B827" s="5">
        <v>0.3904255319148936</v>
      </c>
      <c r="C827" s="5">
        <v>0.5590361445783133</v>
      </c>
      <c r="D827" s="5">
        <v>5.4000000000000013E-2</v>
      </c>
      <c r="E827" s="5">
        <v>5.0231839258114371E-2</v>
      </c>
      <c r="F827" s="2" t="s">
        <v>1639</v>
      </c>
      <c r="G827" s="2" t="s">
        <v>1640</v>
      </c>
      <c r="H827" s="2" t="s">
        <v>2683</v>
      </c>
      <c r="I827" s="2" t="s">
        <v>2687</v>
      </c>
      <c r="J827" s="2">
        <v>0</v>
      </c>
      <c r="K827" s="2">
        <v>0</v>
      </c>
      <c r="L827" s="2">
        <v>0</v>
      </c>
      <c r="M827" s="5">
        <v>1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5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ht="30" x14ac:dyDescent="0.25">
      <c r="A828" s="2">
        <v>827</v>
      </c>
      <c r="B828" s="5">
        <v>0.35744680851063831</v>
      </c>
      <c r="C828" s="5">
        <v>0.28674698795180731</v>
      </c>
      <c r="D828" s="5">
        <v>1.2E-2</v>
      </c>
      <c r="E828" s="5">
        <v>9.2272024729520868E-2</v>
      </c>
      <c r="F828" s="2" t="s">
        <v>1641</v>
      </c>
      <c r="G828" s="2" t="s">
        <v>1642</v>
      </c>
      <c r="H828" s="2" t="s">
        <v>2683</v>
      </c>
      <c r="I828" s="2" t="s">
        <v>2687</v>
      </c>
      <c r="J828" s="2">
        <v>0</v>
      </c>
      <c r="K828" s="2">
        <v>0</v>
      </c>
      <c r="L828" s="2">
        <v>0</v>
      </c>
      <c r="M828" s="5">
        <v>1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5">
        <v>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</row>
    <row r="829" spans="1:28" ht="45" x14ac:dyDescent="0.25">
      <c r="A829" s="2">
        <v>828</v>
      </c>
      <c r="B829" s="5">
        <v>5.9574468085106393E-2</v>
      </c>
      <c r="C829" s="5">
        <v>1.084337349397591E-2</v>
      </c>
      <c r="D829" s="5">
        <v>2E-3</v>
      </c>
      <c r="E829" s="5">
        <v>2.2102009273570321E-2</v>
      </c>
      <c r="F829" s="2" t="s">
        <v>1643</v>
      </c>
      <c r="G829" s="2" t="s">
        <v>1644</v>
      </c>
      <c r="H829" s="2" t="s">
        <v>2681</v>
      </c>
      <c r="I829" s="2" t="s">
        <v>2682</v>
      </c>
      <c r="J829" s="2">
        <v>0</v>
      </c>
      <c r="K829" s="2">
        <v>0</v>
      </c>
      <c r="L829" s="2">
        <v>0</v>
      </c>
      <c r="M829" s="2">
        <v>0</v>
      </c>
      <c r="N829" s="5">
        <v>1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5">
        <v>1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</row>
    <row r="830" spans="1:28" ht="45" x14ac:dyDescent="0.25">
      <c r="A830" s="2">
        <v>829</v>
      </c>
      <c r="B830" s="5">
        <v>3.617021276595745E-2</v>
      </c>
      <c r="C830" s="5">
        <v>2.6506024096385541E-2</v>
      </c>
      <c r="D830" s="5">
        <v>3.0000000000000001E-3</v>
      </c>
      <c r="E830" s="5">
        <v>8.5007727975270481E-3</v>
      </c>
      <c r="F830" s="2" t="s">
        <v>1645</v>
      </c>
      <c r="G830" s="2" t="s">
        <v>1646</v>
      </c>
      <c r="H830" s="2" t="s">
        <v>2683</v>
      </c>
      <c r="I830" s="2" t="s">
        <v>2682</v>
      </c>
      <c r="J830" s="2">
        <v>0</v>
      </c>
      <c r="K830" s="2">
        <v>0</v>
      </c>
      <c r="L830" s="2">
        <v>0</v>
      </c>
      <c r="M830" s="5">
        <v>1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5">
        <v>1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</row>
    <row r="831" spans="1:28" ht="30" x14ac:dyDescent="0.25">
      <c r="A831" s="2">
        <v>830</v>
      </c>
      <c r="B831" s="5">
        <v>0.44893617021276588</v>
      </c>
      <c r="C831" s="5">
        <v>1.084337349397591E-2</v>
      </c>
      <c r="D831" s="5">
        <v>0.108</v>
      </c>
      <c r="E831" s="5">
        <v>0.1242658423493045</v>
      </c>
      <c r="F831" s="2" t="s">
        <v>1647</v>
      </c>
      <c r="G831" s="2" t="s">
        <v>1648</v>
      </c>
      <c r="H831" s="2" t="s">
        <v>2683</v>
      </c>
      <c r="I831" s="2" t="s">
        <v>2690</v>
      </c>
      <c r="J831" s="2">
        <v>0</v>
      </c>
      <c r="K831" s="2">
        <v>0</v>
      </c>
      <c r="L831" s="2">
        <v>0</v>
      </c>
      <c r="M831" s="5">
        <v>1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5">
        <v>1</v>
      </c>
    </row>
    <row r="832" spans="1:28" ht="30" x14ac:dyDescent="0.25">
      <c r="A832" s="2">
        <v>831</v>
      </c>
      <c r="B832" s="5">
        <v>0.41382978723404262</v>
      </c>
      <c r="C832" s="5">
        <v>7.9518072289156624E-2</v>
      </c>
      <c r="D832" s="5">
        <v>0.157</v>
      </c>
      <c r="E832" s="5">
        <v>8.5780525502318392E-2</v>
      </c>
      <c r="F832" s="2" t="s">
        <v>1649</v>
      </c>
      <c r="G832" s="2" t="s">
        <v>1650</v>
      </c>
      <c r="H832" s="2" t="s">
        <v>2688</v>
      </c>
      <c r="I832" s="2" t="s">
        <v>2691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5">
        <v>1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5">
        <v>1</v>
      </c>
      <c r="Z832" s="2">
        <v>0</v>
      </c>
      <c r="AA832" s="2">
        <v>0</v>
      </c>
      <c r="AB832" s="2">
        <v>0</v>
      </c>
    </row>
    <row r="833" spans="1:28" ht="60" x14ac:dyDescent="0.25">
      <c r="A833" s="2">
        <v>832</v>
      </c>
      <c r="B833" s="5">
        <v>0.18510638297872339</v>
      </c>
      <c r="C833" s="5">
        <v>0.20481927710843381</v>
      </c>
      <c r="D833" s="5">
        <v>0.1</v>
      </c>
      <c r="E833" s="5">
        <v>4.6367851622874804E-3</v>
      </c>
      <c r="F833" s="2" t="s">
        <v>1651</v>
      </c>
      <c r="G833" s="2" t="s">
        <v>1652</v>
      </c>
      <c r="H833" s="2" t="s">
        <v>2681</v>
      </c>
      <c r="I833" s="2" t="s">
        <v>2682</v>
      </c>
      <c r="J833" s="2">
        <v>0</v>
      </c>
      <c r="K833" s="2">
        <v>0</v>
      </c>
      <c r="L833" s="2">
        <v>0</v>
      </c>
      <c r="M833" s="2">
        <v>0</v>
      </c>
      <c r="N833" s="5">
        <v>1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5">
        <v>1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</row>
    <row r="834" spans="1:28" ht="45" x14ac:dyDescent="0.25">
      <c r="A834" s="2">
        <v>833</v>
      </c>
      <c r="B834" s="5">
        <v>0.15</v>
      </c>
      <c r="C834" s="5">
        <v>0.27710843373493982</v>
      </c>
      <c r="D834" s="5">
        <v>1.4999999999999999E-2</v>
      </c>
      <c r="E834" s="5">
        <v>1.174652241112828E-2</v>
      </c>
      <c r="F834" s="2" t="s">
        <v>1653</v>
      </c>
      <c r="G834" s="2" t="s">
        <v>1654</v>
      </c>
      <c r="H834" s="2" t="s">
        <v>2681</v>
      </c>
      <c r="I834" s="2" t="s">
        <v>2682</v>
      </c>
      <c r="J834" s="2">
        <v>0</v>
      </c>
      <c r="K834" s="2">
        <v>0</v>
      </c>
      <c r="L834" s="2">
        <v>0</v>
      </c>
      <c r="M834" s="2">
        <v>0</v>
      </c>
      <c r="N834" s="5">
        <v>1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5">
        <v>1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</row>
    <row r="835" spans="1:28" ht="45" x14ac:dyDescent="0.25">
      <c r="A835" s="2">
        <v>834</v>
      </c>
      <c r="B835" s="5">
        <v>0.16914893617021279</v>
      </c>
      <c r="C835" s="5">
        <v>6.0240963855421693E-2</v>
      </c>
      <c r="D835" s="5">
        <v>0.109</v>
      </c>
      <c r="E835" s="5">
        <v>1.561051004636785E-2</v>
      </c>
      <c r="F835" s="2" t="s">
        <v>1655</v>
      </c>
      <c r="G835" s="2" t="s">
        <v>1656</v>
      </c>
      <c r="H835" s="2" t="s">
        <v>2681</v>
      </c>
      <c r="I835" s="2" t="s">
        <v>2682</v>
      </c>
      <c r="J835" s="2">
        <v>0</v>
      </c>
      <c r="K835" s="2">
        <v>0</v>
      </c>
      <c r="L835" s="2">
        <v>0</v>
      </c>
      <c r="M835" s="2">
        <v>0</v>
      </c>
      <c r="N835" s="5">
        <v>1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5">
        <v>1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</row>
    <row r="836" spans="1:28" ht="30" x14ac:dyDescent="0.25">
      <c r="A836" s="2">
        <v>835</v>
      </c>
      <c r="B836" s="5">
        <v>0.22021276595744679</v>
      </c>
      <c r="C836" s="5">
        <v>8.91566265060241E-2</v>
      </c>
      <c r="D836" s="5">
        <v>0.154</v>
      </c>
      <c r="E836" s="5">
        <v>1.4837712519319941E-2</v>
      </c>
      <c r="F836" s="2" t="s">
        <v>1657</v>
      </c>
      <c r="G836" s="2" t="s">
        <v>1658</v>
      </c>
      <c r="H836" s="2" t="s">
        <v>2681</v>
      </c>
      <c r="I836" s="2" t="s">
        <v>2682</v>
      </c>
      <c r="J836" s="2">
        <v>0</v>
      </c>
      <c r="K836" s="2">
        <v>0</v>
      </c>
      <c r="L836" s="2">
        <v>0</v>
      </c>
      <c r="M836" s="2">
        <v>0</v>
      </c>
      <c r="N836" s="5">
        <v>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5">
        <v>1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</row>
    <row r="837" spans="1:28" ht="75" x14ac:dyDescent="0.25">
      <c r="A837" s="2">
        <v>836</v>
      </c>
      <c r="B837" s="5">
        <v>0.43085106382978722</v>
      </c>
      <c r="C837" s="5">
        <v>5.7831325301204821E-2</v>
      </c>
      <c r="D837" s="5">
        <v>5.0999999999999997E-2</v>
      </c>
      <c r="E837" s="5">
        <v>0.1312210200927357</v>
      </c>
      <c r="F837" s="2" t="s">
        <v>1659</v>
      </c>
      <c r="G837" s="2" t="s">
        <v>1660</v>
      </c>
      <c r="H837" s="2" t="s">
        <v>2683</v>
      </c>
      <c r="I837" s="2" t="s">
        <v>2686</v>
      </c>
      <c r="J837" s="2">
        <v>0</v>
      </c>
      <c r="K837" s="2">
        <v>0</v>
      </c>
      <c r="L837" s="2">
        <v>0</v>
      </c>
      <c r="M837" s="5">
        <v>1</v>
      </c>
      <c r="N837" s="2">
        <v>0</v>
      </c>
      <c r="O837" s="2">
        <v>0</v>
      </c>
      <c r="P837" s="2">
        <v>0</v>
      </c>
      <c r="Q837" s="5">
        <v>1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</row>
    <row r="838" spans="1:28" ht="45" x14ac:dyDescent="0.25">
      <c r="A838" s="2">
        <v>837</v>
      </c>
      <c r="B838" s="5">
        <v>1.5957446808510641E-2</v>
      </c>
      <c r="C838" s="5">
        <v>1.204819277108434E-2</v>
      </c>
      <c r="D838" s="5">
        <v>4.0000000000000001E-3</v>
      </c>
      <c r="E838" s="5">
        <v>2.9366306027820712E-3</v>
      </c>
      <c r="F838" s="2" t="s">
        <v>1661</v>
      </c>
      <c r="G838" s="2" t="s">
        <v>1662</v>
      </c>
      <c r="H838" s="2" t="s">
        <v>2683</v>
      </c>
      <c r="I838" s="2" t="s">
        <v>2682</v>
      </c>
      <c r="J838" s="2">
        <v>0</v>
      </c>
      <c r="K838" s="2">
        <v>0</v>
      </c>
      <c r="L838" s="2">
        <v>0</v>
      </c>
      <c r="M838" s="5">
        <v>1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5">
        <v>1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</row>
    <row r="839" spans="1:28" ht="45" x14ac:dyDescent="0.25">
      <c r="A839" s="2">
        <v>838</v>
      </c>
      <c r="B839" s="5">
        <v>0.95957446808510638</v>
      </c>
      <c r="C839" s="2">
        <v>0</v>
      </c>
      <c r="D839" s="5">
        <v>1</v>
      </c>
      <c r="E839" s="2">
        <v>0</v>
      </c>
      <c r="F839" s="2" t="s">
        <v>1663</v>
      </c>
      <c r="G839" s="2" t="s">
        <v>1664</v>
      </c>
      <c r="H839" s="2" t="s">
        <v>2683</v>
      </c>
      <c r="I839" s="2" t="s">
        <v>2699</v>
      </c>
      <c r="J839" s="2">
        <v>0</v>
      </c>
      <c r="K839" s="2">
        <v>0</v>
      </c>
      <c r="L839" s="2">
        <v>0</v>
      </c>
      <c r="M839" s="5">
        <v>1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5">
        <v>1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</row>
    <row r="840" spans="1:28" ht="30" x14ac:dyDescent="0.25">
      <c r="A840" s="2">
        <v>839</v>
      </c>
      <c r="B840" s="5">
        <v>0.67021276595744683</v>
      </c>
      <c r="C840" s="5">
        <v>0.1096385542168675</v>
      </c>
      <c r="D840" s="5">
        <v>0.65</v>
      </c>
      <c r="E840" s="5">
        <v>1.70015455950541E-3</v>
      </c>
      <c r="F840" s="2" t="s">
        <v>1665</v>
      </c>
      <c r="G840" s="2" t="s">
        <v>1666</v>
      </c>
      <c r="H840" s="2" t="s">
        <v>2683</v>
      </c>
      <c r="I840" s="2" t="s">
        <v>2699</v>
      </c>
      <c r="J840" s="2">
        <v>0</v>
      </c>
      <c r="K840" s="2">
        <v>0</v>
      </c>
      <c r="L840" s="2">
        <v>0</v>
      </c>
      <c r="M840" s="5">
        <v>1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5">
        <v>1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 spans="1:28" ht="30" x14ac:dyDescent="0.25">
      <c r="A841" s="2">
        <v>840</v>
      </c>
      <c r="B841" s="5">
        <v>0.39574468085106379</v>
      </c>
      <c r="C841" s="5">
        <v>0.1445783132530121</v>
      </c>
      <c r="D841" s="5">
        <v>0.29399999999999998</v>
      </c>
      <c r="E841" s="5">
        <v>2.2256568778979909E-2</v>
      </c>
      <c r="F841" s="2" t="s">
        <v>1667</v>
      </c>
      <c r="G841" s="2" t="s">
        <v>1668</v>
      </c>
      <c r="H841" s="2" t="s">
        <v>2683</v>
      </c>
      <c r="I841" s="2" t="s">
        <v>2699</v>
      </c>
      <c r="J841" s="2">
        <v>0</v>
      </c>
      <c r="K841" s="2">
        <v>0</v>
      </c>
      <c r="L841" s="2">
        <v>0</v>
      </c>
      <c r="M841" s="5">
        <v>1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5">
        <v>1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</row>
    <row r="842" spans="1:28" ht="45" x14ac:dyDescent="0.25">
      <c r="A842" s="2">
        <v>841</v>
      </c>
      <c r="B842" s="5">
        <v>0.87021276595744679</v>
      </c>
      <c r="C842" s="5">
        <v>1.8072289156626509E-2</v>
      </c>
      <c r="D842" s="5">
        <v>0.9</v>
      </c>
      <c r="E842" s="2">
        <v>0</v>
      </c>
      <c r="F842" s="2" t="s">
        <v>1669</v>
      </c>
      <c r="G842" s="2" t="s">
        <v>1670</v>
      </c>
      <c r="H842" s="2" t="s">
        <v>2683</v>
      </c>
      <c r="I842" s="2" t="s">
        <v>2699</v>
      </c>
      <c r="J842" s="2">
        <v>0</v>
      </c>
      <c r="K842" s="2">
        <v>0</v>
      </c>
      <c r="L842" s="2">
        <v>0</v>
      </c>
      <c r="M842" s="5">
        <v>1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5">
        <v>1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</row>
    <row r="843" spans="1:28" ht="60" x14ac:dyDescent="0.25">
      <c r="A843" s="2">
        <v>842</v>
      </c>
      <c r="B843" s="5">
        <v>3.617021276595745E-2</v>
      </c>
      <c r="C843" s="5">
        <v>6.024096385542169E-3</v>
      </c>
      <c r="D843" s="5">
        <v>8.0000000000000002E-3</v>
      </c>
      <c r="E843" s="5">
        <v>9.5826893353941275E-3</v>
      </c>
      <c r="F843" s="2" t="s">
        <v>1671</v>
      </c>
      <c r="G843" s="2" t="s">
        <v>1672</v>
      </c>
      <c r="H843" s="2" t="s">
        <v>2696</v>
      </c>
      <c r="I843" s="2" t="s">
        <v>2682</v>
      </c>
      <c r="J843" s="2">
        <v>0</v>
      </c>
      <c r="K843" s="5">
        <v>1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5">
        <v>1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</row>
    <row r="844" spans="1:28" ht="45" x14ac:dyDescent="0.25">
      <c r="A844" s="2">
        <v>843</v>
      </c>
      <c r="B844" s="5">
        <v>3.8297872340425532E-2</v>
      </c>
      <c r="C844" s="2">
        <v>0</v>
      </c>
      <c r="D844" s="2">
        <v>0</v>
      </c>
      <c r="E844" s="5">
        <v>1.5455950540958271E-2</v>
      </c>
      <c r="F844" s="2" t="s">
        <v>1673</v>
      </c>
      <c r="G844" s="2" t="s">
        <v>1674</v>
      </c>
      <c r="H844" s="2" t="s">
        <v>2696</v>
      </c>
      <c r="I844" s="2" t="s">
        <v>2682</v>
      </c>
      <c r="J844" s="2">
        <v>0</v>
      </c>
      <c r="K844" s="5">
        <v>1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5">
        <v>1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</row>
    <row r="845" spans="1:28" ht="30" x14ac:dyDescent="0.25">
      <c r="A845" s="2">
        <v>844</v>
      </c>
      <c r="B845" s="5">
        <v>3.1914893617021267E-2</v>
      </c>
      <c r="C845" s="2">
        <v>0</v>
      </c>
      <c r="D845" s="2">
        <v>0</v>
      </c>
      <c r="E845" s="5">
        <v>1.236476043276661E-2</v>
      </c>
      <c r="F845" s="2" t="s">
        <v>1675</v>
      </c>
      <c r="G845" s="2" t="s">
        <v>1676</v>
      </c>
      <c r="H845" s="2" t="s">
        <v>2696</v>
      </c>
      <c r="I845" s="2" t="s">
        <v>2682</v>
      </c>
      <c r="J845" s="2">
        <v>0</v>
      </c>
      <c r="K845" s="5">
        <v>1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5">
        <v>1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spans="1:28" ht="30" x14ac:dyDescent="0.25">
      <c r="A846" s="2">
        <v>845</v>
      </c>
      <c r="B846" s="5">
        <v>0.2354255319148936</v>
      </c>
      <c r="C846" s="5">
        <v>4.5783132530120479E-2</v>
      </c>
      <c r="D846" s="5">
        <v>3.5999999999999997E-2</v>
      </c>
      <c r="E846" s="5">
        <v>6.7078825347758886E-2</v>
      </c>
      <c r="F846" s="2" t="s">
        <v>1677</v>
      </c>
      <c r="G846" s="2" t="s">
        <v>1678</v>
      </c>
      <c r="H846" s="2" t="s">
        <v>2681</v>
      </c>
      <c r="I846" s="2" t="s">
        <v>2682</v>
      </c>
      <c r="J846" s="2">
        <v>0</v>
      </c>
      <c r="K846" s="2">
        <v>0</v>
      </c>
      <c r="L846" s="2">
        <v>0</v>
      </c>
      <c r="M846" s="2">
        <v>0</v>
      </c>
      <c r="N846" s="5">
        <v>1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5">
        <v>1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ht="30" x14ac:dyDescent="0.25">
      <c r="A847" s="2">
        <v>846</v>
      </c>
      <c r="B847" s="5">
        <v>0.34042553191489361</v>
      </c>
      <c r="C847" s="5">
        <v>4.2168674698795178E-2</v>
      </c>
      <c r="D847" s="5">
        <v>5.7000000000000002E-2</v>
      </c>
      <c r="E847" s="5">
        <v>9.845440494590417E-2</v>
      </c>
      <c r="F847" s="2" t="s">
        <v>1679</v>
      </c>
      <c r="G847" s="2" t="s">
        <v>1680</v>
      </c>
      <c r="H847" s="2" t="s">
        <v>2683</v>
      </c>
      <c r="I847" s="2" t="s">
        <v>2686</v>
      </c>
      <c r="J847" s="2">
        <v>0</v>
      </c>
      <c r="K847" s="2">
        <v>0</v>
      </c>
      <c r="L847" s="2">
        <v>0</v>
      </c>
      <c r="M847" s="5">
        <v>1</v>
      </c>
      <c r="N847" s="2">
        <v>0</v>
      </c>
      <c r="O847" s="2">
        <v>0</v>
      </c>
      <c r="P847" s="2">
        <v>0</v>
      </c>
      <c r="Q847" s="5">
        <v>1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</row>
    <row r="848" spans="1:28" ht="60" x14ac:dyDescent="0.25">
      <c r="A848" s="2">
        <v>847</v>
      </c>
      <c r="B848" s="5">
        <v>0.1925531914893617</v>
      </c>
      <c r="C848" s="5">
        <v>3.3734939759036138E-2</v>
      </c>
      <c r="D848" s="5">
        <v>1.2E-2</v>
      </c>
      <c r="E848" s="5">
        <v>6.1514683153013908E-2</v>
      </c>
      <c r="F848" s="2" t="s">
        <v>1681</v>
      </c>
      <c r="G848" s="2" t="s">
        <v>1682</v>
      </c>
      <c r="H848" s="2" t="s">
        <v>2688</v>
      </c>
      <c r="I848" s="2" t="s">
        <v>2690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5">
        <v>1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5">
        <v>1</v>
      </c>
    </row>
    <row r="849" spans="1:28" ht="45" x14ac:dyDescent="0.25">
      <c r="A849" s="2">
        <v>848</v>
      </c>
      <c r="B849" s="5">
        <v>3.5106382978723413E-2</v>
      </c>
      <c r="C849" s="5">
        <v>2.289156626506024E-2</v>
      </c>
      <c r="D849" s="5">
        <v>1E-3</v>
      </c>
      <c r="E849" s="5">
        <v>1.143740340030912E-2</v>
      </c>
      <c r="F849" s="2" t="s">
        <v>1683</v>
      </c>
      <c r="G849" s="2" t="s">
        <v>1684</v>
      </c>
      <c r="H849" s="2" t="s">
        <v>2696</v>
      </c>
      <c r="I849" s="2" t="s">
        <v>2686</v>
      </c>
      <c r="J849" s="2">
        <v>0</v>
      </c>
      <c r="K849" s="5">
        <v>1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5">
        <v>1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 spans="1:28" ht="45" x14ac:dyDescent="0.25">
      <c r="A850" s="2">
        <v>849</v>
      </c>
      <c r="B850" s="5">
        <v>0.25531914893617019</v>
      </c>
      <c r="C850" s="5">
        <v>9.3975903614457831E-2</v>
      </c>
      <c r="D850" s="5">
        <v>5.0000000000000001E-3</v>
      </c>
      <c r="E850" s="5">
        <v>7.9289026275115915E-2</v>
      </c>
      <c r="F850" s="2" t="s">
        <v>1685</v>
      </c>
      <c r="G850" s="2" t="s">
        <v>1686</v>
      </c>
      <c r="H850" s="2" t="s">
        <v>2683</v>
      </c>
      <c r="I850" s="2" t="s">
        <v>2691</v>
      </c>
      <c r="J850" s="2">
        <v>0</v>
      </c>
      <c r="K850" s="2">
        <v>0</v>
      </c>
      <c r="L850" s="2">
        <v>0</v>
      </c>
      <c r="M850" s="5">
        <v>1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5">
        <v>1</v>
      </c>
      <c r="Z850" s="2">
        <v>0</v>
      </c>
      <c r="AA850" s="2">
        <v>0</v>
      </c>
      <c r="AB850" s="2">
        <v>0</v>
      </c>
    </row>
    <row r="851" spans="1:28" ht="45" x14ac:dyDescent="0.25">
      <c r="A851" s="2">
        <v>850</v>
      </c>
      <c r="B851" s="5">
        <v>0.41170212765957448</v>
      </c>
      <c r="C851" s="5">
        <v>0.19277108433734941</v>
      </c>
      <c r="D851" s="5">
        <v>0.22</v>
      </c>
      <c r="E851" s="5">
        <v>4.6367851622874804E-3</v>
      </c>
      <c r="F851" s="2" t="s">
        <v>1687</v>
      </c>
      <c r="G851" s="2" t="s">
        <v>1688</v>
      </c>
      <c r="H851" s="2" t="s">
        <v>2681</v>
      </c>
      <c r="I851" s="2" t="s">
        <v>2682</v>
      </c>
      <c r="J851" s="2">
        <v>0</v>
      </c>
      <c r="K851" s="2">
        <v>0</v>
      </c>
      <c r="L851" s="2">
        <v>0</v>
      </c>
      <c r="M851" s="2">
        <v>0</v>
      </c>
      <c r="N851" s="5">
        <v>1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5">
        <v>1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</row>
    <row r="852" spans="1:28" ht="60" x14ac:dyDescent="0.25">
      <c r="A852" s="2">
        <v>851</v>
      </c>
      <c r="B852" s="5">
        <v>8.4042553191489358E-2</v>
      </c>
      <c r="C852" s="5">
        <v>2.7710843373493971E-2</v>
      </c>
      <c r="D852" s="5">
        <v>5.1999999999999998E-2</v>
      </c>
      <c r="E852" s="5">
        <v>8.9644513137557957E-3</v>
      </c>
      <c r="F852" s="2" t="s">
        <v>1689</v>
      </c>
      <c r="G852" s="2" t="s">
        <v>1690</v>
      </c>
      <c r="H852" s="2" t="s">
        <v>2681</v>
      </c>
      <c r="I852" s="2" t="s">
        <v>2682</v>
      </c>
      <c r="J852" s="2">
        <v>0</v>
      </c>
      <c r="K852" s="2">
        <v>0</v>
      </c>
      <c r="L852" s="2">
        <v>0</v>
      </c>
      <c r="M852" s="2">
        <v>0</v>
      </c>
      <c r="N852" s="5">
        <v>1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5">
        <v>1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ht="60" x14ac:dyDescent="0.25">
      <c r="A853" s="2">
        <v>852</v>
      </c>
      <c r="B853" s="5">
        <v>2.021276595744681E-2</v>
      </c>
      <c r="C853" s="5">
        <v>1.084337349397591E-2</v>
      </c>
      <c r="D853" s="5">
        <v>1E-3</v>
      </c>
      <c r="E853" s="5">
        <v>6.4914992272024734E-3</v>
      </c>
      <c r="F853" s="2" t="s">
        <v>1691</v>
      </c>
      <c r="G853" s="2" t="s">
        <v>1692</v>
      </c>
      <c r="H853" s="2" t="s">
        <v>2688</v>
      </c>
      <c r="I853" s="2" t="s">
        <v>2682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5">
        <v>1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5">
        <v>1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</row>
    <row r="854" spans="1:28" ht="45" x14ac:dyDescent="0.25">
      <c r="A854" s="2">
        <v>853</v>
      </c>
      <c r="B854" s="5">
        <v>0.23085106382978721</v>
      </c>
      <c r="C854" s="5">
        <v>0.13253012048192769</v>
      </c>
      <c r="D854" s="5">
        <v>1.7000000000000001E-2</v>
      </c>
      <c r="E854" s="5">
        <v>7.8825347758887162E-3</v>
      </c>
      <c r="F854" s="2" t="s">
        <v>1693</v>
      </c>
      <c r="G854" s="2" t="s">
        <v>1694</v>
      </c>
      <c r="H854" s="2" t="s">
        <v>2688</v>
      </c>
      <c r="I854" s="2" t="s">
        <v>2682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5">
        <v>1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5">
        <v>1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</row>
    <row r="855" spans="1:28" ht="30" x14ac:dyDescent="0.25">
      <c r="A855" s="2">
        <v>854</v>
      </c>
      <c r="B855" s="5">
        <v>2.8723404255319149E-2</v>
      </c>
      <c r="C855" s="5">
        <v>4.8192771084337354E-3</v>
      </c>
      <c r="D855" s="5">
        <v>2E-3</v>
      </c>
      <c r="E855" s="5">
        <v>9.2735703245749607E-3</v>
      </c>
      <c r="F855" s="2" t="s">
        <v>1695</v>
      </c>
      <c r="G855" s="2" t="s">
        <v>1696</v>
      </c>
      <c r="H855" s="2" t="s">
        <v>2683</v>
      </c>
      <c r="I855" s="2" t="s">
        <v>2682</v>
      </c>
      <c r="J855" s="2">
        <v>0</v>
      </c>
      <c r="K855" s="2">
        <v>0</v>
      </c>
      <c r="L855" s="2">
        <v>0</v>
      </c>
      <c r="M855" s="5">
        <v>1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5">
        <v>1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</row>
    <row r="856" spans="1:28" ht="60" x14ac:dyDescent="0.25">
      <c r="A856" s="2">
        <v>855</v>
      </c>
      <c r="B856" s="5">
        <v>0.17372340425531921</v>
      </c>
      <c r="C856" s="5">
        <v>3.3734939759036138E-2</v>
      </c>
      <c r="D856" s="5">
        <v>2.1999999999999999E-2</v>
      </c>
      <c r="E856" s="5">
        <v>5.1004636785162288E-2</v>
      </c>
      <c r="F856" s="2" t="s">
        <v>1697</v>
      </c>
      <c r="G856" s="2" t="s">
        <v>1698</v>
      </c>
      <c r="H856" s="2" t="s">
        <v>2681</v>
      </c>
      <c r="I856" s="2" t="s">
        <v>2682</v>
      </c>
      <c r="J856" s="2">
        <v>0</v>
      </c>
      <c r="K856" s="2">
        <v>0</v>
      </c>
      <c r="L856" s="2">
        <v>0</v>
      </c>
      <c r="M856" s="2">
        <v>0</v>
      </c>
      <c r="N856" s="5">
        <v>1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5">
        <v>1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</row>
    <row r="857" spans="1:28" ht="30" x14ac:dyDescent="0.25">
      <c r="A857" s="2">
        <v>856</v>
      </c>
      <c r="B857" s="5">
        <v>4.042553191489362E-2</v>
      </c>
      <c r="C857" s="5">
        <v>1.3253012048192771E-2</v>
      </c>
      <c r="D857" s="5">
        <v>3.0000000000000001E-3</v>
      </c>
      <c r="E857" s="5">
        <v>1.174652241112828E-2</v>
      </c>
      <c r="F857" s="2" t="s">
        <v>1699</v>
      </c>
      <c r="G857" s="2" t="s">
        <v>1700</v>
      </c>
      <c r="H857" s="2" t="s">
        <v>2681</v>
      </c>
      <c r="I857" s="2" t="s">
        <v>2682</v>
      </c>
      <c r="J857" s="2">
        <v>0</v>
      </c>
      <c r="K857" s="2">
        <v>0</v>
      </c>
      <c r="L857" s="2">
        <v>0</v>
      </c>
      <c r="M857" s="2">
        <v>0</v>
      </c>
      <c r="N857" s="5">
        <v>1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5">
        <v>1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</row>
    <row r="858" spans="1:28" ht="45" x14ac:dyDescent="0.25">
      <c r="A858" s="2">
        <v>857</v>
      </c>
      <c r="B858" s="5">
        <v>0.17446808510638301</v>
      </c>
      <c r="C858" s="5">
        <v>2.168674698795181E-2</v>
      </c>
      <c r="D858" s="5">
        <v>2.1000000000000001E-2</v>
      </c>
      <c r="E858" s="5">
        <v>5.3323029366306028E-2</v>
      </c>
      <c r="F858" s="2" t="s">
        <v>1701</v>
      </c>
      <c r="G858" s="2" t="s">
        <v>1702</v>
      </c>
      <c r="H858" s="2" t="s">
        <v>2683</v>
      </c>
      <c r="I858" s="2" t="s">
        <v>2691</v>
      </c>
      <c r="J858" s="2">
        <v>0</v>
      </c>
      <c r="K858" s="2">
        <v>0</v>
      </c>
      <c r="L858" s="2">
        <v>0</v>
      </c>
      <c r="M858" s="5">
        <v>1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5">
        <v>1</v>
      </c>
      <c r="Z858" s="2">
        <v>0</v>
      </c>
      <c r="AA858" s="2">
        <v>0</v>
      </c>
      <c r="AB858" s="2">
        <v>0</v>
      </c>
    </row>
    <row r="859" spans="1:28" ht="45" x14ac:dyDescent="0.25">
      <c r="A859" s="2">
        <v>858</v>
      </c>
      <c r="B859" s="5">
        <v>0.31276595744680852</v>
      </c>
      <c r="C859" s="5">
        <v>3.6144578313253009E-3</v>
      </c>
      <c r="D859" s="2">
        <v>0</v>
      </c>
      <c r="E859" s="5">
        <v>0.1228748068006182</v>
      </c>
      <c r="F859" s="2" t="s">
        <v>1703</v>
      </c>
      <c r="G859" s="2" t="s">
        <v>1704</v>
      </c>
      <c r="H859" s="2" t="s">
        <v>2697</v>
      </c>
      <c r="I859" s="2" t="s">
        <v>2682</v>
      </c>
      <c r="J859" s="2">
        <v>0</v>
      </c>
      <c r="K859" s="2">
        <v>0</v>
      </c>
      <c r="L859" s="5">
        <v>1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5">
        <v>1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</row>
    <row r="860" spans="1:28" ht="30" x14ac:dyDescent="0.25">
      <c r="A860" s="2">
        <v>859</v>
      </c>
      <c r="B860" s="5">
        <v>0.36276595744680851</v>
      </c>
      <c r="C860" s="5">
        <v>3.6144578313253009E-3</v>
      </c>
      <c r="D860" s="2">
        <v>0</v>
      </c>
      <c r="E860" s="5">
        <v>0.1313755795981453</v>
      </c>
      <c r="F860" s="2" t="s">
        <v>1705</v>
      </c>
      <c r="G860" s="2" t="s">
        <v>1706</v>
      </c>
      <c r="H860" s="2" t="s">
        <v>2694</v>
      </c>
      <c r="I860" s="2" t="s">
        <v>2691</v>
      </c>
      <c r="J860" s="5">
        <v>1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5">
        <v>1</v>
      </c>
      <c r="Z860" s="2">
        <v>0</v>
      </c>
      <c r="AA860" s="2">
        <v>0</v>
      </c>
      <c r="AB860" s="2">
        <v>0</v>
      </c>
    </row>
    <row r="861" spans="1:28" ht="90" x14ac:dyDescent="0.25">
      <c r="A861" s="2">
        <v>860</v>
      </c>
      <c r="B861" s="5">
        <v>0.38617021276595748</v>
      </c>
      <c r="C861" s="5">
        <v>0.10481927710843369</v>
      </c>
      <c r="D861" s="5">
        <v>4.0000000000000001E-3</v>
      </c>
      <c r="E861" s="5">
        <v>0.1216383307573416</v>
      </c>
      <c r="F861" s="2" t="s">
        <v>1707</v>
      </c>
      <c r="G861" s="2" t="s">
        <v>1708</v>
      </c>
      <c r="H861" s="2" t="s">
        <v>2683</v>
      </c>
      <c r="I861" s="2" t="s">
        <v>2691</v>
      </c>
      <c r="J861" s="2">
        <v>0</v>
      </c>
      <c r="K861" s="2">
        <v>0</v>
      </c>
      <c r="L861" s="2">
        <v>0</v>
      </c>
      <c r="M861" s="5">
        <v>1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5">
        <v>1</v>
      </c>
      <c r="Z861" s="2">
        <v>0</v>
      </c>
      <c r="AA861" s="2">
        <v>0</v>
      </c>
      <c r="AB861" s="2">
        <v>0</v>
      </c>
    </row>
    <row r="862" spans="1:28" ht="30" x14ac:dyDescent="0.25">
      <c r="A862" s="2">
        <v>861</v>
      </c>
      <c r="B862" s="5">
        <v>6.702127659574468E-2</v>
      </c>
      <c r="C862" s="5">
        <v>2.891566265060241E-2</v>
      </c>
      <c r="D862" s="5">
        <v>4.0000000000000001E-3</v>
      </c>
      <c r="E862" s="5">
        <v>1.9165378670788259E-2</v>
      </c>
      <c r="F862" s="2" t="s">
        <v>1709</v>
      </c>
      <c r="G862" s="2" t="s">
        <v>1710</v>
      </c>
      <c r="H862" s="2" t="s">
        <v>2683</v>
      </c>
      <c r="I862" s="2" t="s">
        <v>2686</v>
      </c>
      <c r="J862" s="2">
        <v>0</v>
      </c>
      <c r="K862" s="2">
        <v>0</v>
      </c>
      <c r="L862" s="2">
        <v>0</v>
      </c>
      <c r="M862" s="5">
        <v>1</v>
      </c>
      <c r="N862" s="2">
        <v>0</v>
      </c>
      <c r="O862" s="2">
        <v>0</v>
      </c>
      <c r="P862" s="2">
        <v>0</v>
      </c>
      <c r="Q862" s="5">
        <v>1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</row>
    <row r="863" spans="1:28" ht="30" x14ac:dyDescent="0.25">
      <c r="A863" s="2">
        <v>862</v>
      </c>
      <c r="B863" s="5">
        <v>4.6808510638297871E-2</v>
      </c>
      <c r="C863" s="5">
        <v>8.4337349397590362E-3</v>
      </c>
      <c r="D863" s="5">
        <v>2E-3</v>
      </c>
      <c r="E863" s="5">
        <v>1.7310664605873261E-2</v>
      </c>
      <c r="F863" s="2" t="s">
        <v>1711</v>
      </c>
      <c r="G863" s="2" t="s">
        <v>1712</v>
      </c>
      <c r="H863" s="2" t="s">
        <v>2683</v>
      </c>
      <c r="I863" s="2" t="s">
        <v>2686</v>
      </c>
      <c r="J863" s="2">
        <v>0</v>
      </c>
      <c r="K863" s="2">
        <v>0</v>
      </c>
      <c r="L863" s="2">
        <v>0</v>
      </c>
      <c r="M863" s="5">
        <v>1</v>
      </c>
      <c r="N863" s="2">
        <v>0</v>
      </c>
      <c r="O863" s="2">
        <v>0</v>
      </c>
      <c r="P863" s="2">
        <v>0</v>
      </c>
      <c r="Q863" s="5">
        <v>1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</row>
    <row r="864" spans="1:28" ht="45" x14ac:dyDescent="0.25">
      <c r="A864" s="2">
        <v>863</v>
      </c>
      <c r="B864" s="5">
        <v>6.702127659574468E-2</v>
      </c>
      <c r="C864" s="5">
        <v>6.024096385542169E-3</v>
      </c>
      <c r="D864" s="5">
        <v>2E-3</v>
      </c>
      <c r="E864" s="5">
        <v>2.5811437403400309E-2</v>
      </c>
      <c r="F864" s="2" t="s">
        <v>1713</v>
      </c>
      <c r="G864" s="2" t="s">
        <v>1714</v>
      </c>
      <c r="H864" s="2" t="s">
        <v>2683</v>
      </c>
      <c r="I864" s="2" t="s">
        <v>2686</v>
      </c>
      <c r="J864" s="2">
        <v>0</v>
      </c>
      <c r="K864" s="2">
        <v>0</v>
      </c>
      <c r="L864" s="2">
        <v>0</v>
      </c>
      <c r="M864" s="5">
        <v>1</v>
      </c>
      <c r="N864" s="2">
        <v>0</v>
      </c>
      <c r="O864" s="2">
        <v>0</v>
      </c>
      <c r="P864" s="2">
        <v>0</v>
      </c>
      <c r="Q864" s="5">
        <v>1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</row>
    <row r="865" spans="1:28" ht="30" x14ac:dyDescent="0.25">
      <c r="A865" s="2">
        <v>864</v>
      </c>
      <c r="B865" s="5">
        <v>4.8936170212765959E-2</v>
      </c>
      <c r="C865" s="5">
        <v>4.8192771084337354E-3</v>
      </c>
      <c r="D865" s="5">
        <v>2E-3</v>
      </c>
      <c r="E865" s="5">
        <v>1.8392581143740341E-2</v>
      </c>
      <c r="F865" s="2" t="s">
        <v>1715</v>
      </c>
      <c r="G865" s="2" t="s">
        <v>1716</v>
      </c>
      <c r="H865" s="2" t="s">
        <v>2683</v>
      </c>
      <c r="I865" s="2" t="s">
        <v>2686</v>
      </c>
      <c r="J865" s="2">
        <v>0</v>
      </c>
      <c r="K865" s="2">
        <v>0</v>
      </c>
      <c r="L865" s="2">
        <v>0</v>
      </c>
      <c r="M865" s="5">
        <v>1</v>
      </c>
      <c r="N865" s="2">
        <v>0</v>
      </c>
      <c r="O865" s="2">
        <v>0</v>
      </c>
      <c r="P865" s="2">
        <v>0</v>
      </c>
      <c r="Q865" s="5">
        <v>1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 spans="1:28" ht="45" x14ac:dyDescent="0.25">
      <c r="A866" s="2">
        <v>865</v>
      </c>
      <c r="B866" s="5">
        <v>7.6595744680851063E-2</v>
      </c>
      <c r="C866" s="5">
        <v>9.6385542168674707E-3</v>
      </c>
      <c r="D866" s="5">
        <v>2E-3</v>
      </c>
      <c r="E866" s="5">
        <v>2.890262751159196E-2</v>
      </c>
      <c r="F866" s="2" t="s">
        <v>1717</v>
      </c>
      <c r="G866" s="2" t="s">
        <v>1718</v>
      </c>
      <c r="H866" s="2" t="s">
        <v>2683</v>
      </c>
      <c r="I866" s="2" t="s">
        <v>2686</v>
      </c>
      <c r="J866" s="2">
        <v>0</v>
      </c>
      <c r="K866" s="2">
        <v>0</v>
      </c>
      <c r="L866" s="2">
        <v>0</v>
      </c>
      <c r="M866" s="5">
        <v>1</v>
      </c>
      <c r="N866" s="2">
        <v>0</v>
      </c>
      <c r="O866" s="2">
        <v>0</v>
      </c>
      <c r="P866" s="2">
        <v>0</v>
      </c>
      <c r="Q866" s="5">
        <v>1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</row>
    <row r="867" spans="1:28" ht="45" x14ac:dyDescent="0.25">
      <c r="A867" s="2">
        <v>866</v>
      </c>
      <c r="B867" s="5">
        <v>5.9574468085106393E-2</v>
      </c>
      <c r="C867" s="5">
        <v>4.8192771084337354E-3</v>
      </c>
      <c r="D867" s="5">
        <v>2E-3</v>
      </c>
      <c r="E867" s="5">
        <v>2.2565687789799071E-2</v>
      </c>
      <c r="F867" s="2" t="s">
        <v>1719</v>
      </c>
      <c r="G867" s="2" t="s">
        <v>1720</v>
      </c>
      <c r="H867" s="2" t="s">
        <v>2683</v>
      </c>
      <c r="I867" s="2" t="s">
        <v>2686</v>
      </c>
      <c r="J867" s="2">
        <v>0</v>
      </c>
      <c r="K867" s="2">
        <v>0</v>
      </c>
      <c r="L867" s="2">
        <v>0</v>
      </c>
      <c r="M867" s="5">
        <v>1</v>
      </c>
      <c r="N867" s="2">
        <v>0</v>
      </c>
      <c r="O867" s="2">
        <v>0</v>
      </c>
      <c r="P867" s="2">
        <v>0</v>
      </c>
      <c r="Q867" s="5">
        <v>1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</row>
    <row r="868" spans="1:28" ht="45" x14ac:dyDescent="0.25">
      <c r="A868" s="2">
        <v>867</v>
      </c>
      <c r="B868" s="5">
        <v>9.1489361702127667E-2</v>
      </c>
      <c r="C868" s="5">
        <v>8.4337349397590362E-3</v>
      </c>
      <c r="D868" s="5">
        <v>5.0000000000000001E-3</v>
      </c>
      <c r="E868" s="5">
        <v>3.060278207109737E-2</v>
      </c>
      <c r="F868" s="2" t="s">
        <v>1721</v>
      </c>
      <c r="G868" s="2" t="s">
        <v>1722</v>
      </c>
      <c r="H868" s="2" t="s">
        <v>2683</v>
      </c>
      <c r="I868" s="2" t="s">
        <v>2686</v>
      </c>
      <c r="J868" s="2">
        <v>0</v>
      </c>
      <c r="K868" s="2">
        <v>0</v>
      </c>
      <c r="L868" s="2">
        <v>0</v>
      </c>
      <c r="M868" s="5">
        <v>1</v>
      </c>
      <c r="N868" s="2">
        <v>0</v>
      </c>
      <c r="O868" s="2">
        <v>0</v>
      </c>
      <c r="P868" s="2">
        <v>0</v>
      </c>
      <c r="Q868" s="5">
        <v>1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</row>
    <row r="869" spans="1:28" ht="45" x14ac:dyDescent="0.25">
      <c r="A869" s="2">
        <v>868</v>
      </c>
      <c r="B869" s="5">
        <v>0.1414893617021277</v>
      </c>
      <c r="C869" s="5">
        <v>1.204819277108434E-2</v>
      </c>
      <c r="D869" s="5">
        <v>1E-3</v>
      </c>
      <c r="E869" s="5">
        <v>4.9613601236476047E-2</v>
      </c>
      <c r="F869" s="2" t="s">
        <v>1723</v>
      </c>
      <c r="G869" s="2" t="s">
        <v>1724</v>
      </c>
      <c r="H869" s="2" t="s">
        <v>2683</v>
      </c>
      <c r="I869" s="2" t="s">
        <v>2686</v>
      </c>
      <c r="J869" s="2">
        <v>0</v>
      </c>
      <c r="K869" s="2">
        <v>0</v>
      </c>
      <c r="L869" s="2">
        <v>0</v>
      </c>
      <c r="M869" s="5">
        <v>1</v>
      </c>
      <c r="N869" s="2">
        <v>0</v>
      </c>
      <c r="O869" s="2">
        <v>0</v>
      </c>
      <c r="P869" s="2">
        <v>0</v>
      </c>
      <c r="Q869" s="5">
        <v>1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</row>
    <row r="870" spans="1:28" ht="75" x14ac:dyDescent="0.25">
      <c r="A870" s="2">
        <v>869</v>
      </c>
      <c r="B870" s="5">
        <v>6.2765957446808518E-2</v>
      </c>
      <c r="C870" s="5">
        <v>6.024096385542169E-3</v>
      </c>
      <c r="D870" s="5">
        <v>4.0000000000000001E-3</v>
      </c>
      <c r="E870" s="5">
        <v>2.3338485316846989E-2</v>
      </c>
      <c r="F870" s="2" t="s">
        <v>1725</v>
      </c>
      <c r="G870" s="2" t="s">
        <v>1726</v>
      </c>
      <c r="H870" s="2" t="s">
        <v>2683</v>
      </c>
      <c r="I870" s="2" t="s">
        <v>2686</v>
      </c>
      <c r="J870" s="2">
        <v>0</v>
      </c>
      <c r="K870" s="2">
        <v>0</v>
      </c>
      <c r="L870" s="2">
        <v>0</v>
      </c>
      <c r="M870" s="5">
        <v>1</v>
      </c>
      <c r="N870" s="2">
        <v>0</v>
      </c>
      <c r="O870" s="2">
        <v>0</v>
      </c>
      <c r="P870" s="2">
        <v>0</v>
      </c>
      <c r="Q870" s="5">
        <v>1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</row>
    <row r="871" spans="1:28" ht="45" x14ac:dyDescent="0.25">
      <c r="A871" s="2">
        <v>870</v>
      </c>
      <c r="B871" s="5">
        <v>5.5319148936170223E-2</v>
      </c>
      <c r="C871" s="5">
        <v>8.4337349397590362E-3</v>
      </c>
      <c r="D871" s="2">
        <v>0</v>
      </c>
      <c r="E871" s="5">
        <v>1.9010819165378671E-2</v>
      </c>
      <c r="F871" s="2" t="s">
        <v>1727</v>
      </c>
      <c r="G871" s="2" t="s">
        <v>1728</v>
      </c>
      <c r="H871" s="2" t="s">
        <v>2683</v>
      </c>
      <c r="I871" s="2" t="s">
        <v>2686</v>
      </c>
      <c r="J871" s="2">
        <v>0</v>
      </c>
      <c r="K871" s="2">
        <v>0</v>
      </c>
      <c r="L871" s="2">
        <v>0</v>
      </c>
      <c r="M871" s="5">
        <v>1</v>
      </c>
      <c r="N871" s="2">
        <v>0</v>
      </c>
      <c r="O871" s="2">
        <v>0</v>
      </c>
      <c r="P871" s="2">
        <v>0</v>
      </c>
      <c r="Q871" s="5">
        <v>1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</row>
    <row r="872" spans="1:28" ht="60" x14ac:dyDescent="0.25">
      <c r="A872" s="2">
        <v>871</v>
      </c>
      <c r="B872" s="5">
        <v>6.702127659574468E-2</v>
      </c>
      <c r="C872" s="5">
        <v>7.2289156626506026E-3</v>
      </c>
      <c r="D872" s="5">
        <v>6.0000000000000001E-3</v>
      </c>
      <c r="E872" s="5">
        <v>2.41112828438949E-2</v>
      </c>
      <c r="F872" s="2" t="s">
        <v>1729</v>
      </c>
      <c r="G872" s="2" t="s">
        <v>1730</v>
      </c>
      <c r="H872" s="2" t="s">
        <v>2683</v>
      </c>
      <c r="I872" s="2" t="s">
        <v>2682</v>
      </c>
      <c r="J872" s="2">
        <v>0</v>
      </c>
      <c r="K872" s="2">
        <v>0</v>
      </c>
      <c r="L872" s="2">
        <v>0</v>
      </c>
      <c r="M872" s="5">
        <v>1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5">
        <v>1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</row>
    <row r="873" spans="1:28" ht="30" x14ac:dyDescent="0.25">
      <c r="A873" s="2">
        <v>872</v>
      </c>
      <c r="B873" s="5">
        <v>0.76595744680851063</v>
      </c>
      <c r="C873" s="5">
        <v>7.2289156626506026E-3</v>
      </c>
      <c r="D873" s="5">
        <v>0.81</v>
      </c>
      <c r="E873" s="5">
        <v>6.1823802163833079E-4</v>
      </c>
      <c r="F873" s="2" t="s">
        <v>1731</v>
      </c>
      <c r="G873" s="2" t="s">
        <v>1732</v>
      </c>
      <c r="H873" s="2" t="s">
        <v>2683</v>
      </c>
      <c r="I873" s="2" t="s">
        <v>2682</v>
      </c>
      <c r="J873" s="2">
        <v>0</v>
      </c>
      <c r="K873" s="2">
        <v>0</v>
      </c>
      <c r="L873" s="2">
        <v>0</v>
      </c>
      <c r="M873" s="5">
        <v>1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5">
        <v>1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</row>
    <row r="874" spans="1:28" ht="30" x14ac:dyDescent="0.25">
      <c r="A874" s="2">
        <v>873</v>
      </c>
      <c r="B874" s="5">
        <v>0.1531914893617021</v>
      </c>
      <c r="C874" s="5">
        <v>4.2168674698795178E-2</v>
      </c>
      <c r="D874" s="5">
        <v>1.2E-2</v>
      </c>
      <c r="E874" s="5">
        <v>4.605873261205564E-2</v>
      </c>
      <c r="F874" s="2" t="s">
        <v>1733</v>
      </c>
      <c r="G874" s="2" t="s">
        <v>1734</v>
      </c>
      <c r="H874" s="2" t="s">
        <v>2684</v>
      </c>
      <c r="I874" s="2" t="s">
        <v>2682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5">
        <v>1</v>
      </c>
      <c r="Q874" s="2">
        <v>0</v>
      </c>
      <c r="R874" s="2">
        <v>0</v>
      </c>
      <c r="S874" s="2">
        <v>0</v>
      </c>
      <c r="T874" s="2">
        <v>0</v>
      </c>
      <c r="U874" s="5">
        <v>1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</row>
    <row r="875" spans="1:28" ht="45" x14ac:dyDescent="0.25">
      <c r="A875" s="2">
        <v>874</v>
      </c>
      <c r="B875" s="5">
        <v>0.23085106382978721</v>
      </c>
      <c r="C875" s="5">
        <v>3.012048192771084E-2</v>
      </c>
      <c r="D875" s="5">
        <v>0.01</v>
      </c>
      <c r="E875" s="5">
        <v>7.666151468315302E-2</v>
      </c>
      <c r="F875" s="2" t="s">
        <v>1735</v>
      </c>
      <c r="G875" s="2" t="s">
        <v>1736</v>
      </c>
      <c r="H875" s="2" t="s">
        <v>2684</v>
      </c>
      <c r="I875" s="2" t="s">
        <v>2682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5">
        <v>1</v>
      </c>
      <c r="Q875" s="2">
        <v>0</v>
      </c>
      <c r="R875" s="2">
        <v>0</v>
      </c>
      <c r="S875" s="2">
        <v>0</v>
      </c>
      <c r="T875" s="2">
        <v>0</v>
      </c>
      <c r="U875" s="5">
        <v>1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ht="45" x14ac:dyDescent="0.25">
      <c r="A876" s="2">
        <v>875</v>
      </c>
      <c r="B876" s="5">
        <v>0.1106382978723404</v>
      </c>
      <c r="C876" s="5">
        <v>1.445783132530121E-2</v>
      </c>
      <c r="D876" s="5">
        <v>5.0000000000000001E-3</v>
      </c>
      <c r="E876" s="5">
        <v>3.6630602782071087E-2</v>
      </c>
      <c r="F876" s="2" t="s">
        <v>1737</v>
      </c>
      <c r="G876" s="2" t="s">
        <v>1736</v>
      </c>
      <c r="H876" s="2" t="s">
        <v>2684</v>
      </c>
      <c r="I876" s="2" t="s">
        <v>2682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5">
        <v>1</v>
      </c>
      <c r="Q876" s="2">
        <v>0</v>
      </c>
      <c r="R876" s="2">
        <v>0</v>
      </c>
      <c r="S876" s="2">
        <v>0</v>
      </c>
      <c r="T876" s="2">
        <v>0</v>
      </c>
      <c r="U876" s="5">
        <v>1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</row>
    <row r="877" spans="1:28" ht="45" x14ac:dyDescent="0.25">
      <c r="A877" s="2">
        <v>876</v>
      </c>
      <c r="B877" s="5">
        <v>0.28223404255319151</v>
      </c>
      <c r="C877" s="5">
        <v>5.6626506024096392E-2</v>
      </c>
      <c r="D877" s="5">
        <v>5.5E-2</v>
      </c>
      <c r="E877" s="5">
        <v>7.6197836166924257E-2</v>
      </c>
      <c r="F877" s="2" t="s">
        <v>1738</v>
      </c>
      <c r="G877" s="2" t="s">
        <v>1739</v>
      </c>
      <c r="H877" s="2" t="s">
        <v>2681</v>
      </c>
      <c r="I877" s="2" t="s">
        <v>2691</v>
      </c>
      <c r="J877" s="2">
        <v>0</v>
      </c>
      <c r="K877" s="2">
        <v>0</v>
      </c>
      <c r="L877" s="2">
        <v>0</v>
      </c>
      <c r="M877" s="2">
        <v>0</v>
      </c>
      <c r="N877" s="5">
        <v>1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5">
        <v>1</v>
      </c>
      <c r="Z877" s="2">
        <v>0</v>
      </c>
      <c r="AA877" s="2">
        <v>0</v>
      </c>
      <c r="AB877" s="2">
        <v>0</v>
      </c>
    </row>
    <row r="878" spans="1:28" ht="45" x14ac:dyDescent="0.25">
      <c r="A878" s="2">
        <v>877</v>
      </c>
      <c r="B878" s="5">
        <v>0.1627659574468085</v>
      </c>
      <c r="C878" s="5">
        <v>5.4216867469879519E-2</v>
      </c>
      <c r="D878" s="5">
        <v>4.2000000000000003E-2</v>
      </c>
      <c r="E878" s="5">
        <v>3.7557959814528592E-2</v>
      </c>
      <c r="F878" s="2" t="s">
        <v>1740</v>
      </c>
      <c r="G878" s="2" t="s">
        <v>1741</v>
      </c>
      <c r="H878" s="2" t="s">
        <v>2681</v>
      </c>
      <c r="I878" s="2" t="s">
        <v>2691</v>
      </c>
      <c r="J878" s="2">
        <v>0</v>
      </c>
      <c r="K878" s="2">
        <v>0</v>
      </c>
      <c r="L878" s="2">
        <v>0</v>
      </c>
      <c r="M878" s="2">
        <v>0</v>
      </c>
      <c r="N878" s="5">
        <v>1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5">
        <v>1</v>
      </c>
      <c r="Z878" s="2">
        <v>0</v>
      </c>
      <c r="AA878" s="2">
        <v>0</v>
      </c>
      <c r="AB878" s="2">
        <v>0</v>
      </c>
    </row>
    <row r="879" spans="1:28" ht="45" x14ac:dyDescent="0.25">
      <c r="A879" s="2">
        <v>878</v>
      </c>
      <c r="B879" s="5">
        <v>0.29574468085106381</v>
      </c>
      <c r="C879" s="5">
        <v>6.1445783132530123E-2</v>
      </c>
      <c r="D879" s="5">
        <v>8.5999999999999993E-2</v>
      </c>
      <c r="E879" s="5">
        <v>6.9551777434312206E-2</v>
      </c>
      <c r="F879" s="2" t="s">
        <v>1742</v>
      </c>
      <c r="G879" s="2" t="s">
        <v>1743</v>
      </c>
      <c r="H879" s="2" t="s">
        <v>2683</v>
      </c>
      <c r="I879" s="2" t="s">
        <v>2691</v>
      </c>
      <c r="J879" s="2">
        <v>0</v>
      </c>
      <c r="K879" s="2">
        <v>0</v>
      </c>
      <c r="L879" s="2">
        <v>0</v>
      </c>
      <c r="M879" s="5">
        <v>1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5">
        <v>1</v>
      </c>
      <c r="Z879" s="2">
        <v>0</v>
      </c>
      <c r="AA879" s="2">
        <v>0</v>
      </c>
      <c r="AB879" s="2">
        <v>0</v>
      </c>
    </row>
    <row r="880" spans="1:28" ht="30" x14ac:dyDescent="0.25">
      <c r="A880" s="2">
        <v>879</v>
      </c>
      <c r="B880" s="5">
        <v>0.21276595744680851</v>
      </c>
      <c r="C880" s="5">
        <v>0.1072289156626506</v>
      </c>
      <c r="D880" s="5">
        <v>5.0999999999999997E-2</v>
      </c>
      <c r="E880" s="5">
        <v>4.5595054095826891E-2</v>
      </c>
      <c r="F880" s="2" t="s">
        <v>1744</v>
      </c>
      <c r="G880" s="2" t="s">
        <v>1745</v>
      </c>
      <c r="H880" s="2" t="s">
        <v>2696</v>
      </c>
      <c r="I880" s="2" t="s">
        <v>2698</v>
      </c>
      <c r="J880" s="2">
        <v>0</v>
      </c>
      <c r="K880" s="5">
        <v>1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5">
        <v>1</v>
      </c>
      <c r="AB880" s="2">
        <v>0</v>
      </c>
    </row>
    <row r="881" spans="1:28" ht="45" x14ac:dyDescent="0.25">
      <c r="A881" s="2">
        <v>880</v>
      </c>
      <c r="B881" s="5">
        <v>0.39255319148936169</v>
      </c>
      <c r="C881" s="5">
        <v>2.5301204819277109E-2</v>
      </c>
      <c r="D881" s="5">
        <v>7.0000000000000007E-2</v>
      </c>
      <c r="E881" s="5">
        <v>0.1145285935085008</v>
      </c>
      <c r="F881" s="2" t="s">
        <v>1746</v>
      </c>
      <c r="G881" s="2" t="s">
        <v>1747</v>
      </c>
      <c r="H881" s="2" t="s">
        <v>2683</v>
      </c>
      <c r="I881" s="2" t="s">
        <v>2691</v>
      </c>
      <c r="J881" s="2">
        <v>0</v>
      </c>
      <c r="K881" s="2">
        <v>0</v>
      </c>
      <c r="L881" s="2">
        <v>0</v>
      </c>
      <c r="M881" s="5">
        <v>1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5">
        <v>1</v>
      </c>
      <c r="Z881" s="2">
        <v>0</v>
      </c>
      <c r="AA881" s="2">
        <v>0</v>
      </c>
      <c r="AB881" s="2">
        <v>0</v>
      </c>
    </row>
    <row r="882" spans="1:28" ht="45" x14ac:dyDescent="0.25">
      <c r="A882" s="2">
        <v>881</v>
      </c>
      <c r="B882" s="5">
        <v>9.5744680851063829E-2</v>
      </c>
      <c r="C882" s="5">
        <v>1.445783132530121E-2</v>
      </c>
      <c r="D882" s="5">
        <v>1E-3</v>
      </c>
      <c r="E882" s="5">
        <v>3.2612055641421951E-2</v>
      </c>
      <c r="F882" s="2" t="s">
        <v>1748</v>
      </c>
      <c r="G882" s="2" t="s">
        <v>1749</v>
      </c>
      <c r="H882" s="2" t="s">
        <v>2683</v>
      </c>
      <c r="I882" s="2" t="s">
        <v>2682</v>
      </c>
      <c r="J882" s="2">
        <v>0</v>
      </c>
      <c r="K882" s="2">
        <v>0</v>
      </c>
      <c r="L882" s="2">
        <v>0</v>
      </c>
      <c r="M882" s="5">
        <v>1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5">
        <v>1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</row>
    <row r="883" spans="1:28" ht="30" x14ac:dyDescent="0.25">
      <c r="A883" s="2">
        <v>882</v>
      </c>
      <c r="B883" s="5">
        <v>0.29361702127659572</v>
      </c>
      <c r="C883" s="2">
        <v>0</v>
      </c>
      <c r="D883" s="5">
        <v>1E-3</v>
      </c>
      <c r="E883" s="5">
        <v>0.1097372488408037</v>
      </c>
      <c r="F883" s="2" t="s">
        <v>1750</v>
      </c>
      <c r="G883" s="2" t="s">
        <v>1751</v>
      </c>
      <c r="H883" s="2" t="s">
        <v>2697</v>
      </c>
      <c r="I883" s="2" t="s">
        <v>2682</v>
      </c>
      <c r="J883" s="2">
        <v>0</v>
      </c>
      <c r="K883" s="2">
        <v>0</v>
      </c>
      <c r="L883" s="5">
        <v>1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5">
        <v>1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</row>
    <row r="884" spans="1:28" ht="45" x14ac:dyDescent="0.25">
      <c r="A884" s="2">
        <v>883</v>
      </c>
      <c r="B884" s="5">
        <v>7.0212765957446813E-2</v>
      </c>
      <c r="C884" s="5">
        <v>6.0240963855421693E-2</v>
      </c>
      <c r="D884" s="5">
        <v>6.9999999999999993E-3</v>
      </c>
      <c r="E884" s="5">
        <v>2.05564142194745E-2</v>
      </c>
      <c r="F884" s="2" t="s">
        <v>1752</v>
      </c>
      <c r="G884" s="2" t="s">
        <v>1753</v>
      </c>
      <c r="H884" s="2" t="s">
        <v>2688</v>
      </c>
      <c r="I884" s="2" t="s">
        <v>2687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5">
        <v>1</v>
      </c>
      <c r="P884" s="2">
        <v>0</v>
      </c>
      <c r="Q884" s="2">
        <v>0</v>
      </c>
      <c r="R884" s="2">
        <v>0</v>
      </c>
      <c r="S884" s="5">
        <v>1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</row>
    <row r="885" spans="1:28" ht="45" x14ac:dyDescent="0.25">
      <c r="A885" s="2">
        <v>884</v>
      </c>
      <c r="B885" s="5">
        <v>3.9361702127659583E-2</v>
      </c>
      <c r="C885" s="5">
        <v>7.2289156626506026E-3</v>
      </c>
      <c r="D885" s="5">
        <v>4.0000000000000001E-3</v>
      </c>
      <c r="E885" s="5">
        <v>1.205564142194745E-2</v>
      </c>
      <c r="F885" s="2" t="s">
        <v>1754</v>
      </c>
      <c r="G885" s="2" t="s">
        <v>1755</v>
      </c>
      <c r="H885" s="2" t="s">
        <v>2683</v>
      </c>
      <c r="I885" s="2" t="s">
        <v>2682</v>
      </c>
      <c r="J885" s="2">
        <v>0</v>
      </c>
      <c r="K885" s="2">
        <v>0</v>
      </c>
      <c r="L885" s="2">
        <v>0</v>
      </c>
      <c r="M885" s="5">
        <v>1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5">
        <v>1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</row>
    <row r="886" spans="1:28" ht="45" x14ac:dyDescent="0.25">
      <c r="A886" s="2">
        <v>885</v>
      </c>
      <c r="B886" s="5">
        <v>0.3425531914893617</v>
      </c>
      <c r="C886" s="5">
        <v>0.67228915662650601</v>
      </c>
      <c r="D886" s="5">
        <v>0.02</v>
      </c>
      <c r="E886" s="5">
        <v>3.5085007727975272E-2</v>
      </c>
      <c r="F886" s="2" t="s">
        <v>1756</v>
      </c>
      <c r="G886" s="2" t="s">
        <v>1757</v>
      </c>
      <c r="H886" s="2" t="s">
        <v>2688</v>
      </c>
      <c r="I886" s="2" t="s">
        <v>2689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5">
        <v>1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5">
        <v>1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</row>
    <row r="887" spans="1:28" ht="45" x14ac:dyDescent="0.25">
      <c r="A887" s="2">
        <v>886</v>
      </c>
      <c r="B887" s="5">
        <v>0.77127659574468088</v>
      </c>
      <c r="C887" s="5">
        <v>6.024096385542169E-3</v>
      </c>
      <c r="D887" s="5">
        <v>0.81599999999999995</v>
      </c>
      <c r="E887" s="5">
        <v>2.1638330757341581E-3</v>
      </c>
      <c r="F887" s="2" t="s">
        <v>1758</v>
      </c>
      <c r="G887" s="2" t="s">
        <v>1759</v>
      </c>
      <c r="H887" s="2" t="s">
        <v>2683</v>
      </c>
      <c r="I887" s="2" t="s">
        <v>2693</v>
      </c>
      <c r="J887" s="2">
        <v>0</v>
      </c>
      <c r="K887" s="2">
        <v>0</v>
      </c>
      <c r="L887" s="2">
        <v>0</v>
      </c>
      <c r="M887" s="5">
        <v>1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5">
        <v>1</v>
      </c>
      <c r="AA887" s="2">
        <v>0</v>
      </c>
      <c r="AB887" s="2">
        <v>0</v>
      </c>
    </row>
    <row r="888" spans="1:28" ht="45" x14ac:dyDescent="0.25">
      <c r="A888" s="2">
        <v>887</v>
      </c>
      <c r="B888" s="5">
        <v>6.9148936170212769E-2</v>
      </c>
      <c r="C888" s="5">
        <v>2.0481927710843371E-2</v>
      </c>
      <c r="D888" s="5">
        <v>2E-3</v>
      </c>
      <c r="E888" s="5">
        <v>2.4884080370942811E-2</v>
      </c>
      <c r="F888" s="2" t="s">
        <v>1760</v>
      </c>
      <c r="G888" s="2" t="s">
        <v>1761</v>
      </c>
      <c r="H888" s="2" t="s">
        <v>2683</v>
      </c>
      <c r="I888" s="2" t="s">
        <v>2682</v>
      </c>
      <c r="J888" s="2">
        <v>0</v>
      </c>
      <c r="K888" s="2">
        <v>0</v>
      </c>
      <c r="L888" s="2">
        <v>0</v>
      </c>
      <c r="M888" s="5">
        <v>1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5">
        <v>1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</row>
    <row r="889" spans="1:28" ht="45" x14ac:dyDescent="0.25">
      <c r="A889" s="2">
        <v>888</v>
      </c>
      <c r="B889" s="5">
        <v>0.3819148936170213</v>
      </c>
      <c r="C889" s="5">
        <v>0.13855421686746991</v>
      </c>
      <c r="D889" s="5">
        <v>6.8000000000000005E-2</v>
      </c>
      <c r="E889" s="5">
        <v>9.9536321483771256E-2</v>
      </c>
      <c r="F889" s="2" t="s">
        <v>1762</v>
      </c>
      <c r="G889" s="2" t="s">
        <v>1763</v>
      </c>
      <c r="H889" s="2" t="s">
        <v>2694</v>
      </c>
      <c r="I889" s="2" t="s">
        <v>2692</v>
      </c>
      <c r="J889" s="5">
        <v>1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5">
        <v>1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</row>
    <row r="890" spans="1:28" ht="45" x14ac:dyDescent="0.25">
      <c r="A890" s="2">
        <v>889</v>
      </c>
      <c r="B890" s="5">
        <v>9.3617021276595741E-2</v>
      </c>
      <c r="C890" s="5">
        <v>7.2289156626506026E-3</v>
      </c>
      <c r="D890" s="5">
        <v>3.3000000000000002E-2</v>
      </c>
      <c r="E890" s="5">
        <v>2.1638330757341579E-2</v>
      </c>
      <c r="F890" s="2" t="s">
        <v>1764</v>
      </c>
      <c r="G890" s="2" t="s">
        <v>1765</v>
      </c>
      <c r="H890" s="2" t="s">
        <v>2683</v>
      </c>
      <c r="I890" s="2" t="s">
        <v>2691</v>
      </c>
      <c r="J890" s="2">
        <v>0</v>
      </c>
      <c r="K890" s="2">
        <v>0</v>
      </c>
      <c r="L890" s="2">
        <v>0</v>
      </c>
      <c r="M890" s="5">
        <v>1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5">
        <v>1</v>
      </c>
      <c r="Z890" s="2">
        <v>0</v>
      </c>
      <c r="AA890" s="2">
        <v>0</v>
      </c>
      <c r="AB890" s="2">
        <v>0</v>
      </c>
    </row>
    <row r="891" spans="1:28" ht="45" x14ac:dyDescent="0.25">
      <c r="A891" s="2">
        <v>890</v>
      </c>
      <c r="B891" s="5">
        <v>7.5531914893617019E-2</v>
      </c>
      <c r="C891" s="5">
        <v>2.4096385542168681E-3</v>
      </c>
      <c r="D891" s="5">
        <v>8.0000000000000002E-3</v>
      </c>
      <c r="E891" s="5">
        <v>2.4574961360123649E-2</v>
      </c>
      <c r="F891" s="2" t="s">
        <v>1766</v>
      </c>
      <c r="G891" s="2" t="s">
        <v>1767</v>
      </c>
      <c r="H891" s="2" t="s">
        <v>2683</v>
      </c>
      <c r="I891" s="2" t="s">
        <v>2691</v>
      </c>
      <c r="J891" s="2">
        <v>0</v>
      </c>
      <c r="K891" s="2">
        <v>0</v>
      </c>
      <c r="L891" s="2">
        <v>0</v>
      </c>
      <c r="M891" s="5">
        <v>1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5">
        <v>1</v>
      </c>
      <c r="Z891" s="2">
        <v>0</v>
      </c>
      <c r="AA891" s="2">
        <v>0</v>
      </c>
      <c r="AB891" s="2">
        <v>0</v>
      </c>
    </row>
    <row r="892" spans="1:28" ht="45" x14ac:dyDescent="0.25">
      <c r="A892" s="2">
        <v>891</v>
      </c>
      <c r="B892" s="5">
        <v>0.36063829787234042</v>
      </c>
      <c r="C892" s="5">
        <v>0.1204819277108434</v>
      </c>
      <c r="D892" s="5">
        <v>1.7000000000000001E-2</v>
      </c>
      <c r="E892" s="5">
        <v>9.7372488408037083E-3</v>
      </c>
      <c r="F892" s="2" t="s">
        <v>1768</v>
      </c>
      <c r="G892" s="2" t="s">
        <v>1769</v>
      </c>
      <c r="H892" s="2" t="s">
        <v>2683</v>
      </c>
      <c r="I892" s="2" t="s">
        <v>2691</v>
      </c>
      <c r="J892" s="2">
        <v>0</v>
      </c>
      <c r="K892" s="2">
        <v>0</v>
      </c>
      <c r="L892" s="2">
        <v>0</v>
      </c>
      <c r="M892" s="5">
        <v>1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5">
        <v>1</v>
      </c>
      <c r="Z892" s="2">
        <v>0</v>
      </c>
      <c r="AA892" s="2">
        <v>0</v>
      </c>
      <c r="AB892" s="2">
        <v>0</v>
      </c>
    </row>
    <row r="893" spans="1:28" ht="30" x14ac:dyDescent="0.25">
      <c r="A893" s="2">
        <v>892</v>
      </c>
      <c r="B893" s="5">
        <v>0.1202127659574468</v>
      </c>
      <c r="C893" s="5">
        <v>3.6144578313253017E-2</v>
      </c>
      <c r="D893" s="5">
        <v>3.2000000000000001E-2</v>
      </c>
      <c r="E893" s="5">
        <v>2.7975270479134472E-2</v>
      </c>
      <c r="F893" s="2" t="s">
        <v>1770</v>
      </c>
      <c r="G893" s="2" t="s">
        <v>1771</v>
      </c>
      <c r="H893" s="2" t="s">
        <v>2683</v>
      </c>
      <c r="I893" s="2" t="s">
        <v>2691</v>
      </c>
      <c r="J893" s="2">
        <v>0</v>
      </c>
      <c r="K893" s="2">
        <v>0</v>
      </c>
      <c r="L893" s="2">
        <v>0</v>
      </c>
      <c r="M893" s="5">
        <v>1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5">
        <v>1</v>
      </c>
      <c r="Z893" s="2">
        <v>0</v>
      </c>
      <c r="AA893" s="2">
        <v>0</v>
      </c>
      <c r="AB893" s="2">
        <v>0</v>
      </c>
    </row>
    <row r="894" spans="1:28" ht="45" x14ac:dyDescent="0.25">
      <c r="A894" s="2">
        <v>893</v>
      </c>
      <c r="B894" s="5">
        <v>0.1085106382978723</v>
      </c>
      <c r="C894" s="5">
        <v>7.4698795180722893E-2</v>
      </c>
      <c r="D894" s="5">
        <v>3.9E-2</v>
      </c>
      <c r="E894" s="5">
        <v>1.6228748068006182E-2</v>
      </c>
      <c r="F894" s="2" t="s">
        <v>1772</v>
      </c>
      <c r="G894" s="2" t="s">
        <v>1773</v>
      </c>
      <c r="H894" s="2" t="s">
        <v>2683</v>
      </c>
      <c r="I894" s="2" t="s">
        <v>2691</v>
      </c>
      <c r="J894" s="2">
        <v>0</v>
      </c>
      <c r="K894" s="2">
        <v>0</v>
      </c>
      <c r="L894" s="2">
        <v>0</v>
      </c>
      <c r="M894" s="5">
        <v>1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5">
        <v>1</v>
      </c>
      <c r="Z894" s="2">
        <v>0</v>
      </c>
      <c r="AA894" s="2">
        <v>0</v>
      </c>
      <c r="AB894" s="2">
        <v>0</v>
      </c>
    </row>
    <row r="895" spans="1:28" ht="45" x14ac:dyDescent="0.25">
      <c r="A895" s="2">
        <v>894</v>
      </c>
      <c r="B895" s="5">
        <v>0.1212765957446809</v>
      </c>
      <c r="C895" s="5">
        <v>6.3855421686746988E-2</v>
      </c>
      <c r="D895" s="5">
        <v>0.03</v>
      </c>
      <c r="E895" s="5">
        <v>2.534775888717156E-2</v>
      </c>
      <c r="F895" s="2" t="s">
        <v>1774</v>
      </c>
      <c r="G895" s="2" t="s">
        <v>1775</v>
      </c>
      <c r="H895" s="2" t="s">
        <v>2683</v>
      </c>
      <c r="I895" s="2" t="s">
        <v>2691</v>
      </c>
      <c r="J895" s="2">
        <v>0</v>
      </c>
      <c r="K895" s="2">
        <v>0</v>
      </c>
      <c r="L895" s="2">
        <v>0</v>
      </c>
      <c r="M895" s="5">
        <v>1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5">
        <v>1</v>
      </c>
      <c r="Z895" s="2">
        <v>0</v>
      </c>
      <c r="AA895" s="2">
        <v>0</v>
      </c>
      <c r="AB895" s="2">
        <v>0</v>
      </c>
    </row>
    <row r="896" spans="1:28" ht="30" x14ac:dyDescent="0.25">
      <c r="A896" s="2">
        <v>895</v>
      </c>
      <c r="B896" s="5">
        <v>9.1489361702127667E-2</v>
      </c>
      <c r="C896" s="5">
        <v>7.2289156626506026E-3</v>
      </c>
      <c r="D896" s="5">
        <v>3.3000000000000002E-2</v>
      </c>
      <c r="E896" s="5">
        <v>2.1638330757341579E-2</v>
      </c>
      <c r="F896" s="2" t="s">
        <v>1776</v>
      </c>
      <c r="G896" s="2" t="s">
        <v>1777</v>
      </c>
      <c r="H896" s="2" t="s">
        <v>2683</v>
      </c>
      <c r="I896" s="2" t="s">
        <v>2691</v>
      </c>
      <c r="J896" s="2">
        <v>0</v>
      </c>
      <c r="K896" s="2">
        <v>0</v>
      </c>
      <c r="L896" s="2">
        <v>0</v>
      </c>
      <c r="M896" s="5">
        <v>1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5">
        <v>1</v>
      </c>
      <c r="Z896" s="2">
        <v>0</v>
      </c>
      <c r="AA896" s="2">
        <v>0</v>
      </c>
      <c r="AB896" s="2">
        <v>0</v>
      </c>
    </row>
    <row r="897" spans="1:28" ht="60" x14ac:dyDescent="0.25">
      <c r="A897" s="2">
        <v>896</v>
      </c>
      <c r="B897" s="5">
        <v>0.37553191489361698</v>
      </c>
      <c r="C897" s="5">
        <v>3.6144578313253009E-3</v>
      </c>
      <c r="D897" s="2">
        <v>0</v>
      </c>
      <c r="E897" s="5">
        <v>0.1360123647604328</v>
      </c>
      <c r="F897" s="2" t="s">
        <v>1778</v>
      </c>
      <c r="G897" s="2" t="s">
        <v>1779</v>
      </c>
      <c r="H897" s="2" t="s">
        <v>2683</v>
      </c>
      <c r="I897" s="2" t="s">
        <v>2691</v>
      </c>
      <c r="J897" s="2">
        <v>0</v>
      </c>
      <c r="K897" s="2">
        <v>0</v>
      </c>
      <c r="L897" s="2">
        <v>0</v>
      </c>
      <c r="M897" s="5">
        <v>1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5">
        <v>1</v>
      </c>
      <c r="Z897" s="2">
        <v>0</v>
      </c>
      <c r="AA897" s="2">
        <v>0</v>
      </c>
      <c r="AB897" s="2">
        <v>0</v>
      </c>
    </row>
    <row r="898" spans="1:28" ht="30" x14ac:dyDescent="0.25">
      <c r="A898" s="2">
        <v>897</v>
      </c>
      <c r="B898" s="5">
        <v>0.1085106382978723</v>
      </c>
      <c r="C898" s="5">
        <v>3.6144578313253017E-2</v>
      </c>
      <c r="D898" s="5">
        <v>2.1000000000000001E-2</v>
      </c>
      <c r="E898" s="5">
        <v>2.7511591962905719E-2</v>
      </c>
      <c r="F898" s="2" t="s">
        <v>1780</v>
      </c>
      <c r="G898" s="2" t="s">
        <v>1781</v>
      </c>
      <c r="H898" s="2" t="s">
        <v>2683</v>
      </c>
      <c r="I898" s="2" t="s">
        <v>2691</v>
      </c>
      <c r="J898" s="2">
        <v>0</v>
      </c>
      <c r="K898" s="2">
        <v>0</v>
      </c>
      <c r="L898" s="2">
        <v>0</v>
      </c>
      <c r="M898" s="5">
        <v>1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5">
        <v>1</v>
      </c>
      <c r="Z898" s="2">
        <v>0</v>
      </c>
      <c r="AA898" s="2">
        <v>0</v>
      </c>
      <c r="AB898" s="2">
        <v>0</v>
      </c>
    </row>
    <row r="899" spans="1:28" ht="30" x14ac:dyDescent="0.25">
      <c r="A899" s="2">
        <v>898</v>
      </c>
      <c r="B899" s="5">
        <v>0.49787234042553191</v>
      </c>
      <c r="C899" s="5">
        <v>9.1566265060240959E-2</v>
      </c>
      <c r="D899" s="5">
        <v>0.20399999999999999</v>
      </c>
      <c r="E899" s="5">
        <v>9.6445131375579599E-2</v>
      </c>
      <c r="F899" s="2" t="s">
        <v>1782</v>
      </c>
      <c r="G899" s="2" t="s">
        <v>1783</v>
      </c>
      <c r="H899" s="2" t="s">
        <v>2684</v>
      </c>
      <c r="I899" s="2" t="s">
        <v>2691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5">
        <v>1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5">
        <v>1</v>
      </c>
      <c r="Z899" s="2">
        <v>0</v>
      </c>
      <c r="AA899" s="2">
        <v>0</v>
      </c>
      <c r="AB899" s="2">
        <v>0</v>
      </c>
    </row>
    <row r="900" spans="1:28" ht="30" x14ac:dyDescent="0.25">
      <c r="A900" s="2">
        <v>899</v>
      </c>
      <c r="B900" s="5">
        <v>0.35851063829787227</v>
      </c>
      <c r="C900" s="5">
        <v>9.5180722891566275E-2</v>
      </c>
      <c r="D900" s="5">
        <v>0.11799999999999999</v>
      </c>
      <c r="E900" s="5">
        <v>7.7279752704791344E-2</v>
      </c>
      <c r="F900" s="2" t="s">
        <v>1784</v>
      </c>
      <c r="G900" s="2" t="s">
        <v>1785</v>
      </c>
      <c r="H900" s="2" t="s">
        <v>2683</v>
      </c>
      <c r="I900" s="2" t="s">
        <v>2691</v>
      </c>
      <c r="J900" s="2">
        <v>0</v>
      </c>
      <c r="K900" s="2">
        <v>0</v>
      </c>
      <c r="L900" s="2">
        <v>0</v>
      </c>
      <c r="M900" s="5">
        <v>1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5">
        <v>1</v>
      </c>
      <c r="Z900" s="2">
        <v>0</v>
      </c>
      <c r="AA900" s="2">
        <v>0</v>
      </c>
      <c r="AB900" s="2">
        <v>0</v>
      </c>
    </row>
    <row r="901" spans="1:28" ht="45" x14ac:dyDescent="0.25">
      <c r="A901" s="2">
        <v>900</v>
      </c>
      <c r="B901" s="5">
        <v>0.1117021276595745</v>
      </c>
      <c r="C901" s="5">
        <v>7.1084337349397592E-2</v>
      </c>
      <c r="D901" s="5">
        <v>4.9000000000000002E-2</v>
      </c>
      <c r="E901" s="5">
        <v>1.452859350850077E-2</v>
      </c>
      <c r="F901" s="2" t="s">
        <v>1786</v>
      </c>
      <c r="G901" s="2" t="s">
        <v>1787</v>
      </c>
      <c r="H901" s="2" t="s">
        <v>2683</v>
      </c>
      <c r="I901" s="2" t="s">
        <v>2691</v>
      </c>
      <c r="J901" s="2">
        <v>0</v>
      </c>
      <c r="K901" s="2">
        <v>0</v>
      </c>
      <c r="L901" s="2">
        <v>0</v>
      </c>
      <c r="M901" s="5">
        <v>1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5">
        <v>1</v>
      </c>
      <c r="Z901" s="2">
        <v>0</v>
      </c>
      <c r="AA901" s="2">
        <v>0</v>
      </c>
      <c r="AB901" s="2">
        <v>0</v>
      </c>
    </row>
    <row r="902" spans="1:28" ht="45" x14ac:dyDescent="0.25">
      <c r="A902" s="2">
        <v>901</v>
      </c>
      <c r="B902" s="5">
        <v>0.2021276595744681</v>
      </c>
      <c r="C902" s="5">
        <v>2.4096385542168681E-3</v>
      </c>
      <c r="D902" s="5">
        <v>4.0000000000000001E-3</v>
      </c>
      <c r="E902" s="5">
        <v>7.1870170015455953E-2</v>
      </c>
      <c r="F902" s="2" t="s">
        <v>1788</v>
      </c>
      <c r="G902" s="2" t="s">
        <v>1789</v>
      </c>
      <c r="H902" s="2" t="s">
        <v>2683</v>
      </c>
      <c r="I902" s="2" t="s">
        <v>2691</v>
      </c>
      <c r="J902" s="2">
        <v>0</v>
      </c>
      <c r="K902" s="2">
        <v>0</v>
      </c>
      <c r="L902" s="2">
        <v>0</v>
      </c>
      <c r="M902" s="5">
        <v>1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5">
        <v>1</v>
      </c>
      <c r="Z902" s="2">
        <v>0</v>
      </c>
      <c r="AA902" s="2">
        <v>0</v>
      </c>
      <c r="AB902" s="2">
        <v>0</v>
      </c>
    </row>
    <row r="903" spans="1:28" ht="30" x14ac:dyDescent="0.25">
      <c r="A903" s="2">
        <v>902</v>
      </c>
      <c r="B903" s="5">
        <v>0.95957446808510638</v>
      </c>
      <c r="C903" s="2">
        <v>0</v>
      </c>
      <c r="D903" s="5">
        <v>1</v>
      </c>
      <c r="E903" s="2">
        <v>0</v>
      </c>
      <c r="F903" s="2" t="s">
        <v>1790</v>
      </c>
      <c r="G903" s="2" t="s">
        <v>1791</v>
      </c>
      <c r="H903" s="2" t="s">
        <v>2697</v>
      </c>
      <c r="I903" s="2" t="s">
        <v>2699</v>
      </c>
      <c r="J903" s="2">
        <v>0</v>
      </c>
      <c r="K903" s="2">
        <v>0</v>
      </c>
      <c r="L903" s="5">
        <v>1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5">
        <v>1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</row>
    <row r="904" spans="1:28" ht="90" x14ac:dyDescent="0.25">
      <c r="A904" s="2">
        <v>903</v>
      </c>
      <c r="B904" s="5">
        <v>0.95957446808510638</v>
      </c>
      <c r="C904" s="2">
        <v>0</v>
      </c>
      <c r="D904" s="5">
        <v>1</v>
      </c>
      <c r="E904" s="2">
        <v>0</v>
      </c>
      <c r="F904" s="2" t="s">
        <v>1792</v>
      </c>
      <c r="G904" s="2" t="s">
        <v>1793</v>
      </c>
      <c r="H904" s="2" t="s">
        <v>2697</v>
      </c>
      <c r="I904" s="2" t="s">
        <v>2699</v>
      </c>
      <c r="J904" s="2">
        <v>0</v>
      </c>
      <c r="K904" s="2">
        <v>0</v>
      </c>
      <c r="L904" s="5">
        <v>1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5">
        <v>1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</row>
    <row r="905" spans="1:28" ht="30" x14ac:dyDescent="0.25">
      <c r="A905" s="2">
        <v>904</v>
      </c>
      <c r="B905" s="5">
        <v>0.95957446808510638</v>
      </c>
      <c r="C905" s="2">
        <v>0</v>
      </c>
      <c r="D905" s="5">
        <v>1</v>
      </c>
      <c r="E905" s="2">
        <v>0</v>
      </c>
      <c r="F905" s="2" t="s">
        <v>1794</v>
      </c>
      <c r="G905" s="2" t="s">
        <v>1795</v>
      </c>
      <c r="H905" s="2" t="s">
        <v>2697</v>
      </c>
      <c r="I905" s="2" t="s">
        <v>2699</v>
      </c>
      <c r="J905" s="2">
        <v>0</v>
      </c>
      <c r="K905" s="2">
        <v>0</v>
      </c>
      <c r="L905" s="5">
        <v>1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5">
        <v>1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</row>
    <row r="906" spans="1:28" ht="45" x14ac:dyDescent="0.25">
      <c r="A906" s="2">
        <v>905</v>
      </c>
      <c r="B906" s="5">
        <v>0.93936170212765957</v>
      </c>
      <c r="C906" s="2">
        <v>0</v>
      </c>
      <c r="D906" s="5">
        <v>0.99900000000000011</v>
      </c>
      <c r="E906" s="2">
        <v>0</v>
      </c>
      <c r="F906" s="2" t="s">
        <v>1796</v>
      </c>
      <c r="G906" s="2" t="s">
        <v>1797</v>
      </c>
      <c r="H906" s="2" t="s">
        <v>2697</v>
      </c>
      <c r="I906" s="2" t="s">
        <v>2699</v>
      </c>
      <c r="J906" s="2">
        <v>0</v>
      </c>
      <c r="K906" s="2">
        <v>0</v>
      </c>
      <c r="L906" s="5">
        <v>1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5">
        <v>1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</row>
    <row r="907" spans="1:28" ht="45" x14ac:dyDescent="0.25">
      <c r="A907" s="2">
        <v>906</v>
      </c>
      <c r="B907" s="5">
        <v>0.92553191489361708</v>
      </c>
      <c r="C907" s="5">
        <v>1.204819277108434E-2</v>
      </c>
      <c r="D907" s="5">
        <v>0.98</v>
      </c>
      <c r="E907" s="2">
        <v>0</v>
      </c>
      <c r="F907" s="2" t="s">
        <v>1798</v>
      </c>
      <c r="G907" s="2" t="s">
        <v>1799</v>
      </c>
      <c r="H907" s="2" t="s">
        <v>2697</v>
      </c>
      <c r="I907" s="2" t="s">
        <v>2686</v>
      </c>
      <c r="J907" s="2">
        <v>0</v>
      </c>
      <c r="K907" s="2">
        <v>0</v>
      </c>
      <c r="L907" s="5">
        <v>1</v>
      </c>
      <c r="M907" s="2">
        <v>0</v>
      </c>
      <c r="N907" s="2">
        <v>0</v>
      </c>
      <c r="O907" s="2">
        <v>0</v>
      </c>
      <c r="P907" s="2">
        <v>0</v>
      </c>
      <c r="Q907" s="5">
        <v>1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</row>
    <row r="908" spans="1:28" ht="45" x14ac:dyDescent="0.25">
      <c r="A908" s="2">
        <v>907</v>
      </c>
      <c r="B908" s="5">
        <v>0.95957446808510638</v>
      </c>
      <c r="C908" s="2">
        <v>0</v>
      </c>
      <c r="D908" s="5">
        <v>1</v>
      </c>
      <c r="E908" s="2">
        <v>0</v>
      </c>
      <c r="F908" s="2" t="s">
        <v>1800</v>
      </c>
      <c r="G908" s="2" t="s">
        <v>1801</v>
      </c>
      <c r="H908" s="2" t="s">
        <v>2697</v>
      </c>
      <c r="I908" s="2" t="s">
        <v>2686</v>
      </c>
      <c r="J908" s="2">
        <v>0</v>
      </c>
      <c r="K908" s="2">
        <v>0</v>
      </c>
      <c r="L908" s="5">
        <v>1</v>
      </c>
      <c r="M908" s="2">
        <v>0</v>
      </c>
      <c r="N908" s="2">
        <v>0</v>
      </c>
      <c r="O908" s="2">
        <v>0</v>
      </c>
      <c r="P908" s="2">
        <v>0</v>
      </c>
      <c r="Q908" s="5">
        <v>1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</row>
    <row r="909" spans="1:28" ht="30" x14ac:dyDescent="0.25">
      <c r="A909" s="2">
        <v>908</v>
      </c>
      <c r="B909" s="5">
        <v>0.95957446808510638</v>
      </c>
      <c r="C909" s="2">
        <v>0</v>
      </c>
      <c r="D909" s="5">
        <v>1</v>
      </c>
      <c r="E909" s="2">
        <v>0</v>
      </c>
      <c r="F909" s="2" t="s">
        <v>1802</v>
      </c>
      <c r="G909" s="2" t="s">
        <v>1803</v>
      </c>
      <c r="H909" s="2" t="s">
        <v>2697</v>
      </c>
      <c r="I909" s="2" t="s">
        <v>2699</v>
      </c>
      <c r="J909" s="2">
        <v>0</v>
      </c>
      <c r="K909" s="2">
        <v>0</v>
      </c>
      <c r="L909" s="5">
        <v>1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5">
        <v>1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</row>
    <row r="910" spans="1:28" ht="30" x14ac:dyDescent="0.25">
      <c r="A910" s="2">
        <v>909</v>
      </c>
      <c r="B910" s="5">
        <v>0.94042553191489364</v>
      </c>
      <c r="C910" s="2">
        <v>0</v>
      </c>
      <c r="D910" s="5">
        <v>1</v>
      </c>
      <c r="E910" s="2">
        <v>0</v>
      </c>
      <c r="F910" s="2" t="s">
        <v>1804</v>
      </c>
      <c r="G910" s="2" t="s">
        <v>1805</v>
      </c>
      <c r="H910" s="2" t="s">
        <v>2697</v>
      </c>
      <c r="I910" s="2" t="s">
        <v>2699</v>
      </c>
      <c r="J910" s="2">
        <v>0</v>
      </c>
      <c r="K910" s="2">
        <v>0</v>
      </c>
      <c r="L910" s="5">
        <v>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5">
        <v>1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</row>
    <row r="911" spans="1:28" ht="45" x14ac:dyDescent="0.25">
      <c r="A911" s="2">
        <v>910</v>
      </c>
      <c r="B911" s="5">
        <v>0.36702127659574468</v>
      </c>
      <c r="C911" s="5">
        <v>0.10240963855421691</v>
      </c>
      <c r="D911" s="5">
        <v>2.1999999999999999E-2</v>
      </c>
      <c r="E911" s="5">
        <v>0.12055641421947449</v>
      </c>
      <c r="F911" s="2" t="s">
        <v>1806</v>
      </c>
      <c r="G911" s="2" t="s">
        <v>1807</v>
      </c>
      <c r="H911" s="2" t="s">
        <v>2683</v>
      </c>
      <c r="I911" s="2" t="s">
        <v>2691</v>
      </c>
      <c r="J911" s="2">
        <v>0</v>
      </c>
      <c r="K911" s="2">
        <v>0</v>
      </c>
      <c r="L911" s="2">
        <v>0</v>
      </c>
      <c r="M911" s="5">
        <v>1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5">
        <v>1</v>
      </c>
      <c r="Z911" s="2">
        <v>0</v>
      </c>
      <c r="AA911" s="2">
        <v>0</v>
      </c>
      <c r="AB911" s="2">
        <v>0</v>
      </c>
    </row>
    <row r="912" spans="1:28" ht="30" x14ac:dyDescent="0.25">
      <c r="A912" s="2">
        <v>911</v>
      </c>
      <c r="B912" s="5">
        <v>0.23191489361702131</v>
      </c>
      <c r="C912" s="5">
        <v>9.6385542168674707E-3</v>
      </c>
      <c r="D912" s="5">
        <v>0.16</v>
      </c>
      <c r="E912" s="5">
        <v>7.7588871715610519E-2</v>
      </c>
      <c r="F912" s="2" t="s">
        <v>1808</v>
      </c>
      <c r="G912" s="2" t="s">
        <v>1809</v>
      </c>
      <c r="H912" s="2" t="s">
        <v>2683</v>
      </c>
      <c r="I912" s="2" t="s">
        <v>2691</v>
      </c>
      <c r="J912" s="2">
        <v>0</v>
      </c>
      <c r="K912" s="2">
        <v>0</v>
      </c>
      <c r="L912" s="2">
        <v>0</v>
      </c>
      <c r="M912" s="5">
        <v>1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5">
        <v>1</v>
      </c>
      <c r="Z912" s="2">
        <v>0</v>
      </c>
      <c r="AA912" s="2">
        <v>0</v>
      </c>
      <c r="AB912" s="2">
        <v>0</v>
      </c>
    </row>
    <row r="913" spans="1:28" ht="45" x14ac:dyDescent="0.25">
      <c r="A913" s="2">
        <v>912</v>
      </c>
      <c r="B913" s="5">
        <v>0.13617021276595739</v>
      </c>
      <c r="C913" s="5">
        <v>9.6385542168674704E-2</v>
      </c>
      <c r="D913" s="5">
        <v>0.1</v>
      </c>
      <c r="E913" s="5">
        <v>2.0092735703245751E-3</v>
      </c>
      <c r="F913" s="2" t="s">
        <v>1810</v>
      </c>
      <c r="G913" s="2" t="s">
        <v>1811</v>
      </c>
      <c r="H913" s="2" t="s">
        <v>2683</v>
      </c>
      <c r="I913" s="2" t="s">
        <v>2687</v>
      </c>
      <c r="J913" s="2">
        <v>0</v>
      </c>
      <c r="K913" s="2">
        <v>0</v>
      </c>
      <c r="L913" s="2">
        <v>0</v>
      </c>
      <c r="M913" s="5">
        <v>1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5">
        <v>1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</row>
    <row r="914" spans="1:28" ht="75" x14ac:dyDescent="0.25">
      <c r="A914" s="2">
        <v>913</v>
      </c>
      <c r="B914" s="5">
        <v>3.5106382978723413E-2</v>
      </c>
      <c r="C914" s="5">
        <v>2.7710843373493971E-2</v>
      </c>
      <c r="D914" s="5">
        <v>5.0000000000000001E-3</v>
      </c>
      <c r="E914" s="5">
        <v>7.2642967542503869E-3</v>
      </c>
      <c r="F914" s="2" t="s">
        <v>1812</v>
      </c>
      <c r="G914" s="2" t="s">
        <v>1813</v>
      </c>
      <c r="H914" s="2" t="s">
        <v>2684</v>
      </c>
      <c r="I914" s="2" t="s">
        <v>2685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5">
        <v>1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5">
        <v>1</v>
      </c>
      <c r="Y914" s="2">
        <v>0</v>
      </c>
      <c r="Z914" s="2">
        <v>0</v>
      </c>
      <c r="AA914" s="2">
        <v>0</v>
      </c>
      <c r="AB914" s="2">
        <v>0</v>
      </c>
    </row>
    <row r="915" spans="1:28" ht="45" x14ac:dyDescent="0.25">
      <c r="A915" s="2">
        <v>914</v>
      </c>
      <c r="B915" s="5">
        <v>0.35106382978723399</v>
      </c>
      <c r="C915" s="5">
        <v>0.21445783132530119</v>
      </c>
      <c r="D915" s="5">
        <v>0.23400000000000001</v>
      </c>
      <c r="E915" s="5">
        <v>1.8701700154559509E-2</v>
      </c>
      <c r="F915" s="2" t="s">
        <v>1814</v>
      </c>
      <c r="G915" s="2" t="s">
        <v>1815</v>
      </c>
      <c r="H915" s="2" t="s">
        <v>2681</v>
      </c>
      <c r="I915" s="2" t="s">
        <v>2682</v>
      </c>
      <c r="J915" s="2">
        <v>0</v>
      </c>
      <c r="K915" s="2">
        <v>0</v>
      </c>
      <c r="L915" s="2">
        <v>0</v>
      </c>
      <c r="M915" s="2">
        <v>0</v>
      </c>
      <c r="N915" s="5">
        <v>1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5">
        <v>1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</row>
    <row r="916" spans="1:28" ht="30" x14ac:dyDescent="0.25">
      <c r="A916" s="2">
        <v>915</v>
      </c>
      <c r="B916" s="5">
        <v>0.50851063829787235</v>
      </c>
      <c r="C916" s="5">
        <v>0.4614457831325301</v>
      </c>
      <c r="D916" s="5">
        <v>0.33900000000000002</v>
      </c>
      <c r="E916" s="5">
        <v>7.8825347758887162E-3</v>
      </c>
      <c r="F916" s="2" t="s">
        <v>1816</v>
      </c>
      <c r="G916" s="2" t="s">
        <v>351</v>
      </c>
      <c r="H916" s="2" t="s">
        <v>2688</v>
      </c>
      <c r="I916" s="2" t="s">
        <v>2689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5">
        <v>1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5">
        <v>1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</row>
    <row r="917" spans="1:28" ht="45" x14ac:dyDescent="0.25">
      <c r="A917" s="2">
        <v>916</v>
      </c>
      <c r="B917" s="5">
        <v>5.5319148936170223E-2</v>
      </c>
      <c r="C917" s="5">
        <v>4.8192771084337354E-3</v>
      </c>
      <c r="D917" s="5">
        <v>2E-3</v>
      </c>
      <c r="E917" s="5">
        <v>2.117465224111283E-2</v>
      </c>
      <c r="F917" s="2" t="s">
        <v>1817</v>
      </c>
      <c r="G917" s="2" t="s">
        <v>1818</v>
      </c>
      <c r="H917" s="2" t="s">
        <v>2683</v>
      </c>
      <c r="I917" s="2" t="s">
        <v>2686</v>
      </c>
      <c r="J917" s="2">
        <v>0</v>
      </c>
      <c r="K917" s="2">
        <v>0</v>
      </c>
      <c r="L917" s="2">
        <v>0</v>
      </c>
      <c r="M917" s="5">
        <v>1</v>
      </c>
      <c r="N917" s="2">
        <v>0</v>
      </c>
      <c r="O917" s="2">
        <v>0</v>
      </c>
      <c r="P917" s="2">
        <v>0</v>
      </c>
      <c r="Q917" s="5">
        <v>1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</row>
    <row r="918" spans="1:28" ht="45" x14ac:dyDescent="0.25">
      <c r="A918" s="2">
        <v>917</v>
      </c>
      <c r="B918" s="5">
        <v>6.1702127659574467E-2</v>
      </c>
      <c r="C918" s="5">
        <v>8.4337349397590362E-3</v>
      </c>
      <c r="D918" s="5">
        <v>2E-3</v>
      </c>
      <c r="E918" s="5">
        <v>2.05564142194745E-2</v>
      </c>
      <c r="F918" s="2" t="s">
        <v>1819</v>
      </c>
      <c r="G918" s="2" t="s">
        <v>1820</v>
      </c>
      <c r="H918" s="2" t="s">
        <v>2683</v>
      </c>
      <c r="I918" s="2" t="s">
        <v>2686</v>
      </c>
      <c r="J918" s="2">
        <v>0</v>
      </c>
      <c r="K918" s="2">
        <v>0</v>
      </c>
      <c r="L918" s="2">
        <v>0</v>
      </c>
      <c r="M918" s="5">
        <v>1</v>
      </c>
      <c r="N918" s="2">
        <v>0</v>
      </c>
      <c r="O918" s="2">
        <v>0</v>
      </c>
      <c r="P918" s="2">
        <v>0</v>
      </c>
      <c r="Q918" s="5">
        <v>1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</row>
    <row r="919" spans="1:28" ht="45" x14ac:dyDescent="0.25">
      <c r="A919" s="2">
        <v>918</v>
      </c>
      <c r="B919" s="5">
        <v>0.175531914893617</v>
      </c>
      <c r="C919" s="5">
        <v>5.0602409638554217E-2</v>
      </c>
      <c r="D919" s="5">
        <v>1E-3</v>
      </c>
      <c r="E919" s="5">
        <v>5.6723338485316847E-2</v>
      </c>
      <c r="F919" s="2" t="s">
        <v>1821</v>
      </c>
      <c r="G919" s="2" t="s">
        <v>1822</v>
      </c>
      <c r="H919" s="2" t="s">
        <v>2683</v>
      </c>
      <c r="I919" s="2" t="s">
        <v>2690</v>
      </c>
      <c r="J919" s="2">
        <v>0</v>
      </c>
      <c r="K919" s="2">
        <v>0</v>
      </c>
      <c r="L919" s="2">
        <v>0</v>
      </c>
      <c r="M919" s="5">
        <v>1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5">
        <v>1</v>
      </c>
    </row>
    <row r="920" spans="1:28" ht="45" x14ac:dyDescent="0.25">
      <c r="A920" s="2">
        <v>919</v>
      </c>
      <c r="B920" s="5">
        <v>0.11276595744680851</v>
      </c>
      <c r="C920" s="5">
        <v>1.445783132530121E-2</v>
      </c>
      <c r="D920" s="5">
        <v>3.0000000000000001E-3</v>
      </c>
      <c r="E920" s="5">
        <v>4.2658423493044821E-2</v>
      </c>
      <c r="F920" s="2" t="s">
        <v>1823</v>
      </c>
      <c r="G920" s="2" t="s">
        <v>1824</v>
      </c>
      <c r="H920" s="2" t="s">
        <v>2683</v>
      </c>
      <c r="I920" s="2" t="s">
        <v>2682</v>
      </c>
      <c r="J920" s="2">
        <v>0</v>
      </c>
      <c r="K920" s="2">
        <v>0</v>
      </c>
      <c r="L920" s="2">
        <v>0</v>
      </c>
      <c r="M920" s="5">
        <v>1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5">
        <v>1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</row>
    <row r="921" spans="1:28" ht="45" x14ac:dyDescent="0.25">
      <c r="A921" s="2">
        <v>920</v>
      </c>
      <c r="B921" s="5">
        <v>5.4255319148936172E-2</v>
      </c>
      <c r="C921" s="5">
        <v>2.4096385542168679E-2</v>
      </c>
      <c r="D921" s="5">
        <v>4.0000000000000001E-3</v>
      </c>
      <c r="E921" s="5">
        <v>1.7465224111282849E-2</v>
      </c>
      <c r="F921" s="2" t="s">
        <v>1825</v>
      </c>
      <c r="G921" s="2" t="s">
        <v>1826</v>
      </c>
      <c r="H921" s="2" t="s">
        <v>2683</v>
      </c>
      <c r="I921" s="2" t="s">
        <v>2682</v>
      </c>
      <c r="J921" s="2">
        <v>0</v>
      </c>
      <c r="K921" s="2">
        <v>0</v>
      </c>
      <c r="L921" s="2">
        <v>0</v>
      </c>
      <c r="M921" s="5">
        <v>1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5">
        <v>1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</row>
    <row r="922" spans="1:28" ht="45" x14ac:dyDescent="0.25">
      <c r="A922" s="2">
        <v>921</v>
      </c>
      <c r="B922" s="5">
        <v>0.19148936170212769</v>
      </c>
      <c r="C922" s="5">
        <v>3.6144578313253017E-2</v>
      </c>
      <c r="D922" s="5">
        <v>3.0000000000000001E-3</v>
      </c>
      <c r="E922" s="5">
        <v>6.1514683153013908E-2</v>
      </c>
      <c r="F922" s="2" t="s">
        <v>1827</v>
      </c>
      <c r="G922" s="2" t="s">
        <v>1828</v>
      </c>
      <c r="H922" s="2" t="s">
        <v>2683</v>
      </c>
      <c r="I922" s="2" t="s">
        <v>2691</v>
      </c>
      <c r="J922" s="2">
        <v>0</v>
      </c>
      <c r="K922" s="2">
        <v>0</v>
      </c>
      <c r="L922" s="2">
        <v>0</v>
      </c>
      <c r="M922" s="5">
        <v>1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5">
        <v>1</v>
      </c>
      <c r="Z922" s="2">
        <v>0</v>
      </c>
      <c r="AA922" s="2">
        <v>0</v>
      </c>
      <c r="AB922" s="2">
        <v>0</v>
      </c>
    </row>
    <row r="923" spans="1:28" ht="30" x14ac:dyDescent="0.25">
      <c r="A923" s="2">
        <v>922</v>
      </c>
      <c r="B923" s="5">
        <v>0.15851063829787229</v>
      </c>
      <c r="C923" s="5">
        <v>3.3734939759036138E-2</v>
      </c>
      <c r="D923" s="5">
        <v>4.0000000000000001E-3</v>
      </c>
      <c r="E923" s="5">
        <v>5.0231839258114371E-2</v>
      </c>
      <c r="F923" s="2" t="s">
        <v>1829</v>
      </c>
      <c r="G923" s="2" t="s">
        <v>1830</v>
      </c>
      <c r="H923" s="2" t="s">
        <v>2683</v>
      </c>
      <c r="I923" s="2" t="s">
        <v>2691</v>
      </c>
      <c r="J923" s="2">
        <v>0</v>
      </c>
      <c r="K923" s="2">
        <v>0</v>
      </c>
      <c r="L923" s="2">
        <v>0</v>
      </c>
      <c r="M923" s="5">
        <v>1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5">
        <v>1</v>
      </c>
      <c r="Z923" s="2">
        <v>0</v>
      </c>
      <c r="AA923" s="2">
        <v>0</v>
      </c>
      <c r="AB923" s="2">
        <v>0</v>
      </c>
    </row>
    <row r="924" spans="1:28" ht="30" x14ac:dyDescent="0.25">
      <c r="A924" s="2">
        <v>923</v>
      </c>
      <c r="B924" s="5">
        <v>0.20425531914893619</v>
      </c>
      <c r="C924" s="5">
        <v>4.5783132530120479E-2</v>
      </c>
      <c r="D924" s="5">
        <v>8.8000000000000009E-2</v>
      </c>
      <c r="E924" s="5">
        <v>3.7712519319938173E-2</v>
      </c>
      <c r="F924" s="2" t="s">
        <v>1831</v>
      </c>
      <c r="G924" s="2" t="s">
        <v>1832</v>
      </c>
      <c r="H924" s="2" t="s">
        <v>2683</v>
      </c>
      <c r="I924" s="2" t="s">
        <v>2691</v>
      </c>
      <c r="J924" s="2">
        <v>0</v>
      </c>
      <c r="K924" s="2">
        <v>0</v>
      </c>
      <c r="L924" s="2">
        <v>0</v>
      </c>
      <c r="M924" s="5">
        <v>1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5">
        <v>1</v>
      </c>
      <c r="Z924" s="2">
        <v>0</v>
      </c>
      <c r="AA924" s="2">
        <v>0</v>
      </c>
      <c r="AB924" s="2">
        <v>0</v>
      </c>
    </row>
    <row r="925" spans="1:28" ht="45" x14ac:dyDescent="0.25">
      <c r="A925" s="2">
        <v>924</v>
      </c>
      <c r="B925" s="5">
        <v>0.29361702127659572</v>
      </c>
      <c r="C925" s="5">
        <v>3.8554216867469883E-2</v>
      </c>
      <c r="D925" s="5">
        <v>3.2000000000000001E-2</v>
      </c>
      <c r="E925" s="5">
        <v>4.667697063369397E-2</v>
      </c>
      <c r="F925" s="2" t="s">
        <v>1833</v>
      </c>
      <c r="G925" s="2" t="s">
        <v>1834</v>
      </c>
      <c r="H925" s="2" t="s">
        <v>2684</v>
      </c>
      <c r="I925" s="2" t="s">
        <v>2691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5">
        <v>1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5">
        <v>1</v>
      </c>
      <c r="Z925" s="2">
        <v>0</v>
      </c>
      <c r="AA925" s="2">
        <v>0</v>
      </c>
      <c r="AB925" s="2">
        <v>0</v>
      </c>
    </row>
    <row r="926" spans="1:28" ht="30" x14ac:dyDescent="0.25">
      <c r="A926" s="2">
        <v>925</v>
      </c>
      <c r="B926" s="5">
        <v>0.2021276595744681</v>
      </c>
      <c r="C926" s="5">
        <v>5.6626506024096392E-2</v>
      </c>
      <c r="D926" s="5">
        <v>7.4999999999999997E-2</v>
      </c>
      <c r="E926" s="5">
        <v>4.0185471406491501E-2</v>
      </c>
      <c r="F926" s="2" t="s">
        <v>1835</v>
      </c>
      <c r="G926" s="2" t="s">
        <v>1836</v>
      </c>
      <c r="H926" s="2" t="s">
        <v>2683</v>
      </c>
      <c r="I926" s="2" t="s">
        <v>2691</v>
      </c>
      <c r="J926" s="2">
        <v>0</v>
      </c>
      <c r="K926" s="2">
        <v>0</v>
      </c>
      <c r="L926" s="2">
        <v>0</v>
      </c>
      <c r="M926" s="5">
        <v>1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5">
        <v>1</v>
      </c>
      <c r="Z926" s="2">
        <v>0</v>
      </c>
      <c r="AA926" s="2">
        <v>0</v>
      </c>
      <c r="AB926" s="2">
        <v>0</v>
      </c>
    </row>
    <row r="927" spans="1:28" ht="45" x14ac:dyDescent="0.25">
      <c r="A927" s="2">
        <v>926</v>
      </c>
      <c r="B927" s="5">
        <v>0.37978723404255321</v>
      </c>
      <c r="C927" s="5">
        <v>0.10602409638554219</v>
      </c>
      <c r="D927" s="5">
        <v>5.0000000000000001E-3</v>
      </c>
      <c r="E927" s="5">
        <v>0.1228748068006182</v>
      </c>
      <c r="F927" s="2" t="s">
        <v>1837</v>
      </c>
      <c r="G927" s="2" t="s">
        <v>1838</v>
      </c>
      <c r="H927" s="2" t="s">
        <v>2683</v>
      </c>
      <c r="I927" s="2" t="s">
        <v>2691</v>
      </c>
      <c r="J927" s="2">
        <v>0</v>
      </c>
      <c r="K927" s="2">
        <v>0</v>
      </c>
      <c r="L927" s="2">
        <v>0</v>
      </c>
      <c r="M927" s="5">
        <v>1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5">
        <v>1</v>
      </c>
      <c r="Z927" s="2">
        <v>0</v>
      </c>
      <c r="AA927" s="2">
        <v>0</v>
      </c>
      <c r="AB927" s="2">
        <v>0</v>
      </c>
    </row>
    <row r="928" spans="1:28" ht="30" x14ac:dyDescent="0.25">
      <c r="A928" s="2">
        <v>927</v>
      </c>
      <c r="B928" s="5">
        <v>0.22021276595744679</v>
      </c>
      <c r="C928" s="5">
        <v>4.2168674698795178E-2</v>
      </c>
      <c r="D928" s="5">
        <v>0.05</v>
      </c>
      <c r="E928" s="5">
        <v>5.7341576506955177E-2</v>
      </c>
      <c r="F928" s="2" t="s">
        <v>1839</v>
      </c>
      <c r="G928" s="2" t="s">
        <v>1840</v>
      </c>
      <c r="H928" s="2" t="s">
        <v>2683</v>
      </c>
      <c r="I928" s="2" t="s">
        <v>2691</v>
      </c>
      <c r="J928" s="2">
        <v>0</v>
      </c>
      <c r="K928" s="2">
        <v>0</v>
      </c>
      <c r="L928" s="2">
        <v>0</v>
      </c>
      <c r="M928" s="5">
        <v>1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5">
        <v>1</v>
      </c>
      <c r="Z928" s="2">
        <v>0</v>
      </c>
      <c r="AA928" s="2">
        <v>0</v>
      </c>
      <c r="AB928" s="2">
        <v>0</v>
      </c>
    </row>
    <row r="929" spans="1:28" ht="45" x14ac:dyDescent="0.25">
      <c r="A929" s="2">
        <v>928</v>
      </c>
      <c r="B929" s="5">
        <v>0.16489361702127661</v>
      </c>
      <c r="C929" s="5">
        <v>0.1240963855421687</v>
      </c>
      <c r="D929" s="5">
        <v>4.2000000000000003E-2</v>
      </c>
      <c r="E929" s="5">
        <v>2.952086553323029E-2</v>
      </c>
      <c r="F929" s="2" t="s">
        <v>1841</v>
      </c>
      <c r="G929" s="2" t="s">
        <v>1842</v>
      </c>
      <c r="H929" s="2" t="s">
        <v>2683</v>
      </c>
      <c r="I929" s="2" t="s">
        <v>2691</v>
      </c>
      <c r="J929" s="2">
        <v>0</v>
      </c>
      <c r="K929" s="2">
        <v>0</v>
      </c>
      <c r="L929" s="2">
        <v>0</v>
      </c>
      <c r="M929" s="5">
        <v>1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5">
        <v>1</v>
      </c>
      <c r="Z929" s="2">
        <v>0</v>
      </c>
      <c r="AA929" s="2">
        <v>0</v>
      </c>
      <c r="AB929" s="2">
        <v>0</v>
      </c>
    </row>
    <row r="930" spans="1:28" ht="45" x14ac:dyDescent="0.25">
      <c r="A930" s="2">
        <v>929</v>
      </c>
      <c r="B930" s="5">
        <v>0.1276595744680851</v>
      </c>
      <c r="C930" s="5">
        <v>2.891566265060241E-2</v>
      </c>
      <c r="D930" s="5">
        <v>4.0000000000000001E-3</v>
      </c>
      <c r="E930" s="5">
        <v>4.0185471406491501E-2</v>
      </c>
      <c r="F930" s="2" t="s">
        <v>1843</v>
      </c>
      <c r="G930" s="2" t="s">
        <v>1844</v>
      </c>
      <c r="H930" s="2" t="s">
        <v>2683</v>
      </c>
      <c r="I930" s="2" t="s">
        <v>2691</v>
      </c>
      <c r="J930" s="2">
        <v>0</v>
      </c>
      <c r="K930" s="2">
        <v>0</v>
      </c>
      <c r="L930" s="2">
        <v>0</v>
      </c>
      <c r="M930" s="5">
        <v>1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5">
        <v>1</v>
      </c>
      <c r="Z930" s="2">
        <v>0</v>
      </c>
      <c r="AA930" s="2">
        <v>0</v>
      </c>
      <c r="AB930" s="2">
        <v>0</v>
      </c>
    </row>
    <row r="931" spans="1:28" ht="60" x14ac:dyDescent="0.25">
      <c r="A931" s="2">
        <v>930</v>
      </c>
      <c r="B931" s="5">
        <v>0.26946808510638298</v>
      </c>
      <c r="C931" s="5">
        <v>5.1807228915662647E-2</v>
      </c>
      <c r="D931" s="5">
        <v>0.21</v>
      </c>
      <c r="E931" s="5">
        <v>1.8083462132921169E-2</v>
      </c>
      <c r="F931" s="2" t="s">
        <v>1845</v>
      </c>
      <c r="G931" s="2" t="s">
        <v>1846</v>
      </c>
      <c r="H931" s="2" t="s">
        <v>2683</v>
      </c>
      <c r="I931" s="2" t="s">
        <v>2691</v>
      </c>
      <c r="J931" s="2">
        <v>0</v>
      </c>
      <c r="K931" s="2">
        <v>0</v>
      </c>
      <c r="L931" s="2">
        <v>0</v>
      </c>
      <c r="M931" s="5">
        <v>1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5">
        <v>1</v>
      </c>
      <c r="Z931" s="2">
        <v>0</v>
      </c>
      <c r="AA931" s="2">
        <v>0</v>
      </c>
      <c r="AB931" s="2">
        <v>0</v>
      </c>
    </row>
    <row r="932" spans="1:28" ht="45" x14ac:dyDescent="0.25">
      <c r="A932" s="2">
        <v>931</v>
      </c>
      <c r="B932" s="5">
        <v>0.20851063829787231</v>
      </c>
      <c r="C932" s="5">
        <v>0.1746987951807229</v>
      </c>
      <c r="D932" s="5">
        <v>8.3000000000000004E-2</v>
      </c>
      <c r="E932" s="5">
        <v>2.4574961360123649E-2</v>
      </c>
      <c r="F932" s="2" t="s">
        <v>1847</v>
      </c>
      <c r="G932" s="2" t="s">
        <v>1848</v>
      </c>
      <c r="H932" s="2" t="s">
        <v>2681</v>
      </c>
      <c r="I932" s="2" t="s">
        <v>2682</v>
      </c>
      <c r="J932" s="2">
        <v>0</v>
      </c>
      <c r="K932" s="2">
        <v>0</v>
      </c>
      <c r="L932" s="2">
        <v>0</v>
      </c>
      <c r="M932" s="2">
        <v>0</v>
      </c>
      <c r="N932" s="5">
        <v>1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5">
        <v>1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</row>
    <row r="933" spans="1:28" ht="45" x14ac:dyDescent="0.25">
      <c r="A933" s="2">
        <v>932</v>
      </c>
      <c r="B933" s="5">
        <v>0.63829787234042556</v>
      </c>
      <c r="C933" s="5">
        <v>0.16867469879518071</v>
      </c>
      <c r="D933" s="5">
        <v>0.41699999999999998</v>
      </c>
      <c r="E933" s="5">
        <v>6.4914992272024727E-2</v>
      </c>
      <c r="F933" s="2" t="s">
        <v>1849</v>
      </c>
      <c r="G933" s="2" t="s">
        <v>1850</v>
      </c>
      <c r="H933" s="2" t="s">
        <v>2684</v>
      </c>
      <c r="I933" s="2" t="s">
        <v>2687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5">
        <v>1</v>
      </c>
      <c r="Q933" s="2">
        <v>0</v>
      </c>
      <c r="R933" s="2">
        <v>0</v>
      </c>
      <c r="S933" s="5">
        <v>1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</row>
    <row r="934" spans="1:28" ht="45" x14ac:dyDescent="0.25">
      <c r="A934" s="2">
        <v>933</v>
      </c>
      <c r="B934" s="5">
        <v>0.41170212765957448</v>
      </c>
      <c r="C934" s="5">
        <v>6.3855421686746988E-2</v>
      </c>
      <c r="D934" s="5">
        <v>7.5999999999999998E-2</v>
      </c>
      <c r="E934" s="5">
        <v>0.1148377125193199</v>
      </c>
      <c r="F934" s="2" t="s">
        <v>1851</v>
      </c>
      <c r="G934" s="2" t="s">
        <v>1852</v>
      </c>
      <c r="H934" s="2" t="s">
        <v>2683</v>
      </c>
      <c r="I934" s="2" t="s">
        <v>2691</v>
      </c>
      <c r="J934" s="2">
        <v>0</v>
      </c>
      <c r="K934" s="2">
        <v>0</v>
      </c>
      <c r="L934" s="2">
        <v>0</v>
      </c>
      <c r="M934" s="5">
        <v>1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5">
        <v>1</v>
      </c>
      <c r="Z934" s="2">
        <v>0</v>
      </c>
      <c r="AA934" s="2">
        <v>0</v>
      </c>
      <c r="AB934" s="2">
        <v>0</v>
      </c>
    </row>
    <row r="935" spans="1:28" ht="45" x14ac:dyDescent="0.25">
      <c r="A935" s="2">
        <v>934</v>
      </c>
      <c r="B935" s="5">
        <v>9.5744680851063829E-3</v>
      </c>
      <c r="C935" s="5">
        <v>2.5301204819277109E-2</v>
      </c>
      <c r="D935" s="5">
        <v>0.06</v>
      </c>
      <c r="E935" s="5">
        <v>1.097372488408037E-2</v>
      </c>
      <c r="F935" s="2" t="s">
        <v>1853</v>
      </c>
      <c r="G935" s="2" t="s">
        <v>1854</v>
      </c>
      <c r="H935" s="2" t="s">
        <v>2681</v>
      </c>
      <c r="I935" s="2" t="s">
        <v>2682</v>
      </c>
      <c r="J935" s="2">
        <v>0</v>
      </c>
      <c r="K935" s="2">
        <v>0</v>
      </c>
      <c r="L935" s="2">
        <v>0</v>
      </c>
      <c r="M935" s="2">
        <v>0</v>
      </c>
      <c r="N935" s="5">
        <v>1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5">
        <v>1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</row>
    <row r="936" spans="1:28" ht="45" x14ac:dyDescent="0.25">
      <c r="A936" s="2">
        <v>935</v>
      </c>
      <c r="B936" s="5">
        <v>0.19893617021276599</v>
      </c>
      <c r="C936" s="5">
        <v>0.15662650602409639</v>
      </c>
      <c r="D936" s="5">
        <v>0.06</v>
      </c>
      <c r="E936" s="5">
        <v>3.4930448222565691E-2</v>
      </c>
      <c r="F936" s="2" t="s">
        <v>1855</v>
      </c>
      <c r="G936" s="2" t="s">
        <v>1856</v>
      </c>
      <c r="H936" s="2" t="s">
        <v>2688</v>
      </c>
      <c r="I936" s="2" t="s">
        <v>2687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5">
        <v>1</v>
      </c>
      <c r="P936" s="2">
        <v>0</v>
      </c>
      <c r="Q936" s="2">
        <v>0</v>
      </c>
      <c r="R936" s="2">
        <v>0</v>
      </c>
      <c r="S936" s="5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</row>
    <row r="937" spans="1:28" ht="30" x14ac:dyDescent="0.25">
      <c r="A937" s="2">
        <v>936</v>
      </c>
      <c r="B937" s="5">
        <v>0.4</v>
      </c>
      <c r="C937" s="5">
        <v>0.17951807228915659</v>
      </c>
      <c r="D937" s="5">
        <v>0.06</v>
      </c>
      <c r="E937" s="5">
        <v>0.1015455950540958</v>
      </c>
      <c r="F937" s="2" t="s">
        <v>1857</v>
      </c>
      <c r="G937" s="2" t="s">
        <v>1858</v>
      </c>
      <c r="H937" s="2" t="s">
        <v>2683</v>
      </c>
      <c r="I937" s="2" t="s">
        <v>2687</v>
      </c>
      <c r="J937" s="2">
        <v>0</v>
      </c>
      <c r="K937" s="2">
        <v>0</v>
      </c>
      <c r="L937" s="2">
        <v>0</v>
      </c>
      <c r="M937" s="5">
        <v>1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5">
        <v>1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</row>
    <row r="938" spans="1:28" ht="45" x14ac:dyDescent="0.25">
      <c r="A938" s="2">
        <v>937</v>
      </c>
      <c r="B938" s="5">
        <v>0.38648936170212772</v>
      </c>
      <c r="C938" s="5">
        <v>0.2325301204819277</v>
      </c>
      <c r="D938" s="5">
        <v>0.193</v>
      </c>
      <c r="E938" s="5">
        <v>6.2287480680061819E-2</v>
      </c>
      <c r="F938" s="2" t="s">
        <v>1859</v>
      </c>
      <c r="G938" s="2" t="s">
        <v>1860</v>
      </c>
      <c r="H938" s="2" t="s">
        <v>2684</v>
      </c>
      <c r="I938" s="2" t="s">
        <v>2687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5">
        <v>1</v>
      </c>
      <c r="Q938" s="2">
        <v>0</v>
      </c>
      <c r="R938" s="2">
        <v>0</v>
      </c>
      <c r="S938" s="5">
        <v>1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</row>
    <row r="939" spans="1:28" ht="45" x14ac:dyDescent="0.25">
      <c r="A939" s="2">
        <v>938</v>
      </c>
      <c r="B939" s="5">
        <v>0.30212765957446808</v>
      </c>
      <c r="C939" s="5">
        <v>0.1445783132530121</v>
      </c>
      <c r="D939" s="5">
        <v>0.14399999999999999</v>
      </c>
      <c r="E939" s="5">
        <v>2.1020092735703249E-2</v>
      </c>
      <c r="F939" s="2" t="s">
        <v>1861</v>
      </c>
      <c r="G939" s="2" t="s">
        <v>1862</v>
      </c>
      <c r="H939" s="2" t="s">
        <v>2684</v>
      </c>
      <c r="I939" s="2" t="s">
        <v>2687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5">
        <v>1</v>
      </c>
      <c r="Q939" s="2">
        <v>0</v>
      </c>
      <c r="R939" s="2">
        <v>0</v>
      </c>
      <c r="S939" s="5">
        <v>1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</row>
    <row r="940" spans="1:28" ht="30" x14ac:dyDescent="0.25">
      <c r="A940" s="2">
        <v>939</v>
      </c>
      <c r="B940" s="5">
        <v>0.32627659574468082</v>
      </c>
      <c r="C940" s="5">
        <v>0.108433734939759</v>
      </c>
      <c r="D940" s="5">
        <v>0.18</v>
      </c>
      <c r="E940" s="5">
        <v>4.1731066460587322E-2</v>
      </c>
      <c r="F940" s="2" t="s">
        <v>1863</v>
      </c>
      <c r="G940" s="2" t="s">
        <v>1864</v>
      </c>
      <c r="H940" s="2" t="s">
        <v>2694</v>
      </c>
      <c r="I940" s="2" t="s">
        <v>2687</v>
      </c>
      <c r="J940" s="5">
        <v>1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5">
        <v>1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</row>
    <row r="941" spans="1:28" ht="30" x14ac:dyDescent="0.25">
      <c r="A941" s="2">
        <v>940</v>
      </c>
      <c r="B941" s="5">
        <v>0.37340425531914889</v>
      </c>
      <c r="C941" s="5">
        <v>0.13253012048192769</v>
      </c>
      <c r="D941" s="5">
        <v>5.2999999999999999E-2</v>
      </c>
      <c r="E941" s="5">
        <v>0.101854714064915</v>
      </c>
      <c r="F941" s="2" t="s">
        <v>1865</v>
      </c>
      <c r="G941" s="2" t="s">
        <v>1866</v>
      </c>
      <c r="H941" s="2" t="s">
        <v>2688</v>
      </c>
      <c r="I941" s="2" t="s">
        <v>2687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5">
        <v>1</v>
      </c>
      <c r="P941" s="2">
        <v>0</v>
      </c>
      <c r="Q941" s="2">
        <v>0</v>
      </c>
      <c r="R941" s="2">
        <v>0</v>
      </c>
      <c r="S941" s="5">
        <v>1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</row>
    <row r="942" spans="1:28" ht="45" x14ac:dyDescent="0.25">
      <c r="A942" s="2">
        <v>941</v>
      </c>
      <c r="B942" s="5">
        <v>0.1404255319148936</v>
      </c>
      <c r="C942" s="5">
        <v>0.15301204819277109</v>
      </c>
      <c r="D942" s="5">
        <v>3.7999999999999999E-2</v>
      </c>
      <c r="E942" s="5">
        <v>2.117465224111283E-2</v>
      </c>
      <c r="F942" s="2" t="s">
        <v>1867</v>
      </c>
      <c r="G942" s="2" t="s">
        <v>1868</v>
      </c>
      <c r="H942" s="2" t="s">
        <v>2683</v>
      </c>
      <c r="I942" s="2" t="s">
        <v>2687</v>
      </c>
      <c r="J942" s="2">
        <v>0</v>
      </c>
      <c r="K942" s="2">
        <v>0</v>
      </c>
      <c r="L942" s="2">
        <v>0</v>
      </c>
      <c r="M942" s="5">
        <v>1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5">
        <v>1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</row>
    <row r="943" spans="1:28" ht="60" x14ac:dyDescent="0.25">
      <c r="A943" s="2">
        <v>942</v>
      </c>
      <c r="B943" s="5">
        <v>0.19893617021276599</v>
      </c>
      <c r="C943" s="5">
        <v>0.15662650602409639</v>
      </c>
      <c r="D943" s="5">
        <v>0.06</v>
      </c>
      <c r="E943" s="5">
        <v>3.4930448222565691E-2</v>
      </c>
      <c r="F943" s="2" t="s">
        <v>1869</v>
      </c>
      <c r="G943" s="2" t="s">
        <v>1870</v>
      </c>
      <c r="H943" s="2" t="s">
        <v>2688</v>
      </c>
      <c r="I943" s="2" t="s">
        <v>2687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5">
        <v>1</v>
      </c>
      <c r="P943" s="2">
        <v>0</v>
      </c>
      <c r="Q943" s="2">
        <v>0</v>
      </c>
      <c r="R943" s="2">
        <v>0</v>
      </c>
      <c r="S943" s="5">
        <v>1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</row>
    <row r="944" spans="1:28" ht="60" x14ac:dyDescent="0.25">
      <c r="A944" s="2">
        <v>943</v>
      </c>
      <c r="B944" s="5">
        <v>0.39148936170212773</v>
      </c>
      <c r="C944" s="5">
        <v>8.1927710843373497E-2</v>
      </c>
      <c r="D944" s="5">
        <v>0.32</v>
      </c>
      <c r="E944" s="5">
        <v>2.0401854714064908E-2</v>
      </c>
      <c r="F944" s="2" t="s">
        <v>1871</v>
      </c>
      <c r="G944" s="2" t="s">
        <v>1870</v>
      </c>
      <c r="H944" s="2" t="s">
        <v>2684</v>
      </c>
      <c r="I944" s="2" t="s">
        <v>2687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5">
        <v>1</v>
      </c>
      <c r="Q944" s="2">
        <v>0</v>
      </c>
      <c r="R944" s="2">
        <v>0</v>
      </c>
      <c r="S944" s="5">
        <v>1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</row>
    <row r="945" spans="1:28" ht="30" x14ac:dyDescent="0.25">
      <c r="A945" s="2">
        <v>944</v>
      </c>
      <c r="B945" s="5">
        <v>0.34042553191489361</v>
      </c>
      <c r="C945" s="5">
        <v>8.7951807228915671E-2</v>
      </c>
      <c r="D945" s="5">
        <v>0.187</v>
      </c>
      <c r="E945" s="5">
        <v>4.7913446676970631E-2</v>
      </c>
      <c r="F945" s="2" t="s">
        <v>1872</v>
      </c>
      <c r="G945" s="2" t="s">
        <v>1873</v>
      </c>
      <c r="H945" s="2" t="s">
        <v>2694</v>
      </c>
      <c r="I945" s="2" t="s">
        <v>2687</v>
      </c>
      <c r="J945" s="5">
        <v>1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5">
        <v>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</row>
    <row r="946" spans="1:28" ht="60" x14ac:dyDescent="0.25">
      <c r="A946" s="2">
        <v>945</v>
      </c>
      <c r="B946" s="5">
        <v>4.2553191489361701E-2</v>
      </c>
      <c r="C946" s="5">
        <v>2.4096385542168679E-2</v>
      </c>
      <c r="D946" s="5">
        <v>0.02</v>
      </c>
      <c r="E946" s="5">
        <v>4.6367851622874804E-3</v>
      </c>
      <c r="F946" s="2" t="s">
        <v>1874</v>
      </c>
      <c r="G946" s="2" t="s">
        <v>1875</v>
      </c>
      <c r="H946" s="2" t="s">
        <v>2696</v>
      </c>
      <c r="I946" s="2" t="s">
        <v>2687</v>
      </c>
      <c r="J946" s="2">
        <v>0</v>
      </c>
      <c r="K946" s="5">
        <v>1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5">
        <v>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</row>
    <row r="947" spans="1:28" ht="45" x14ac:dyDescent="0.25">
      <c r="A947" s="2">
        <v>946</v>
      </c>
      <c r="B947" s="5">
        <v>8.085106382978724E-2</v>
      </c>
      <c r="C947" s="5">
        <v>6.2650602409638559E-2</v>
      </c>
      <c r="D947" s="5">
        <v>1.7999999999999999E-2</v>
      </c>
      <c r="E947" s="5">
        <v>1.6383307573415759E-2</v>
      </c>
      <c r="F947" s="2" t="s">
        <v>1876</v>
      </c>
      <c r="G947" s="2" t="s">
        <v>1877</v>
      </c>
      <c r="H947" s="2" t="s">
        <v>2683</v>
      </c>
      <c r="I947" s="2" t="s">
        <v>2687</v>
      </c>
      <c r="J947" s="2">
        <v>0</v>
      </c>
      <c r="K947" s="2">
        <v>0</v>
      </c>
      <c r="L947" s="2">
        <v>0</v>
      </c>
      <c r="M947" s="5">
        <v>1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5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</row>
    <row r="948" spans="1:28" ht="30" x14ac:dyDescent="0.25">
      <c r="A948" s="2">
        <v>947</v>
      </c>
      <c r="B948" s="5">
        <v>0.30702127659574469</v>
      </c>
      <c r="C948" s="5">
        <v>0.1</v>
      </c>
      <c r="D948" s="5">
        <v>8.900000000000001E-2</v>
      </c>
      <c r="E948" s="5">
        <v>6.846986089644512E-2</v>
      </c>
      <c r="F948" s="2" t="s">
        <v>1878</v>
      </c>
      <c r="G948" s="2" t="s">
        <v>1879</v>
      </c>
      <c r="H948" s="2" t="s">
        <v>2681</v>
      </c>
      <c r="I948" s="2" t="s">
        <v>2682</v>
      </c>
      <c r="J948" s="2">
        <v>0</v>
      </c>
      <c r="K948" s="2">
        <v>0</v>
      </c>
      <c r="L948" s="2">
        <v>0</v>
      </c>
      <c r="M948" s="2">
        <v>0</v>
      </c>
      <c r="N948" s="5">
        <v>1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5">
        <v>1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</row>
    <row r="949" spans="1:28" ht="30" x14ac:dyDescent="0.25">
      <c r="A949" s="2">
        <v>948</v>
      </c>
      <c r="B949" s="5">
        <v>0.1223404255319149</v>
      </c>
      <c r="C949" s="5">
        <v>1.8072289156626509E-2</v>
      </c>
      <c r="D949" s="5">
        <v>0.06</v>
      </c>
      <c r="E949" s="5">
        <v>2.1638330757341579E-2</v>
      </c>
      <c r="F949" s="2" t="s">
        <v>1880</v>
      </c>
      <c r="G949" s="2" t="s">
        <v>1881</v>
      </c>
      <c r="H949" s="2" t="s">
        <v>2681</v>
      </c>
      <c r="I949" s="2" t="s">
        <v>2682</v>
      </c>
      <c r="J949" s="2">
        <v>0</v>
      </c>
      <c r="K949" s="2">
        <v>0</v>
      </c>
      <c r="L949" s="2">
        <v>0</v>
      </c>
      <c r="M949" s="2">
        <v>0</v>
      </c>
      <c r="N949" s="5">
        <v>1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5">
        <v>1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</row>
    <row r="950" spans="1:28" ht="45" x14ac:dyDescent="0.25">
      <c r="A950" s="2">
        <v>949</v>
      </c>
      <c r="B950" s="5">
        <v>0.1180851063829787</v>
      </c>
      <c r="C950" s="5">
        <v>3.6144578313253009E-3</v>
      </c>
      <c r="D950" s="5">
        <v>2.7E-2</v>
      </c>
      <c r="E950" s="5">
        <v>3.2766615146831532E-2</v>
      </c>
      <c r="F950" s="2" t="s">
        <v>1882</v>
      </c>
      <c r="G950" s="2" t="s">
        <v>1883</v>
      </c>
      <c r="H950" s="2" t="s">
        <v>2683</v>
      </c>
      <c r="I950" s="2" t="s">
        <v>2690</v>
      </c>
      <c r="J950" s="2">
        <v>0</v>
      </c>
      <c r="K950" s="2">
        <v>0</v>
      </c>
      <c r="L950" s="2">
        <v>0</v>
      </c>
      <c r="M950" s="5">
        <v>1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5">
        <v>1</v>
      </c>
    </row>
    <row r="951" spans="1:28" ht="30" x14ac:dyDescent="0.25">
      <c r="A951" s="2">
        <v>950</v>
      </c>
      <c r="B951" s="5">
        <v>1</v>
      </c>
      <c r="C951" s="5">
        <v>0.43373493975903621</v>
      </c>
      <c r="D951" s="5">
        <v>0.42</v>
      </c>
      <c r="E951" s="5">
        <v>0.160741885625966</v>
      </c>
      <c r="F951" s="2" t="s">
        <v>1884</v>
      </c>
      <c r="G951" s="2" t="s">
        <v>1885</v>
      </c>
      <c r="H951" s="2" t="s">
        <v>2681</v>
      </c>
      <c r="I951" s="2" t="s">
        <v>2682</v>
      </c>
      <c r="J951" s="2">
        <v>0</v>
      </c>
      <c r="K951" s="2">
        <v>0</v>
      </c>
      <c r="L951" s="2">
        <v>0</v>
      </c>
      <c r="M951" s="2">
        <v>0</v>
      </c>
      <c r="N951" s="5">
        <v>1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5">
        <v>1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</row>
    <row r="952" spans="1:28" ht="30" x14ac:dyDescent="0.25">
      <c r="A952" s="2">
        <v>951</v>
      </c>
      <c r="B952" s="5">
        <v>0.12446808510638301</v>
      </c>
      <c r="C952" s="5">
        <v>0.16506024096385541</v>
      </c>
      <c r="D952" s="5">
        <v>0.05</v>
      </c>
      <c r="E952" s="5">
        <v>6.646058732612055E-3</v>
      </c>
      <c r="F952" s="2" t="s">
        <v>1886</v>
      </c>
      <c r="G952" s="2" t="s">
        <v>351</v>
      </c>
      <c r="H952" s="2" t="s">
        <v>2681</v>
      </c>
      <c r="I952" s="2" t="s">
        <v>2682</v>
      </c>
      <c r="J952" s="2">
        <v>0</v>
      </c>
      <c r="K952" s="2">
        <v>0</v>
      </c>
      <c r="L952" s="2">
        <v>0</v>
      </c>
      <c r="M952" s="2">
        <v>0</v>
      </c>
      <c r="N952" s="5">
        <v>1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5">
        <v>1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</row>
    <row r="953" spans="1:28" ht="45" x14ac:dyDescent="0.25">
      <c r="A953" s="2">
        <v>952</v>
      </c>
      <c r="B953" s="5">
        <v>0.13297872340425529</v>
      </c>
      <c r="C953" s="5">
        <v>0.12530120481927709</v>
      </c>
      <c r="D953" s="5">
        <v>8.5999999999999993E-2</v>
      </c>
      <c r="E953" s="5">
        <v>1.236476043276662E-3</v>
      </c>
      <c r="F953" s="2" t="s">
        <v>1887</v>
      </c>
      <c r="G953" s="2" t="s">
        <v>1888</v>
      </c>
      <c r="H953" s="2" t="s">
        <v>2681</v>
      </c>
      <c r="I953" s="2" t="s">
        <v>2682</v>
      </c>
      <c r="J953" s="2">
        <v>0</v>
      </c>
      <c r="K953" s="2">
        <v>0</v>
      </c>
      <c r="L953" s="2">
        <v>0</v>
      </c>
      <c r="M953" s="2">
        <v>0</v>
      </c>
      <c r="N953" s="5">
        <v>1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5">
        <v>1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</row>
    <row r="954" spans="1:28" ht="45" x14ac:dyDescent="0.25">
      <c r="A954" s="2">
        <v>953</v>
      </c>
      <c r="B954" s="5">
        <v>0.37340425531914889</v>
      </c>
      <c r="C954" s="5">
        <v>1.084337349397591E-2</v>
      </c>
      <c r="D954" s="5">
        <v>9.0000000000000011E-3</v>
      </c>
      <c r="E954" s="5">
        <v>0.1312210200927357</v>
      </c>
      <c r="F954" s="2" t="s">
        <v>1889</v>
      </c>
      <c r="G954" s="2" t="s">
        <v>1890</v>
      </c>
      <c r="H954" s="2" t="s">
        <v>2683</v>
      </c>
      <c r="I954" s="2" t="s">
        <v>2690</v>
      </c>
      <c r="J954" s="2">
        <v>0</v>
      </c>
      <c r="K954" s="2">
        <v>0</v>
      </c>
      <c r="L954" s="2">
        <v>0</v>
      </c>
      <c r="M954" s="5">
        <v>1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5">
        <v>1</v>
      </c>
    </row>
    <row r="955" spans="1:28" ht="45" x14ac:dyDescent="0.25">
      <c r="A955" s="2">
        <v>954</v>
      </c>
      <c r="B955" s="5">
        <v>0.36382978723404258</v>
      </c>
      <c r="C955" s="5">
        <v>2.7710843373493971E-2</v>
      </c>
      <c r="D955" s="5">
        <v>1E-3</v>
      </c>
      <c r="E955" s="5">
        <v>0.12843894899536321</v>
      </c>
      <c r="F955" s="2" t="s">
        <v>1891</v>
      </c>
      <c r="G955" s="2" t="s">
        <v>1890</v>
      </c>
      <c r="H955" s="2" t="s">
        <v>2683</v>
      </c>
      <c r="I955" s="2" t="s">
        <v>2690</v>
      </c>
      <c r="J955" s="2">
        <v>0</v>
      </c>
      <c r="K955" s="2">
        <v>0</v>
      </c>
      <c r="L955" s="2">
        <v>0</v>
      </c>
      <c r="M955" s="5">
        <v>1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5">
        <v>1</v>
      </c>
    </row>
    <row r="956" spans="1:28" ht="30" x14ac:dyDescent="0.25">
      <c r="A956" s="2">
        <v>955</v>
      </c>
      <c r="B956" s="5">
        <v>8.1914893617021284E-2</v>
      </c>
      <c r="C956" s="5">
        <v>4.2168674698795178E-2</v>
      </c>
      <c r="D956" s="5">
        <v>4.5999999999999999E-2</v>
      </c>
      <c r="E956" s="5">
        <v>8.3462132921174655E-3</v>
      </c>
      <c r="F956" s="2" t="s">
        <v>1892</v>
      </c>
      <c r="G956" s="2" t="s">
        <v>351</v>
      </c>
      <c r="H956" s="2" t="s">
        <v>2684</v>
      </c>
      <c r="I956" s="2" t="s">
        <v>2682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5">
        <v>1</v>
      </c>
      <c r="Q956" s="2">
        <v>0</v>
      </c>
      <c r="R956" s="2">
        <v>0</v>
      </c>
      <c r="S956" s="2">
        <v>0</v>
      </c>
      <c r="T956" s="2">
        <v>0</v>
      </c>
      <c r="U956" s="5">
        <v>1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</row>
    <row r="957" spans="1:28" ht="60" x14ac:dyDescent="0.25">
      <c r="A957" s="2">
        <v>956</v>
      </c>
      <c r="B957" s="5">
        <v>0.52553191489361706</v>
      </c>
      <c r="C957" s="5">
        <v>9.036144578313253E-2</v>
      </c>
      <c r="D957" s="5">
        <v>0.36399999999999999</v>
      </c>
      <c r="E957" s="5">
        <v>6.1978361669242657E-2</v>
      </c>
      <c r="F957" s="2" t="s">
        <v>1893</v>
      </c>
      <c r="G957" s="2" t="s">
        <v>1894</v>
      </c>
      <c r="H957" s="2" t="s">
        <v>2688</v>
      </c>
      <c r="I957" s="2" t="s">
        <v>2692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5">
        <v>1</v>
      </c>
      <c r="P957" s="2">
        <v>0</v>
      </c>
      <c r="Q957" s="2">
        <v>0</v>
      </c>
      <c r="R957" s="5">
        <v>1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</row>
    <row r="958" spans="1:28" ht="45" x14ac:dyDescent="0.25">
      <c r="A958" s="2">
        <v>957</v>
      </c>
      <c r="B958" s="5">
        <v>4.4680851063829789E-2</v>
      </c>
      <c r="C958" s="5">
        <v>3.6144578313253009E-3</v>
      </c>
      <c r="D958" s="5">
        <v>2E-3</v>
      </c>
      <c r="E958" s="5">
        <v>1.6846986089644508E-2</v>
      </c>
      <c r="F958" s="2" t="s">
        <v>1895</v>
      </c>
      <c r="G958" s="2" t="s">
        <v>1896</v>
      </c>
      <c r="H958" s="2" t="s">
        <v>2688</v>
      </c>
      <c r="I958" s="2" t="s">
        <v>2692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5">
        <v>1</v>
      </c>
      <c r="P958" s="2">
        <v>0</v>
      </c>
      <c r="Q958" s="2">
        <v>0</v>
      </c>
      <c r="R958" s="5">
        <v>1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</row>
    <row r="959" spans="1:28" ht="60" x14ac:dyDescent="0.25">
      <c r="A959" s="2">
        <v>958</v>
      </c>
      <c r="B959" s="5">
        <v>0.48936170212765961</v>
      </c>
      <c r="C959" s="5">
        <v>0.34337349397590361</v>
      </c>
      <c r="D959" s="5">
        <v>0.35199999999999998</v>
      </c>
      <c r="E959" s="5">
        <v>1.1128284389489949E-2</v>
      </c>
      <c r="F959" s="2" t="s">
        <v>1897</v>
      </c>
      <c r="G959" s="2" t="s">
        <v>1898</v>
      </c>
      <c r="H959" s="2" t="s">
        <v>2696</v>
      </c>
      <c r="I959" s="2" t="s">
        <v>2682</v>
      </c>
      <c r="J959" s="2">
        <v>0</v>
      </c>
      <c r="K959" s="5">
        <v>1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5">
        <v>1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</row>
    <row r="960" spans="1:28" ht="45" x14ac:dyDescent="0.25">
      <c r="A960" s="2">
        <v>959</v>
      </c>
      <c r="B960" s="5">
        <v>0.14234042553191489</v>
      </c>
      <c r="C960" s="5">
        <v>3.6144578313253017E-2</v>
      </c>
      <c r="D960" s="5">
        <v>1.6E-2</v>
      </c>
      <c r="E960" s="5">
        <v>4.1731066460587322E-2</v>
      </c>
      <c r="F960" s="2" t="s">
        <v>1899</v>
      </c>
      <c r="G960" s="2" t="s">
        <v>1900</v>
      </c>
      <c r="H960" s="2" t="s">
        <v>2681</v>
      </c>
      <c r="I960" s="2" t="s">
        <v>2682</v>
      </c>
      <c r="J960" s="2">
        <v>0</v>
      </c>
      <c r="K960" s="2">
        <v>0</v>
      </c>
      <c r="L960" s="2">
        <v>0</v>
      </c>
      <c r="M960" s="2">
        <v>0</v>
      </c>
      <c r="N960" s="5">
        <v>1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5">
        <v>1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</row>
    <row r="961" spans="1:28" ht="75" x14ac:dyDescent="0.25">
      <c r="A961" s="2">
        <v>960</v>
      </c>
      <c r="B961" s="5">
        <v>6.4893617021276592E-2</v>
      </c>
      <c r="C961" s="5">
        <v>2.4096385542168681E-3</v>
      </c>
      <c r="D961" s="5">
        <v>1E-3</v>
      </c>
      <c r="E961" s="5">
        <v>2.302936630602782E-2</v>
      </c>
      <c r="F961" s="2" t="s">
        <v>1901</v>
      </c>
      <c r="G961" s="2" t="s">
        <v>1902</v>
      </c>
      <c r="H961" s="2" t="s">
        <v>2683</v>
      </c>
      <c r="I961" s="2" t="s">
        <v>2690</v>
      </c>
      <c r="J961" s="2">
        <v>0</v>
      </c>
      <c r="K961" s="2">
        <v>0</v>
      </c>
      <c r="L961" s="2">
        <v>0</v>
      </c>
      <c r="M961" s="5">
        <v>1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5">
        <v>1</v>
      </c>
    </row>
    <row r="962" spans="1:28" ht="75" x14ac:dyDescent="0.25">
      <c r="A962" s="2">
        <v>961</v>
      </c>
      <c r="B962" s="5">
        <v>9.2553191489361697E-2</v>
      </c>
      <c r="C962" s="5">
        <v>0.12650602409638559</v>
      </c>
      <c r="D962" s="5">
        <v>2.5000000000000001E-2</v>
      </c>
      <c r="E962" s="5">
        <v>8.5007727975270481E-3</v>
      </c>
      <c r="F962" s="2" t="s">
        <v>1903</v>
      </c>
      <c r="G962" s="2" t="s">
        <v>1904</v>
      </c>
      <c r="H962" s="2" t="s">
        <v>2681</v>
      </c>
      <c r="I962" s="2" t="s">
        <v>2682</v>
      </c>
      <c r="J962" s="2">
        <v>0</v>
      </c>
      <c r="K962" s="2">
        <v>0</v>
      </c>
      <c r="L962" s="2">
        <v>0</v>
      </c>
      <c r="M962" s="2">
        <v>0</v>
      </c>
      <c r="N962" s="5">
        <v>1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5">
        <v>1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</row>
    <row r="963" spans="1:28" ht="90" x14ac:dyDescent="0.25">
      <c r="A963" s="2">
        <v>962</v>
      </c>
      <c r="B963" s="5">
        <v>3.085106382978723E-2</v>
      </c>
      <c r="C963" s="5">
        <v>1.3253012048192771E-2</v>
      </c>
      <c r="D963" s="5">
        <v>3.0000000000000001E-3</v>
      </c>
      <c r="E963" s="5">
        <v>1.0200927357032459E-2</v>
      </c>
      <c r="F963" s="2" t="s">
        <v>1905</v>
      </c>
      <c r="G963" s="2" t="s">
        <v>1906</v>
      </c>
      <c r="H963" s="2" t="s">
        <v>2684</v>
      </c>
      <c r="I963" s="2" t="s">
        <v>2682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5">
        <v>1</v>
      </c>
      <c r="Q963" s="2">
        <v>0</v>
      </c>
      <c r="R963" s="2">
        <v>0</v>
      </c>
      <c r="S963" s="2">
        <v>0</v>
      </c>
      <c r="T963" s="2">
        <v>0</v>
      </c>
      <c r="U963" s="5">
        <v>1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</row>
    <row r="964" spans="1:28" ht="60" x14ac:dyDescent="0.25">
      <c r="A964" s="2">
        <v>963</v>
      </c>
      <c r="B964" s="5">
        <v>1.7021276595744681E-2</v>
      </c>
      <c r="C964" s="5">
        <v>9.6385542168674707E-3</v>
      </c>
      <c r="D964" s="5">
        <v>2E-3</v>
      </c>
      <c r="E964" s="5">
        <v>5.2550231839258114E-3</v>
      </c>
      <c r="F964" s="2" t="s">
        <v>1907</v>
      </c>
      <c r="G964" s="2" t="s">
        <v>1908</v>
      </c>
      <c r="H964" s="2" t="s">
        <v>2683</v>
      </c>
      <c r="I964" s="2" t="s">
        <v>2682</v>
      </c>
      <c r="J964" s="2">
        <v>0</v>
      </c>
      <c r="K964" s="2">
        <v>0</v>
      </c>
      <c r="L964" s="2">
        <v>0</v>
      </c>
      <c r="M964" s="5">
        <v>1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5">
        <v>1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</row>
    <row r="965" spans="1:28" ht="45" x14ac:dyDescent="0.25">
      <c r="A965" s="2">
        <v>964</v>
      </c>
      <c r="B965" s="5">
        <v>2.021276595744681E-2</v>
      </c>
      <c r="C965" s="5">
        <v>1.204819277108434E-2</v>
      </c>
      <c r="D965" s="5">
        <v>4.0000000000000001E-3</v>
      </c>
      <c r="E965" s="5">
        <v>5.5641421947449756E-3</v>
      </c>
      <c r="F965" s="2" t="s">
        <v>1909</v>
      </c>
      <c r="G965" s="2" t="s">
        <v>1910</v>
      </c>
      <c r="H965" s="2" t="s">
        <v>2684</v>
      </c>
      <c r="I965" s="2" t="s">
        <v>2682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5">
        <v>1</v>
      </c>
      <c r="Q965" s="2">
        <v>0</v>
      </c>
      <c r="R965" s="2">
        <v>0</v>
      </c>
      <c r="S965" s="2">
        <v>0</v>
      </c>
      <c r="T965" s="2">
        <v>0</v>
      </c>
      <c r="U965" s="5">
        <v>1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</row>
    <row r="966" spans="1:28" ht="45" x14ac:dyDescent="0.25">
      <c r="A966" s="2">
        <v>965</v>
      </c>
      <c r="B966" s="5">
        <v>0.32659574468085112</v>
      </c>
      <c r="C966" s="5">
        <v>5.4216867469879519E-2</v>
      </c>
      <c r="D966" s="5">
        <v>0.13300000000000001</v>
      </c>
      <c r="E966" s="5">
        <v>6.553323029366305E-2</v>
      </c>
      <c r="F966" s="2" t="s">
        <v>1911</v>
      </c>
      <c r="G966" s="2" t="s">
        <v>1912</v>
      </c>
      <c r="H966" s="2" t="s">
        <v>2684</v>
      </c>
      <c r="I966" s="2" t="s">
        <v>2691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5">
        <v>1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5">
        <v>1</v>
      </c>
      <c r="Z966" s="2">
        <v>0</v>
      </c>
      <c r="AA966" s="2">
        <v>0</v>
      </c>
      <c r="AB966" s="2">
        <v>0</v>
      </c>
    </row>
    <row r="967" spans="1:28" ht="75" x14ac:dyDescent="0.25">
      <c r="A967" s="2">
        <v>966</v>
      </c>
      <c r="B967" s="5">
        <v>0.3851063829787234</v>
      </c>
      <c r="C967" s="5">
        <v>6.024096385542169E-3</v>
      </c>
      <c r="D967" s="5">
        <v>3.0000000000000001E-3</v>
      </c>
      <c r="E967" s="5">
        <v>0.1343122102009274</v>
      </c>
      <c r="F967" s="2" t="s">
        <v>1913</v>
      </c>
      <c r="G967" s="2" t="s">
        <v>1914</v>
      </c>
      <c r="H967" s="2" t="s">
        <v>2681</v>
      </c>
      <c r="I967" s="2" t="s">
        <v>2682</v>
      </c>
      <c r="J967" s="2">
        <v>0</v>
      </c>
      <c r="K967" s="2">
        <v>0</v>
      </c>
      <c r="L967" s="2">
        <v>0</v>
      </c>
      <c r="M967" s="2">
        <v>0</v>
      </c>
      <c r="N967" s="5">
        <v>1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5">
        <v>1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</row>
    <row r="968" spans="1:28" ht="60" x14ac:dyDescent="0.25">
      <c r="A968" s="2">
        <v>967</v>
      </c>
      <c r="B968" s="5">
        <v>2.4468085106382979E-2</v>
      </c>
      <c r="C968" s="5">
        <v>2.168674698795181E-2</v>
      </c>
      <c r="D968" s="5">
        <v>3.0000000000000001E-3</v>
      </c>
      <c r="E968" s="5">
        <v>6.955177743431221E-3</v>
      </c>
      <c r="F968" s="2" t="s">
        <v>1915</v>
      </c>
      <c r="G968" s="2" t="s">
        <v>1916</v>
      </c>
      <c r="H968" s="2" t="s">
        <v>2681</v>
      </c>
      <c r="I968" s="2" t="s">
        <v>2682</v>
      </c>
      <c r="J968" s="2">
        <v>0</v>
      </c>
      <c r="K968" s="2">
        <v>0</v>
      </c>
      <c r="L968" s="2">
        <v>0</v>
      </c>
      <c r="M968" s="2">
        <v>0</v>
      </c>
      <c r="N968" s="5">
        <v>1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5">
        <v>1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</row>
    <row r="969" spans="1:28" ht="45" x14ac:dyDescent="0.25">
      <c r="A969" s="2">
        <v>968</v>
      </c>
      <c r="B969" s="5">
        <v>0.1659574468085106</v>
      </c>
      <c r="C969" s="5">
        <v>0.33734939759036148</v>
      </c>
      <c r="D969" s="5">
        <v>0.04</v>
      </c>
      <c r="E969" s="2">
        <v>0</v>
      </c>
      <c r="F969" s="2" t="s">
        <v>1917</v>
      </c>
      <c r="G969" s="2" t="s">
        <v>1918</v>
      </c>
      <c r="H969" s="2" t="s">
        <v>2688</v>
      </c>
      <c r="I969" s="2" t="s">
        <v>2689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5">
        <v>1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5">
        <v>1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</row>
    <row r="970" spans="1:28" ht="45" x14ac:dyDescent="0.25">
      <c r="A970" s="2">
        <v>969</v>
      </c>
      <c r="B970" s="5">
        <v>7.9787234042553196E-2</v>
      </c>
      <c r="C970" s="5">
        <v>3.012048192771084E-2</v>
      </c>
      <c r="D970" s="5">
        <v>2.8000000000000001E-2</v>
      </c>
      <c r="E970" s="5">
        <v>1.5455950540958271E-2</v>
      </c>
      <c r="F970" s="2" t="s">
        <v>1919</v>
      </c>
      <c r="G970" s="2" t="s">
        <v>1920</v>
      </c>
      <c r="H970" s="2" t="s">
        <v>2683</v>
      </c>
      <c r="I970" s="2" t="s">
        <v>2685</v>
      </c>
      <c r="J970" s="2">
        <v>0</v>
      </c>
      <c r="K970" s="2">
        <v>0</v>
      </c>
      <c r="L970" s="2">
        <v>0</v>
      </c>
      <c r="M970" s="5">
        <v>1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5">
        <v>1</v>
      </c>
      <c r="Y970" s="2">
        <v>0</v>
      </c>
      <c r="Z970" s="2">
        <v>0</v>
      </c>
      <c r="AA970" s="2">
        <v>0</v>
      </c>
      <c r="AB970" s="2">
        <v>0</v>
      </c>
    </row>
    <row r="971" spans="1:28" ht="30" x14ac:dyDescent="0.25">
      <c r="A971" s="2">
        <v>970</v>
      </c>
      <c r="B971" s="5">
        <v>0.23297872340425529</v>
      </c>
      <c r="C971" s="5">
        <v>0.23734939759036139</v>
      </c>
      <c r="D971" s="5">
        <v>0.13600000000000001</v>
      </c>
      <c r="E971" s="5">
        <v>6.8006182380216376E-3</v>
      </c>
      <c r="F971" s="2" t="s">
        <v>1921</v>
      </c>
      <c r="G971" s="2" t="s">
        <v>1922</v>
      </c>
      <c r="H971" s="2" t="s">
        <v>2681</v>
      </c>
      <c r="I971" s="2" t="s">
        <v>2682</v>
      </c>
      <c r="J971" s="2">
        <v>0</v>
      </c>
      <c r="K971" s="2">
        <v>0</v>
      </c>
      <c r="L971" s="2">
        <v>0</v>
      </c>
      <c r="M971" s="2">
        <v>0</v>
      </c>
      <c r="N971" s="5">
        <v>1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5">
        <v>1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</row>
    <row r="972" spans="1:28" ht="45" x14ac:dyDescent="0.25">
      <c r="A972" s="2">
        <v>971</v>
      </c>
      <c r="B972" s="5">
        <v>0.17234042553191489</v>
      </c>
      <c r="C972" s="5">
        <v>5.9036144578313257E-2</v>
      </c>
      <c r="D972" s="5">
        <v>0.03</v>
      </c>
      <c r="E972" s="5">
        <v>4.296754250386399E-2</v>
      </c>
      <c r="F972" s="2" t="s">
        <v>1923</v>
      </c>
      <c r="G972" s="2" t="s">
        <v>1924</v>
      </c>
      <c r="H972" s="2" t="s">
        <v>2681</v>
      </c>
      <c r="I972" s="2" t="s">
        <v>2682</v>
      </c>
      <c r="J972" s="2">
        <v>0</v>
      </c>
      <c r="K972" s="2">
        <v>0</v>
      </c>
      <c r="L972" s="2">
        <v>0</v>
      </c>
      <c r="M972" s="2">
        <v>0</v>
      </c>
      <c r="N972" s="5">
        <v>1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5">
        <v>1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</row>
    <row r="973" spans="1:28" ht="45" x14ac:dyDescent="0.25">
      <c r="A973" s="2">
        <v>972</v>
      </c>
      <c r="B973" s="5">
        <v>0.1659574468085106</v>
      </c>
      <c r="C973" s="5">
        <v>5.0602409638554217E-2</v>
      </c>
      <c r="D973" s="5">
        <v>1.4E-2</v>
      </c>
      <c r="E973" s="5">
        <v>4.8840803709428129E-2</v>
      </c>
      <c r="F973" s="2" t="s">
        <v>1925</v>
      </c>
      <c r="G973" s="2" t="s">
        <v>1926</v>
      </c>
      <c r="H973" s="2" t="s">
        <v>2681</v>
      </c>
      <c r="I973" s="2" t="s">
        <v>2682</v>
      </c>
      <c r="J973" s="2">
        <v>0</v>
      </c>
      <c r="K973" s="2">
        <v>0</v>
      </c>
      <c r="L973" s="2">
        <v>0</v>
      </c>
      <c r="M973" s="2">
        <v>0</v>
      </c>
      <c r="N973" s="5">
        <v>1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5">
        <v>1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</row>
    <row r="974" spans="1:28" ht="30" x14ac:dyDescent="0.25">
      <c r="A974" s="2">
        <v>973</v>
      </c>
      <c r="B974" s="5">
        <v>0.16170212765957451</v>
      </c>
      <c r="C974" s="5">
        <v>5.4216867469879519E-2</v>
      </c>
      <c r="D974" s="5">
        <v>2.3E-2</v>
      </c>
      <c r="E974" s="5">
        <v>4.358578052550232E-2</v>
      </c>
      <c r="F974" s="2" t="s">
        <v>1927</v>
      </c>
      <c r="G974" s="2" t="s">
        <v>1928</v>
      </c>
      <c r="H974" s="2" t="s">
        <v>2681</v>
      </c>
      <c r="I974" s="2" t="s">
        <v>2682</v>
      </c>
      <c r="J974" s="2">
        <v>0</v>
      </c>
      <c r="K974" s="2">
        <v>0</v>
      </c>
      <c r="L974" s="2">
        <v>0</v>
      </c>
      <c r="M974" s="2">
        <v>0</v>
      </c>
      <c r="N974" s="5">
        <v>1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5">
        <v>1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</row>
    <row r="975" spans="1:28" ht="30" x14ac:dyDescent="0.25">
      <c r="A975" s="2">
        <v>974</v>
      </c>
      <c r="B975" s="5">
        <v>0.224468085106383</v>
      </c>
      <c r="C975" s="5">
        <v>0.1481927710843374</v>
      </c>
      <c r="D975" s="5">
        <v>6.0999999999999999E-2</v>
      </c>
      <c r="E975" s="5">
        <v>4.1112828438948999E-2</v>
      </c>
      <c r="F975" s="2" t="s">
        <v>1929</v>
      </c>
      <c r="G975" s="2" t="s">
        <v>1930</v>
      </c>
      <c r="H975" s="2" t="s">
        <v>2683</v>
      </c>
      <c r="I975" s="2" t="s">
        <v>2682</v>
      </c>
      <c r="J975" s="2">
        <v>0</v>
      </c>
      <c r="K975" s="2">
        <v>0</v>
      </c>
      <c r="L975" s="2">
        <v>0</v>
      </c>
      <c r="M975" s="5">
        <v>1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5">
        <v>1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</row>
    <row r="976" spans="1:28" ht="60" x14ac:dyDescent="0.25">
      <c r="A976" s="2">
        <v>975</v>
      </c>
      <c r="B976" s="5">
        <v>0.25851063829787241</v>
      </c>
      <c r="C976" s="5">
        <v>6.2650602409638559E-2</v>
      </c>
      <c r="D976" s="5">
        <v>7.2999999999999995E-2</v>
      </c>
      <c r="E976" s="5">
        <v>6.0432766615146842E-2</v>
      </c>
      <c r="F976" s="2" t="s">
        <v>1931</v>
      </c>
      <c r="G976" s="2" t="s">
        <v>1932</v>
      </c>
      <c r="H976" s="2" t="s">
        <v>2681</v>
      </c>
      <c r="I976" s="2" t="s">
        <v>2682</v>
      </c>
      <c r="J976" s="2">
        <v>0</v>
      </c>
      <c r="K976" s="2">
        <v>0</v>
      </c>
      <c r="L976" s="2">
        <v>0</v>
      </c>
      <c r="M976" s="2">
        <v>0</v>
      </c>
      <c r="N976" s="5">
        <v>1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5">
        <v>1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</row>
    <row r="977" spans="1:28" ht="45" x14ac:dyDescent="0.25">
      <c r="A977" s="2">
        <v>976</v>
      </c>
      <c r="B977" s="5">
        <v>0.18404255319148941</v>
      </c>
      <c r="C977" s="5">
        <v>8.6746987951807242E-2</v>
      </c>
      <c r="D977" s="5">
        <v>1.2E-2</v>
      </c>
      <c r="E977" s="5">
        <v>5.1622874806800612E-2</v>
      </c>
      <c r="F977" s="2" t="s">
        <v>1933</v>
      </c>
      <c r="G977" s="2" t="s">
        <v>1934</v>
      </c>
      <c r="H977" s="2" t="s">
        <v>2681</v>
      </c>
      <c r="I977" s="2" t="s">
        <v>2682</v>
      </c>
      <c r="J977" s="2">
        <v>0</v>
      </c>
      <c r="K977" s="2">
        <v>0</v>
      </c>
      <c r="L977" s="2">
        <v>0</v>
      </c>
      <c r="M977" s="2">
        <v>0</v>
      </c>
      <c r="N977" s="5">
        <v>1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5">
        <v>1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</row>
    <row r="978" spans="1:28" ht="45" x14ac:dyDescent="0.25">
      <c r="A978" s="2">
        <v>977</v>
      </c>
      <c r="B978" s="5">
        <v>0.39574468085106379</v>
      </c>
      <c r="C978" s="5">
        <v>9.3975903614457831E-2</v>
      </c>
      <c r="D978" s="5">
        <v>0.36299999999999999</v>
      </c>
      <c r="E978" s="5">
        <v>5.4095826893353939E-3</v>
      </c>
      <c r="F978" s="2" t="s">
        <v>1935</v>
      </c>
      <c r="G978" s="2" t="s">
        <v>1936</v>
      </c>
      <c r="H978" s="2" t="s">
        <v>2681</v>
      </c>
      <c r="I978" s="2" t="s">
        <v>2682</v>
      </c>
      <c r="J978" s="2">
        <v>0</v>
      </c>
      <c r="K978" s="2">
        <v>0</v>
      </c>
      <c r="L978" s="2">
        <v>0</v>
      </c>
      <c r="M978" s="2">
        <v>0</v>
      </c>
      <c r="N978" s="5">
        <v>1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5">
        <v>1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</row>
    <row r="979" spans="1:28" ht="30" x14ac:dyDescent="0.25">
      <c r="A979" s="2">
        <v>978</v>
      </c>
      <c r="B979" s="5">
        <v>0.18510638297872339</v>
      </c>
      <c r="C979" s="5">
        <v>0.15783132530120481</v>
      </c>
      <c r="D979" s="5">
        <v>0.122</v>
      </c>
      <c r="E979" s="5">
        <v>3.4003091190108188E-3</v>
      </c>
      <c r="F979" s="2" t="s">
        <v>1937</v>
      </c>
      <c r="G979" s="2" t="s">
        <v>1938</v>
      </c>
      <c r="H979" s="2" t="s">
        <v>2681</v>
      </c>
      <c r="I979" s="2" t="s">
        <v>2682</v>
      </c>
      <c r="J979" s="2">
        <v>0</v>
      </c>
      <c r="K979" s="2">
        <v>0</v>
      </c>
      <c r="L979" s="2">
        <v>0</v>
      </c>
      <c r="M979" s="2">
        <v>0</v>
      </c>
      <c r="N979" s="5">
        <v>1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5">
        <v>1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</row>
    <row r="980" spans="1:28" ht="30" x14ac:dyDescent="0.25">
      <c r="A980" s="2">
        <v>979</v>
      </c>
      <c r="B980" s="5">
        <v>2.021276595744681E-2</v>
      </c>
      <c r="C980" s="5">
        <v>7.2289156626506026E-3</v>
      </c>
      <c r="D980" s="5">
        <v>1E-3</v>
      </c>
      <c r="E980" s="5">
        <v>6.0278207109737249E-3</v>
      </c>
      <c r="F980" s="2" t="s">
        <v>1939</v>
      </c>
      <c r="G980" s="2" t="s">
        <v>1940</v>
      </c>
      <c r="H980" s="2" t="s">
        <v>2681</v>
      </c>
      <c r="I980" s="2" t="s">
        <v>2682</v>
      </c>
      <c r="J980" s="2">
        <v>0</v>
      </c>
      <c r="K980" s="2">
        <v>0</v>
      </c>
      <c r="L980" s="2">
        <v>0</v>
      </c>
      <c r="M980" s="2">
        <v>0</v>
      </c>
      <c r="N980" s="5">
        <v>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5">
        <v>1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</row>
    <row r="981" spans="1:28" ht="45" x14ac:dyDescent="0.25">
      <c r="A981" s="2">
        <v>980</v>
      </c>
      <c r="B981" s="5">
        <v>0.29255319148936171</v>
      </c>
      <c r="C981" s="5">
        <v>0.1397590361445783</v>
      </c>
      <c r="D981" s="5">
        <v>0.11600000000000001</v>
      </c>
      <c r="E981" s="5">
        <v>4.667697063369397E-2</v>
      </c>
      <c r="F981" s="2" t="s">
        <v>1941</v>
      </c>
      <c r="G981" s="2" t="s">
        <v>1942</v>
      </c>
      <c r="H981" s="2" t="s">
        <v>2683</v>
      </c>
      <c r="I981" s="2" t="s">
        <v>2686</v>
      </c>
      <c r="J981" s="2">
        <v>0</v>
      </c>
      <c r="K981" s="2">
        <v>0</v>
      </c>
      <c r="L981" s="2">
        <v>0</v>
      </c>
      <c r="M981" s="5">
        <v>1</v>
      </c>
      <c r="N981" s="2">
        <v>0</v>
      </c>
      <c r="O981" s="2">
        <v>0</v>
      </c>
      <c r="P981" s="2">
        <v>0</v>
      </c>
      <c r="Q981" s="5">
        <v>1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</row>
    <row r="982" spans="1:28" ht="30" x14ac:dyDescent="0.25">
      <c r="A982" s="2">
        <v>981</v>
      </c>
      <c r="B982" s="5">
        <v>2.7659574468085112E-2</v>
      </c>
      <c r="C982" s="5">
        <v>2.5301204819277109E-2</v>
      </c>
      <c r="D982" s="5">
        <v>1E-3</v>
      </c>
      <c r="E982" s="5">
        <v>7.573415765069552E-3</v>
      </c>
      <c r="F982" s="2" t="s">
        <v>1943</v>
      </c>
      <c r="G982" s="2" t="s">
        <v>1944</v>
      </c>
      <c r="H982" s="2" t="s">
        <v>2683</v>
      </c>
      <c r="I982" s="2" t="s">
        <v>2686</v>
      </c>
      <c r="J982" s="2">
        <v>0</v>
      </c>
      <c r="K982" s="2">
        <v>0</v>
      </c>
      <c r="L982" s="2">
        <v>0</v>
      </c>
      <c r="M982" s="5">
        <v>1</v>
      </c>
      <c r="N982" s="2">
        <v>0</v>
      </c>
      <c r="O982" s="2">
        <v>0</v>
      </c>
      <c r="P982" s="2">
        <v>0</v>
      </c>
      <c r="Q982" s="5">
        <v>1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</row>
    <row r="983" spans="1:28" ht="45" x14ac:dyDescent="0.25">
      <c r="A983" s="2">
        <v>982</v>
      </c>
      <c r="B983" s="5">
        <v>4.8936170212765959E-2</v>
      </c>
      <c r="C983" s="5">
        <v>6.024096385542169E-3</v>
      </c>
      <c r="D983" s="5">
        <v>0.12</v>
      </c>
      <c r="E983" s="5">
        <v>1.885625965996909E-2</v>
      </c>
      <c r="F983" s="2" t="s">
        <v>1945</v>
      </c>
      <c r="G983" s="2" t="s">
        <v>1946</v>
      </c>
      <c r="H983" s="2" t="s">
        <v>2683</v>
      </c>
      <c r="I983" s="2" t="s">
        <v>2686</v>
      </c>
      <c r="J983" s="2">
        <v>0</v>
      </c>
      <c r="K983" s="2">
        <v>0</v>
      </c>
      <c r="L983" s="2">
        <v>0</v>
      </c>
      <c r="M983" s="5">
        <v>1</v>
      </c>
      <c r="N983" s="2">
        <v>0</v>
      </c>
      <c r="O983" s="2">
        <v>0</v>
      </c>
      <c r="P983" s="2">
        <v>0</v>
      </c>
      <c r="Q983" s="5">
        <v>1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</row>
    <row r="984" spans="1:28" ht="30" x14ac:dyDescent="0.25">
      <c r="A984" s="2">
        <v>983</v>
      </c>
      <c r="B984" s="5">
        <v>8.085106382978724E-2</v>
      </c>
      <c r="C984" s="5">
        <v>6.2650602409638559E-2</v>
      </c>
      <c r="D984" s="5">
        <v>1.7999999999999999E-2</v>
      </c>
      <c r="E984" s="5">
        <v>1.6383307573415759E-2</v>
      </c>
      <c r="F984" s="2" t="s">
        <v>1947</v>
      </c>
      <c r="G984" s="2" t="s">
        <v>1948</v>
      </c>
      <c r="H984" s="2" t="s">
        <v>2683</v>
      </c>
      <c r="I984" s="2" t="s">
        <v>2687</v>
      </c>
      <c r="J984" s="2">
        <v>0</v>
      </c>
      <c r="K984" s="2">
        <v>0</v>
      </c>
      <c r="L984" s="2">
        <v>0</v>
      </c>
      <c r="M984" s="5">
        <v>1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5">
        <v>1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</row>
    <row r="985" spans="1:28" ht="90" x14ac:dyDescent="0.25">
      <c r="A985" s="2">
        <v>984</v>
      </c>
      <c r="B985" s="5">
        <v>0.42553191489361702</v>
      </c>
      <c r="C985" s="2">
        <v>0</v>
      </c>
      <c r="D985" s="2">
        <v>0</v>
      </c>
      <c r="E985" s="5">
        <v>0.14683153013910349</v>
      </c>
      <c r="F985" s="2" t="s">
        <v>1949</v>
      </c>
      <c r="G985" s="2" t="s">
        <v>1950</v>
      </c>
      <c r="H985" s="2" t="s">
        <v>2688</v>
      </c>
      <c r="I985" s="2" t="s">
        <v>2695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5">
        <v>1</v>
      </c>
      <c r="P985" s="2">
        <v>0</v>
      </c>
      <c r="Q985" s="2">
        <v>0</v>
      </c>
      <c r="R985" s="2">
        <v>0</v>
      </c>
      <c r="S985" s="2">
        <v>0</v>
      </c>
      <c r="T985" s="5">
        <v>1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 spans="1:28" ht="45" x14ac:dyDescent="0.25">
      <c r="A986" s="2">
        <v>985</v>
      </c>
      <c r="B986" s="5">
        <v>0.15106382978723401</v>
      </c>
      <c r="C986" s="5">
        <v>0.12530120481927709</v>
      </c>
      <c r="D986" s="5">
        <v>0.02</v>
      </c>
      <c r="E986" s="5">
        <v>3.4003091190108192E-2</v>
      </c>
      <c r="F986" s="2" t="s">
        <v>1951</v>
      </c>
      <c r="G986" s="2" t="s">
        <v>1952</v>
      </c>
      <c r="H986" s="2" t="s">
        <v>2684</v>
      </c>
      <c r="I986" s="2" t="s">
        <v>2682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5">
        <v>1</v>
      </c>
      <c r="Q986" s="2">
        <v>0</v>
      </c>
      <c r="R986" s="2">
        <v>0</v>
      </c>
      <c r="S986" s="2">
        <v>0</v>
      </c>
      <c r="T986" s="2">
        <v>0</v>
      </c>
      <c r="U986" s="5">
        <v>1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</row>
    <row r="987" spans="1:28" ht="45" x14ac:dyDescent="0.25">
      <c r="A987" s="2">
        <v>986</v>
      </c>
      <c r="B987" s="5">
        <v>5.3191489361702128E-2</v>
      </c>
      <c r="C987" s="5">
        <v>4.457831325301205E-2</v>
      </c>
      <c r="D987" s="5">
        <v>0.01</v>
      </c>
      <c r="E987" s="5">
        <v>1.391035548686244E-2</v>
      </c>
      <c r="F987" s="2" t="s">
        <v>1953</v>
      </c>
      <c r="G987" s="2" t="s">
        <v>1954</v>
      </c>
      <c r="H987" s="2" t="s">
        <v>2684</v>
      </c>
      <c r="I987" s="2" t="s">
        <v>2682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5">
        <v>1</v>
      </c>
      <c r="Q987" s="2">
        <v>0</v>
      </c>
      <c r="R987" s="2">
        <v>0</v>
      </c>
      <c r="S987" s="2">
        <v>0</v>
      </c>
      <c r="T987" s="2">
        <v>0</v>
      </c>
      <c r="U987" s="5">
        <v>1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 spans="1:28" ht="45" x14ac:dyDescent="0.25">
      <c r="A988" s="2">
        <v>987</v>
      </c>
      <c r="B988" s="5">
        <v>0.17127659574468079</v>
      </c>
      <c r="C988" s="5">
        <v>0.24096385542168669</v>
      </c>
      <c r="D988" s="5">
        <v>2E-3</v>
      </c>
      <c r="E988" s="5">
        <v>3.7094281298299843E-2</v>
      </c>
      <c r="F988" s="2" t="s">
        <v>1955</v>
      </c>
      <c r="G988" s="2" t="s">
        <v>1956</v>
      </c>
      <c r="H988" s="2" t="s">
        <v>2697</v>
      </c>
      <c r="I988" s="2" t="s">
        <v>2689</v>
      </c>
      <c r="J988" s="2">
        <v>0</v>
      </c>
      <c r="K988" s="2">
        <v>0</v>
      </c>
      <c r="L988" s="5">
        <v>1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5">
        <v>1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</row>
    <row r="989" spans="1:28" ht="45" x14ac:dyDescent="0.25">
      <c r="A989" s="2">
        <v>988</v>
      </c>
      <c r="B989" s="5">
        <v>0.23404255319148939</v>
      </c>
      <c r="C989" s="5">
        <v>0.18072289156626509</v>
      </c>
      <c r="D989" s="5">
        <v>1E-3</v>
      </c>
      <c r="E989" s="5">
        <v>6.1823802163833083E-2</v>
      </c>
      <c r="F989" s="2" t="s">
        <v>1957</v>
      </c>
      <c r="G989" s="2" t="s">
        <v>1958</v>
      </c>
      <c r="H989" s="2" t="s">
        <v>2697</v>
      </c>
      <c r="I989" s="2" t="s">
        <v>2682</v>
      </c>
      <c r="J989" s="2">
        <v>0</v>
      </c>
      <c r="K989" s="2">
        <v>0</v>
      </c>
      <c r="L989" s="5">
        <v>1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5">
        <v>1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</row>
    <row r="990" spans="1:28" ht="45" x14ac:dyDescent="0.25">
      <c r="A990" s="2">
        <v>989</v>
      </c>
      <c r="B990" s="5">
        <v>0.36702127659574468</v>
      </c>
      <c r="C990" s="5">
        <v>0.28674698795180731</v>
      </c>
      <c r="D990" s="5">
        <v>1.4E-2</v>
      </c>
      <c r="E990" s="5">
        <v>9.1653786707882531E-2</v>
      </c>
      <c r="F990" s="2" t="s">
        <v>1959</v>
      </c>
      <c r="G990" s="2" t="s">
        <v>1960</v>
      </c>
      <c r="H990" s="2" t="s">
        <v>2697</v>
      </c>
      <c r="I990" s="2" t="s">
        <v>2682</v>
      </c>
      <c r="J990" s="2">
        <v>0</v>
      </c>
      <c r="K990" s="2">
        <v>0</v>
      </c>
      <c r="L990" s="5">
        <v>1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5">
        <v>1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</row>
    <row r="991" spans="1:28" ht="30" x14ac:dyDescent="0.25">
      <c r="A991" s="2">
        <v>990</v>
      </c>
      <c r="B991" s="5">
        <v>0.23404255319148939</v>
      </c>
      <c r="C991" s="5">
        <v>0.18072289156626509</v>
      </c>
      <c r="D991" s="5">
        <v>9.0000000000000011E-3</v>
      </c>
      <c r="E991" s="5">
        <v>5.8732612055641419E-2</v>
      </c>
      <c r="F991" s="2" t="s">
        <v>1961</v>
      </c>
      <c r="G991" s="2" t="s">
        <v>1962</v>
      </c>
      <c r="H991" s="2" t="s">
        <v>2697</v>
      </c>
      <c r="I991" s="2" t="s">
        <v>2682</v>
      </c>
      <c r="J991" s="2">
        <v>0</v>
      </c>
      <c r="K991" s="2">
        <v>0</v>
      </c>
      <c r="L991" s="5">
        <v>1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5">
        <v>1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</row>
    <row r="992" spans="1:28" ht="45" x14ac:dyDescent="0.25">
      <c r="A992" s="2">
        <v>991</v>
      </c>
      <c r="B992" s="5">
        <v>0.54680851063829783</v>
      </c>
      <c r="C992" s="5">
        <v>1.204819277108434E-2</v>
      </c>
      <c r="D992" s="5">
        <v>0.27800000000000002</v>
      </c>
      <c r="E992" s="5">
        <v>1</v>
      </c>
      <c r="F992" s="2" t="s">
        <v>1963</v>
      </c>
      <c r="G992" s="2" t="s">
        <v>1964</v>
      </c>
      <c r="H992" s="2" t="s">
        <v>2681</v>
      </c>
      <c r="I992" s="2" t="s">
        <v>2682</v>
      </c>
      <c r="J992" s="2">
        <v>0</v>
      </c>
      <c r="K992" s="2">
        <v>0</v>
      </c>
      <c r="L992" s="2">
        <v>0</v>
      </c>
      <c r="M992" s="2">
        <v>0</v>
      </c>
      <c r="N992" s="5">
        <v>1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5">
        <v>1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</row>
    <row r="993" spans="1:28" ht="45" x14ac:dyDescent="0.25">
      <c r="A993" s="2">
        <v>992</v>
      </c>
      <c r="B993" s="5">
        <v>0.11382978723404261</v>
      </c>
      <c r="C993" s="5">
        <v>0.19156626506024099</v>
      </c>
      <c r="D993" s="5">
        <v>6.0000000000000001E-3</v>
      </c>
      <c r="E993" s="5">
        <v>6.1823802163833079E-4</v>
      </c>
      <c r="F993" s="2" t="s">
        <v>1965</v>
      </c>
      <c r="G993" s="2" t="s">
        <v>1966</v>
      </c>
      <c r="H993" s="2" t="s">
        <v>2681</v>
      </c>
      <c r="I993" s="2" t="s">
        <v>2682</v>
      </c>
      <c r="J993" s="2">
        <v>0</v>
      </c>
      <c r="K993" s="2">
        <v>0</v>
      </c>
      <c r="L993" s="2">
        <v>0</v>
      </c>
      <c r="M993" s="2">
        <v>0</v>
      </c>
      <c r="N993" s="5">
        <v>1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5">
        <v>1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</row>
    <row r="994" spans="1:28" ht="60" x14ac:dyDescent="0.25">
      <c r="A994" s="2">
        <v>993</v>
      </c>
      <c r="B994" s="5">
        <v>0.1670212765957447</v>
      </c>
      <c r="C994" s="5">
        <v>0.33734939759036148</v>
      </c>
      <c r="D994" s="5">
        <v>4.2000000000000003E-2</v>
      </c>
      <c r="E994" s="2">
        <v>0</v>
      </c>
      <c r="F994" s="2" t="s">
        <v>1967</v>
      </c>
      <c r="G994" s="2" t="s">
        <v>1968</v>
      </c>
      <c r="H994" s="2" t="s">
        <v>2688</v>
      </c>
      <c r="I994" s="2" t="s">
        <v>2689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5">
        <v>1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5">
        <v>1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 spans="1:28" ht="60" x14ac:dyDescent="0.25">
      <c r="A995" s="2">
        <v>994</v>
      </c>
      <c r="B995" s="5">
        <v>0.18085106382978719</v>
      </c>
      <c r="C995" s="5">
        <v>0.37349397590361449</v>
      </c>
      <c r="D995" s="5">
        <v>4.2000000000000003E-2</v>
      </c>
      <c r="E995" s="2">
        <v>0</v>
      </c>
      <c r="F995" s="2" t="s">
        <v>1969</v>
      </c>
      <c r="G995" s="2" t="s">
        <v>1970</v>
      </c>
      <c r="H995" s="2" t="s">
        <v>2688</v>
      </c>
      <c r="I995" s="2" t="s">
        <v>2689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5">
        <v>1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5">
        <v>1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</row>
    <row r="996" spans="1:28" ht="45" x14ac:dyDescent="0.25">
      <c r="A996" s="2">
        <v>995</v>
      </c>
      <c r="B996" s="5">
        <v>0.1627659574468085</v>
      </c>
      <c r="C996" s="5">
        <v>0.36144578313253012</v>
      </c>
      <c r="D996" s="5">
        <v>2.8000000000000001E-2</v>
      </c>
      <c r="E996" s="2">
        <v>0</v>
      </c>
      <c r="F996" s="2" t="s">
        <v>1971</v>
      </c>
      <c r="G996" s="2" t="s">
        <v>1972</v>
      </c>
      <c r="H996" s="2" t="s">
        <v>2688</v>
      </c>
      <c r="I996" s="2" t="s">
        <v>2689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5">
        <v>1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5">
        <v>1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</row>
    <row r="997" spans="1:28" ht="45" x14ac:dyDescent="0.25">
      <c r="A997" s="2">
        <v>996</v>
      </c>
      <c r="B997" s="5">
        <v>0.15106382978723401</v>
      </c>
      <c r="C997" s="5">
        <v>0.3253012048192771</v>
      </c>
      <c r="D997" s="5">
        <v>0.03</v>
      </c>
      <c r="E997" s="2">
        <v>0</v>
      </c>
      <c r="F997" s="2" t="s">
        <v>1973</v>
      </c>
      <c r="G997" s="2" t="s">
        <v>1974</v>
      </c>
      <c r="H997" s="2" t="s">
        <v>2688</v>
      </c>
      <c r="I997" s="2" t="s">
        <v>2689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5">
        <v>1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5">
        <v>1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</row>
    <row r="998" spans="1:28" ht="30" x14ac:dyDescent="0.25">
      <c r="A998" s="2">
        <v>997</v>
      </c>
      <c r="B998" s="5">
        <v>0.1319148936170213</v>
      </c>
      <c r="C998" s="5">
        <v>0.1144578313253012</v>
      </c>
      <c r="D998" s="5">
        <v>9.6000000000000002E-2</v>
      </c>
      <c r="E998" s="2">
        <v>0</v>
      </c>
      <c r="F998" s="2" t="s">
        <v>1975</v>
      </c>
      <c r="G998" s="2" t="s">
        <v>1976</v>
      </c>
      <c r="H998" s="2" t="s">
        <v>2688</v>
      </c>
      <c r="I998" s="2" t="s">
        <v>2687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5">
        <v>1</v>
      </c>
      <c r="P998" s="2">
        <v>0</v>
      </c>
      <c r="Q998" s="2">
        <v>0</v>
      </c>
      <c r="R998" s="2">
        <v>0</v>
      </c>
      <c r="S998" s="5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</row>
    <row r="999" spans="1:28" ht="30" x14ac:dyDescent="0.25">
      <c r="A999" s="2">
        <v>998</v>
      </c>
      <c r="B999" s="5">
        <v>0.1053191489361702</v>
      </c>
      <c r="C999" s="5">
        <v>1.445783132530121E-2</v>
      </c>
      <c r="D999" s="5">
        <v>2E-3</v>
      </c>
      <c r="E999" s="5">
        <v>3.9876352395672332E-2</v>
      </c>
      <c r="F999" s="2" t="s">
        <v>1977</v>
      </c>
      <c r="G999" s="2" t="s">
        <v>1978</v>
      </c>
      <c r="H999" s="2" t="s">
        <v>2683</v>
      </c>
      <c r="I999" s="2" t="s">
        <v>2686</v>
      </c>
      <c r="J999" s="2">
        <v>0</v>
      </c>
      <c r="K999" s="2">
        <v>0</v>
      </c>
      <c r="L999" s="2">
        <v>0</v>
      </c>
      <c r="M999" s="5">
        <v>1</v>
      </c>
      <c r="N999" s="2">
        <v>0</v>
      </c>
      <c r="O999" s="2">
        <v>0</v>
      </c>
      <c r="P999" s="2">
        <v>0</v>
      </c>
      <c r="Q999" s="5">
        <v>1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</row>
    <row r="1000" spans="1:28" ht="45" x14ac:dyDescent="0.25">
      <c r="A1000" s="2">
        <v>999</v>
      </c>
      <c r="B1000" s="5">
        <v>7.2340425531914901E-2</v>
      </c>
      <c r="C1000" s="5">
        <v>1.566265060240964E-2</v>
      </c>
      <c r="D1000" s="5">
        <v>2E-3</v>
      </c>
      <c r="E1000" s="5">
        <v>2.658423493044822E-2</v>
      </c>
      <c r="F1000" s="2" t="s">
        <v>1979</v>
      </c>
      <c r="G1000" s="2" t="s">
        <v>1980</v>
      </c>
      <c r="H1000" s="2" t="s">
        <v>2683</v>
      </c>
      <c r="I1000" s="2" t="s">
        <v>2686</v>
      </c>
      <c r="J1000" s="2">
        <v>0</v>
      </c>
      <c r="K1000" s="2">
        <v>0</v>
      </c>
      <c r="L1000" s="2">
        <v>0</v>
      </c>
      <c r="M1000" s="5">
        <v>1</v>
      </c>
      <c r="N1000" s="2">
        <v>0</v>
      </c>
      <c r="O1000" s="2">
        <v>0</v>
      </c>
      <c r="P1000" s="2">
        <v>0</v>
      </c>
      <c r="Q1000" s="5">
        <v>1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</row>
    <row r="1001" spans="1:28" ht="45" x14ac:dyDescent="0.25">
      <c r="A1001" s="2">
        <v>1000</v>
      </c>
      <c r="B1001" s="5">
        <v>0.1276595744680851</v>
      </c>
      <c r="C1001" s="5">
        <v>1.3253012048192771E-2</v>
      </c>
      <c r="D1001" s="5">
        <v>2E-3</v>
      </c>
      <c r="E1001" s="5">
        <v>4.1421947449768161E-2</v>
      </c>
      <c r="F1001" s="2" t="s">
        <v>1981</v>
      </c>
      <c r="G1001" s="2" t="s">
        <v>1982</v>
      </c>
      <c r="H1001" s="2" t="s">
        <v>2683</v>
      </c>
      <c r="I1001" s="2" t="s">
        <v>2689</v>
      </c>
      <c r="J1001" s="2">
        <v>0</v>
      </c>
      <c r="K1001" s="2">
        <v>0</v>
      </c>
      <c r="L1001" s="2">
        <v>0</v>
      </c>
      <c r="M1001" s="5">
        <v>1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5">
        <v>1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</row>
    <row r="1002" spans="1:28" ht="45" x14ac:dyDescent="0.25">
      <c r="A1002" s="2">
        <v>1001</v>
      </c>
      <c r="B1002" s="5">
        <v>0.1351063829787234</v>
      </c>
      <c r="C1002" s="5">
        <v>2.5301204819277109E-2</v>
      </c>
      <c r="D1002" s="5">
        <v>3.0000000000000001E-3</v>
      </c>
      <c r="E1002" s="5">
        <v>4.8068006182380218E-2</v>
      </c>
      <c r="F1002" s="2" t="s">
        <v>1983</v>
      </c>
      <c r="G1002" s="2" t="s">
        <v>1984</v>
      </c>
      <c r="H1002" s="2" t="s">
        <v>2683</v>
      </c>
      <c r="I1002" s="2" t="s">
        <v>2686</v>
      </c>
      <c r="J1002" s="2">
        <v>0</v>
      </c>
      <c r="K1002" s="2">
        <v>0</v>
      </c>
      <c r="L1002" s="2">
        <v>0</v>
      </c>
      <c r="M1002" s="5">
        <v>1</v>
      </c>
      <c r="N1002" s="2">
        <v>0</v>
      </c>
      <c r="O1002" s="2">
        <v>0</v>
      </c>
      <c r="P1002" s="2">
        <v>0</v>
      </c>
      <c r="Q1002" s="5">
        <v>1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</row>
    <row r="1003" spans="1:28" ht="45" x14ac:dyDescent="0.25">
      <c r="A1003" s="2">
        <v>1002</v>
      </c>
      <c r="B1003" s="5">
        <v>0.23404255319148939</v>
      </c>
      <c r="C1003" s="5">
        <v>2.7710843373493971E-2</v>
      </c>
      <c r="D1003" s="5">
        <v>2.3E-2</v>
      </c>
      <c r="E1003" s="5">
        <v>9.7372488408037083E-3</v>
      </c>
      <c r="F1003" s="2" t="s">
        <v>1985</v>
      </c>
      <c r="G1003" s="2" t="s">
        <v>1986</v>
      </c>
      <c r="H1003" s="2" t="s">
        <v>2684</v>
      </c>
      <c r="I1003" s="2" t="s">
        <v>2686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5">
        <v>1</v>
      </c>
      <c r="Q1003" s="5">
        <v>1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</row>
    <row r="1004" spans="1:28" ht="30" x14ac:dyDescent="0.25">
      <c r="A1004" s="2">
        <v>1003</v>
      </c>
      <c r="B1004" s="5">
        <v>0.1223404255319149</v>
      </c>
      <c r="C1004" s="5">
        <v>2.289156626506024E-2</v>
      </c>
      <c r="D1004" s="5">
        <v>2E-3</v>
      </c>
      <c r="E1004" s="5">
        <v>4.312210200927357E-2</v>
      </c>
      <c r="F1004" s="2" t="s">
        <v>1987</v>
      </c>
      <c r="G1004" s="2" t="s">
        <v>1988</v>
      </c>
      <c r="H1004" s="2" t="s">
        <v>2683</v>
      </c>
      <c r="I1004" s="2" t="s">
        <v>2686</v>
      </c>
      <c r="J1004" s="2">
        <v>0</v>
      </c>
      <c r="K1004" s="2">
        <v>0</v>
      </c>
      <c r="L1004" s="2">
        <v>0</v>
      </c>
      <c r="M1004" s="5">
        <v>1</v>
      </c>
      <c r="N1004" s="2">
        <v>0</v>
      </c>
      <c r="O1004" s="2">
        <v>0</v>
      </c>
      <c r="P1004" s="2">
        <v>0</v>
      </c>
      <c r="Q1004" s="5">
        <v>1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</row>
    <row r="1005" spans="1:28" ht="30" x14ac:dyDescent="0.25">
      <c r="A1005" s="2">
        <v>1004</v>
      </c>
      <c r="B1005" s="5">
        <v>0.12446808510638301</v>
      </c>
      <c r="C1005" s="5">
        <v>2.4096385542168679E-2</v>
      </c>
      <c r="D1005" s="5">
        <v>3.0000000000000001E-3</v>
      </c>
      <c r="E1005" s="5">
        <v>4.4667697063369392E-2</v>
      </c>
      <c r="F1005" s="2" t="s">
        <v>1989</v>
      </c>
      <c r="G1005" s="2" t="s">
        <v>1990</v>
      </c>
      <c r="H1005" s="2" t="s">
        <v>2683</v>
      </c>
      <c r="I1005" s="2" t="s">
        <v>2686</v>
      </c>
      <c r="J1005" s="2">
        <v>0</v>
      </c>
      <c r="K1005" s="2">
        <v>0</v>
      </c>
      <c r="L1005" s="2">
        <v>0</v>
      </c>
      <c r="M1005" s="5">
        <v>1</v>
      </c>
      <c r="N1005" s="2">
        <v>0</v>
      </c>
      <c r="O1005" s="2">
        <v>0</v>
      </c>
      <c r="P1005" s="2">
        <v>0</v>
      </c>
      <c r="Q1005" s="5">
        <v>1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</row>
    <row r="1006" spans="1:28" ht="45" x14ac:dyDescent="0.25">
      <c r="A1006" s="2">
        <v>1005</v>
      </c>
      <c r="B1006" s="5">
        <v>0.1063829787234043</v>
      </c>
      <c r="C1006" s="5">
        <v>1.6867469879518069E-2</v>
      </c>
      <c r="D1006" s="5">
        <v>5.0000000000000001E-3</v>
      </c>
      <c r="E1006" s="5">
        <v>3.6476043276661513E-2</v>
      </c>
      <c r="F1006" s="2" t="s">
        <v>1991</v>
      </c>
      <c r="G1006" s="2" t="s">
        <v>1992</v>
      </c>
      <c r="H1006" s="2" t="s">
        <v>2683</v>
      </c>
      <c r="I1006" s="2" t="s">
        <v>2686</v>
      </c>
      <c r="J1006" s="2">
        <v>0</v>
      </c>
      <c r="K1006" s="2">
        <v>0</v>
      </c>
      <c r="L1006" s="2">
        <v>0</v>
      </c>
      <c r="M1006" s="5">
        <v>1</v>
      </c>
      <c r="N1006" s="2">
        <v>0</v>
      </c>
      <c r="O1006" s="2">
        <v>0</v>
      </c>
      <c r="P1006" s="2">
        <v>0</v>
      </c>
      <c r="Q1006" s="5">
        <v>1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</row>
    <row r="1007" spans="1:28" ht="30" x14ac:dyDescent="0.25">
      <c r="A1007" s="2">
        <v>1006</v>
      </c>
      <c r="B1007" s="5">
        <v>0.1159574468085106</v>
      </c>
      <c r="C1007" s="5">
        <v>9.6385542168674707E-3</v>
      </c>
      <c r="D1007" s="5">
        <v>5.0000000000000001E-3</v>
      </c>
      <c r="E1007" s="5">
        <v>4.064914992272025E-2</v>
      </c>
      <c r="F1007" s="2" t="s">
        <v>1993</v>
      </c>
      <c r="G1007" s="2" t="s">
        <v>1994</v>
      </c>
      <c r="H1007" s="2" t="s">
        <v>2683</v>
      </c>
      <c r="I1007" s="2" t="s">
        <v>2686</v>
      </c>
      <c r="J1007" s="2">
        <v>0</v>
      </c>
      <c r="K1007" s="2">
        <v>0</v>
      </c>
      <c r="L1007" s="2">
        <v>0</v>
      </c>
      <c r="M1007" s="5">
        <v>1</v>
      </c>
      <c r="N1007" s="2">
        <v>0</v>
      </c>
      <c r="O1007" s="2">
        <v>0</v>
      </c>
      <c r="P1007" s="2">
        <v>0</v>
      </c>
      <c r="Q1007" s="5">
        <v>1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</row>
    <row r="1008" spans="1:28" ht="45" x14ac:dyDescent="0.25">
      <c r="A1008" s="2">
        <v>1007</v>
      </c>
      <c r="B1008" s="5">
        <v>0.1542553191489362</v>
      </c>
      <c r="C1008" s="5">
        <v>1.3253012048192771E-2</v>
      </c>
      <c r="D1008" s="5">
        <v>3.0000000000000001E-3</v>
      </c>
      <c r="E1008" s="5">
        <v>5.3323029366306028E-2</v>
      </c>
      <c r="F1008" s="2" t="s">
        <v>1995</v>
      </c>
      <c r="G1008" s="2" t="s">
        <v>1996</v>
      </c>
      <c r="H1008" s="2" t="s">
        <v>2683</v>
      </c>
      <c r="I1008" s="2" t="s">
        <v>2686</v>
      </c>
      <c r="J1008" s="2">
        <v>0</v>
      </c>
      <c r="K1008" s="2">
        <v>0</v>
      </c>
      <c r="L1008" s="2">
        <v>0</v>
      </c>
      <c r="M1008" s="5">
        <v>1</v>
      </c>
      <c r="N1008" s="2">
        <v>0</v>
      </c>
      <c r="O1008" s="2">
        <v>0</v>
      </c>
      <c r="P1008" s="2">
        <v>0</v>
      </c>
      <c r="Q1008" s="5">
        <v>1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</row>
    <row r="1009" spans="1:28" ht="60" x14ac:dyDescent="0.25">
      <c r="A1009" s="2">
        <v>1008</v>
      </c>
      <c r="B1009" s="5">
        <v>0.10212765957446809</v>
      </c>
      <c r="C1009" s="5">
        <v>1.204819277108434E-2</v>
      </c>
      <c r="D1009" s="5">
        <v>2E-3</v>
      </c>
      <c r="E1009" s="5">
        <v>3.4775888717156103E-2</v>
      </c>
      <c r="F1009" s="2" t="s">
        <v>1997</v>
      </c>
      <c r="G1009" s="2" t="s">
        <v>1998</v>
      </c>
      <c r="H1009" s="2" t="s">
        <v>2683</v>
      </c>
      <c r="I1009" s="2" t="s">
        <v>2686</v>
      </c>
      <c r="J1009" s="2">
        <v>0</v>
      </c>
      <c r="K1009" s="2">
        <v>0</v>
      </c>
      <c r="L1009" s="2">
        <v>0</v>
      </c>
      <c r="M1009" s="5">
        <v>1</v>
      </c>
      <c r="N1009" s="2">
        <v>0</v>
      </c>
      <c r="O1009" s="2">
        <v>0</v>
      </c>
      <c r="P1009" s="2">
        <v>0</v>
      </c>
      <c r="Q1009" s="5">
        <v>1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</row>
    <row r="1010" spans="1:28" ht="30" x14ac:dyDescent="0.25">
      <c r="A1010" s="2">
        <v>1009</v>
      </c>
      <c r="B1010" s="5">
        <v>0.1053191489361702</v>
      </c>
      <c r="C1010" s="5">
        <v>1.566265060240964E-2</v>
      </c>
      <c r="D1010" s="5">
        <v>2E-3</v>
      </c>
      <c r="E1010" s="5">
        <v>3.956723338485317E-2</v>
      </c>
      <c r="F1010" s="2" t="s">
        <v>1999</v>
      </c>
      <c r="G1010" s="2" t="s">
        <v>2000</v>
      </c>
      <c r="H1010" s="2" t="s">
        <v>2683</v>
      </c>
      <c r="I1010" s="2" t="s">
        <v>2686</v>
      </c>
      <c r="J1010" s="2">
        <v>0</v>
      </c>
      <c r="K1010" s="2">
        <v>0</v>
      </c>
      <c r="L1010" s="2">
        <v>0</v>
      </c>
      <c r="M1010" s="5">
        <v>1</v>
      </c>
      <c r="N1010" s="2">
        <v>0</v>
      </c>
      <c r="O1010" s="2">
        <v>0</v>
      </c>
      <c r="P1010" s="2">
        <v>0</v>
      </c>
      <c r="Q1010" s="5">
        <v>1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</row>
    <row r="1011" spans="1:28" ht="30" x14ac:dyDescent="0.25">
      <c r="A1011" s="2">
        <v>1010</v>
      </c>
      <c r="B1011" s="5">
        <v>0.1351063829787234</v>
      </c>
      <c r="C1011" s="5">
        <v>1.6867469879518069E-2</v>
      </c>
      <c r="D1011" s="5">
        <v>2E-3</v>
      </c>
      <c r="E1011" s="5">
        <v>5.1931993817619787E-2</v>
      </c>
      <c r="F1011" s="2" t="s">
        <v>2001</v>
      </c>
      <c r="G1011" s="2" t="s">
        <v>2002</v>
      </c>
      <c r="H1011" s="2" t="s">
        <v>2683</v>
      </c>
      <c r="I1011" s="2" t="s">
        <v>2686</v>
      </c>
      <c r="J1011" s="2">
        <v>0</v>
      </c>
      <c r="K1011" s="2">
        <v>0</v>
      </c>
      <c r="L1011" s="2">
        <v>0</v>
      </c>
      <c r="M1011" s="5">
        <v>1</v>
      </c>
      <c r="N1011" s="2">
        <v>0</v>
      </c>
      <c r="O1011" s="2">
        <v>0</v>
      </c>
      <c r="P1011" s="2">
        <v>0</v>
      </c>
      <c r="Q1011" s="5">
        <v>1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 spans="1:28" ht="30" x14ac:dyDescent="0.25">
      <c r="A1012" s="2">
        <v>1011</v>
      </c>
      <c r="B1012" s="5">
        <v>0.1351063829787234</v>
      </c>
      <c r="C1012" s="5">
        <v>1.6867469879518069E-2</v>
      </c>
      <c r="D1012" s="5">
        <v>2E-3</v>
      </c>
      <c r="E1012" s="5">
        <v>4.9149922720247298E-2</v>
      </c>
      <c r="F1012" s="2" t="s">
        <v>2003</v>
      </c>
      <c r="G1012" s="2" t="s">
        <v>2004</v>
      </c>
      <c r="H1012" s="2" t="s">
        <v>2683</v>
      </c>
      <c r="I1012" s="2" t="s">
        <v>2686</v>
      </c>
      <c r="J1012" s="2">
        <v>0</v>
      </c>
      <c r="K1012" s="2">
        <v>0</v>
      </c>
      <c r="L1012" s="2">
        <v>0</v>
      </c>
      <c r="M1012" s="5">
        <v>1</v>
      </c>
      <c r="N1012" s="2">
        <v>0</v>
      </c>
      <c r="O1012" s="2">
        <v>0</v>
      </c>
      <c r="P1012" s="2">
        <v>0</v>
      </c>
      <c r="Q1012" s="5">
        <v>1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</row>
    <row r="1013" spans="1:28" ht="45" x14ac:dyDescent="0.25">
      <c r="A1013" s="2">
        <v>1012</v>
      </c>
      <c r="B1013" s="5">
        <v>0.14255319148936171</v>
      </c>
      <c r="C1013" s="5">
        <v>1.3253012048192771E-2</v>
      </c>
      <c r="D1013" s="5">
        <v>5.0000000000000001E-3</v>
      </c>
      <c r="E1013" s="5">
        <v>5.4868624420401857E-2</v>
      </c>
      <c r="F1013" s="2" t="s">
        <v>2005</v>
      </c>
      <c r="G1013" s="2" t="s">
        <v>2006</v>
      </c>
      <c r="H1013" s="2" t="s">
        <v>2683</v>
      </c>
      <c r="I1013" s="2" t="s">
        <v>2686</v>
      </c>
      <c r="J1013" s="2">
        <v>0</v>
      </c>
      <c r="K1013" s="2">
        <v>0</v>
      </c>
      <c r="L1013" s="2">
        <v>0</v>
      </c>
      <c r="M1013" s="5">
        <v>1</v>
      </c>
      <c r="N1013" s="2">
        <v>0</v>
      </c>
      <c r="O1013" s="2">
        <v>0</v>
      </c>
      <c r="P1013" s="2">
        <v>0</v>
      </c>
      <c r="Q1013" s="5">
        <v>1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</row>
    <row r="1014" spans="1:28" ht="45" x14ac:dyDescent="0.25">
      <c r="A1014" s="2">
        <v>1013</v>
      </c>
      <c r="B1014" s="5">
        <v>0.1276595744680851</v>
      </c>
      <c r="C1014" s="5">
        <v>1.445783132530121E-2</v>
      </c>
      <c r="D1014" s="5">
        <v>2E-3</v>
      </c>
      <c r="E1014" s="5">
        <v>4.9149922720247298E-2</v>
      </c>
      <c r="F1014" s="2" t="s">
        <v>2007</v>
      </c>
      <c r="G1014" s="2" t="s">
        <v>2008</v>
      </c>
      <c r="H1014" s="2" t="s">
        <v>2683</v>
      </c>
      <c r="I1014" s="2" t="s">
        <v>2686</v>
      </c>
      <c r="J1014" s="2">
        <v>0</v>
      </c>
      <c r="K1014" s="2">
        <v>0</v>
      </c>
      <c r="L1014" s="2">
        <v>0</v>
      </c>
      <c r="M1014" s="5">
        <v>1</v>
      </c>
      <c r="N1014" s="2">
        <v>0</v>
      </c>
      <c r="O1014" s="2">
        <v>0</v>
      </c>
      <c r="P1014" s="2">
        <v>0</v>
      </c>
      <c r="Q1014" s="5">
        <v>1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</row>
    <row r="1015" spans="1:28" ht="45" x14ac:dyDescent="0.25">
      <c r="A1015" s="2">
        <v>1014</v>
      </c>
      <c r="B1015" s="5">
        <v>0.12553191489361701</v>
      </c>
      <c r="C1015" s="5">
        <v>1.445783132530121E-2</v>
      </c>
      <c r="D1015" s="5">
        <v>2E-3</v>
      </c>
      <c r="E1015" s="5">
        <v>4.8068006182380218E-2</v>
      </c>
      <c r="F1015" s="2" t="s">
        <v>2009</v>
      </c>
      <c r="G1015" s="2" t="s">
        <v>2010</v>
      </c>
      <c r="H1015" s="2" t="s">
        <v>2696</v>
      </c>
      <c r="I1015" s="2" t="s">
        <v>2693</v>
      </c>
      <c r="J1015" s="2">
        <v>0</v>
      </c>
      <c r="K1015" s="5">
        <v>1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5">
        <v>1</v>
      </c>
      <c r="AA1015" s="2">
        <v>0</v>
      </c>
      <c r="AB1015" s="2">
        <v>0</v>
      </c>
    </row>
    <row r="1016" spans="1:28" ht="30" x14ac:dyDescent="0.25">
      <c r="A1016" s="2">
        <v>1015</v>
      </c>
      <c r="B1016" s="5">
        <v>0.1042553191489362</v>
      </c>
      <c r="C1016" s="5">
        <v>1.566265060240964E-2</v>
      </c>
      <c r="D1016" s="5">
        <v>1.2E-2</v>
      </c>
      <c r="E1016" s="5">
        <v>3.1684698608964453E-2</v>
      </c>
      <c r="F1016" s="2" t="s">
        <v>2011</v>
      </c>
      <c r="G1016" s="2" t="s">
        <v>2012</v>
      </c>
      <c r="H1016" s="2" t="s">
        <v>2683</v>
      </c>
      <c r="I1016" s="2" t="s">
        <v>2686</v>
      </c>
      <c r="J1016" s="2">
        <v>0</v>
      </c>
      <c r="K1016" s="2">
        <v>0</v>
      </c>
      <c r="L1016" s="2">
        <v>0</v>
      </c>
      <c r="M1016" s="5">
        <v>1</v>
      </c>
      <c r="N1016" s="2">
        <v>0</v>
      </c>
      <c r="O1016" s="2">
        <v>0</v>
      </c>
      <c r="P1016" s="2">
        <v>0</v>
      </c>
      <c r="Q1016" s="5">
        <v>1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</row>
    <row r="1017" spans="1:28" ht="45" x14ac:dyDescent="0.25">
      <c r="A1017" s="2">
        <v>1016</v>
      </c>
      <c r="B1017" s="5">
        <v>0.66489361702127658</v>
      </c>
      <c r="C1017" s="5">
        <v>1.204819277108434E-2</v>
      </c>
      <c r="D1017" s="2">
        <v>0</v>
      </c>
      <c r="E1017" s="5">
        <v>1.2519319938176199E-2</v>
      </c>
      <c r="F1017" s="2" t="s">
        <v>2013</v>
      </c>
      <c r="G1017" s="2" t="s">
        <v>2014</v>
      </c>
      <c r="H1017" s="2" t="s">
        <v>2684</v>
      </c>
      <c r="I1017" s="2" t="s">
        <v>2686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5">
        <v>1</v>
      </c>
      <c r="Q1017" s="5">
        <v>1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</row>
    <row r="1018" spans="1:28" ht="30" x14ac:dyDescent="0.25">
      <c r="A1018" s="2">
        <v>1017</v>
      </c>
      <c r="B1018" s="5">
        <v>0.1202127659574468</v>
      </c>
      <c r="C1018" s="5">
        <v>1.445783132530121E-2</v>
      </c>
      <c r="D1018" s="5">
        <v>2E-3</v>
      </c>
      <c r="E1018" s="5">
        <v>4.1267387944358573E-2</v>
      </c>
      <c r="F1018" s="2" t="s">
        <v>2015</v>
      </c>
      <c r="G1018" s="2" t="s">
        <v>2016</v>
      </c>
      <c r="H1018" s="2" t="s">
        <v>2683</v>
      </c>
      <c r="I1018" s="2" t="s">
        <v>2686</v>
      </c>
      <c r="J1018" s="2">
        <v>0</v>
      </c>
      <c r="K1018" s="2">
        <v>0</v>
      </c>
      <c r="L1018" s="2">
        <v>0</v>
      </c>
      <c r="M1018" s="5">
        <v>1</v>
      </c>
      <c r="N1018" s="2">
        <v>0</v>
      </c>
      <c r="O1018" s="2">
        <v>0</v>
      </c>
      <c r="P1018" s="2">
        <v>0</v>
      </c>
      <c r="Q1018" s="5">
        <v>1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</row>
    <row r="1019" spans="1:28" ht="45" x14ac:dyDescent="0.25">
      <c r="A1019" s="2">
        <v>1018</v>
      </c>
      <c r="B1019" s="5">
        <v>4.7872340425531908E-2</v>
      </c>
      <c r="C1019" s="5">
        <v>2.6506024096385541E-2</v>
      </c>
      <c r="D1019" s="5">
        <v>3.0000000000000001E-3</v>
      </c>
      <c r="E1019" s="5">
        <v>1.591962905718702E-2</v>
      </c>
      <c r="F1019" s="2" t="s">
        <v>2017</v>
      </c>
      <c r="G1019" s="2" t="s">
        <v>472</v>
      </c>
      <c r="H1019" s="2" t="s">
        <v>2683</v>
      </c>
      <c r="I1019" s="2" t="s">
        <v>2692</v>
      </c>
      <c r="J1019" s="2">
        <v>0</v>
      </c>
      <c r="K1019" s="2">
        <v>0</v>
      </c>
      <c r="L1019" s="2">
        <v>0</v>
      </c>
      <c r="M1019" s="5">
        <v>1</v>
      </c>
      <c r="N1019" s="2">
        <v>0</v>
      </c>
      <c r="O1019" s="2">
        <v>0</v>
      </c>
      <c r="P1019" s="2">
        <v>0</v>
      </c>
      <c r="Q1019" s="2">
        <v>0</v>
      </c>
      <c r="R1019" s="5">
        <v>1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</row>
    <row r="1020" spans="1:28" ht="45" x14ac:dyDescent="0.25">
      <c r="A1020" s="2">
        <v>1019</v>
      </c>
      <c r="B1020" s="5">
        <v>3.5106382978723413E-2</v>
      </c>
      <c r="C1020" s="5">
        <v>5.4216867469879519E-2</v>
      </c>
      <c r="D1020" s="5">
        <v>4.0000000000000001E-3</v>
      </c>
      <c r="E1020" s="5">
        <v>4.3276661514683153E-3</v>
      </c>
      <c r="F1020" s="2" t="s">
        <v>2018</v>
      </c>
      <c r="G1020" s="2" t="s">
        <v>2019</v>
      </c>
      <c r="H1020" s="2" t="s">
        <v>2683</v>
      </c>
      <c r="I1020" s="2" t="s">
        <v>2685</v>
      </c>
      <c r="J1020" s="2">
        <v>0</v>
      </c>
      <c r="K1020" s="2">
        <v>0</v>
      </c>
      <c r="L1020" s="2">
        <v>0</v>
      </c>
      <c r="M1020" s="5">
        <v>1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5">
        <v>1</v>
      </c>
      <c r="Y1020" s="2">
        <v>0</v>
      </c>
      <c r="Z1020" s="2">
        <v>0</v>
      </c>
      <c r="AA1020" s="2">
        <v>0</v>
      </c>
      <c r="AB1020" s="2">
        <v>0</v>
      </c>
    </row>
    <row r="1021" spans="1:28" ht="60" x14ac:dyDescent="0.25">
      <c r="A1021" s="2">
        <v>1020</v>
      </c>
      <c r="B1021" s="5">
        <v>0.22978723404255319</v>
      </c>
      <c r="C1021" s="5">
        <v>3.1325301204819279E-2</v>
      </c>
      <c r="D1021" s="5">
        <v>3.1E-2</v>
      </c>
      <c r="E1021" s="5">
        <v>6.8624420401854708E-2</v>
      </c>
      <c r="F1021" s="2" t="s">
        <v>2020</v>
      </c>
      <c r="G1021" s="2" t="s">
        <v>2021</v>
      </c>
      <c r="H1021" s="2" t="s">
        <v>2683</v>
      </c>
      <c r="I1021" s="2" t="s">
        <v>2691</v>
      </c>
      <c r="J1021" s="2">
        <v>0</v>
      </c>
      <c r="K1021" s="2">
        <v>0</v>
      </c>
      <c r="L1021" s="2">
        <v>0</v>
      </c>
      <c r="M1021" s="5">
        <v>1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5">
        <v>1</v>
      </c>
      <c r="Z1021" s="2">
        <v>0</v>
      </c>
      <c r="AA1021" s="2">
        <v>0</v>
      </c>
      <c r="AB1021" s="2">
        <v>0</v>
      </c>
    </row>
    <row r="1022" spans="1:28" ht="30" x14ac:dyDescent="0.25">
      <c r="A1022" s="2">
        <v>1021</v>
      </c>
      <c r="B1022" s="5">
        <v>0.23829787234042549</v>
      </c>
      <c r="C1022" s="5">
        <v>0.31566265060240972</v>
      </c>
      <c r="D1022" s="5">
        <v>0.113</v>
      </c>
      <c r="E1022" s="5">
        <v>6.8006182380216376E-3</v>
      </c>
      <c r="F1022" s="2" t="s">
        <v>2022</v>
      </c>
      <c r="G1022" s="2" t="s">
        <v>2023</v>
      </c>
      <c r="H1022" s="2" t="s">
        <v>2684</v>
      </c>
      <c r="I1022" s="2" t="s">
        <v>2689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5">
        <v>1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5">
        <v>1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</row>
    <row r="1023" spans="1:28" ht="45" x14ac:dyDescent="0.25">
      <c r="A1023" s="2">
        <v>1022</v>
      </c>
      <c r="B1023" s="5">
        <v>0.1106382978723404</v>
      </c>
      <c r="C1023" s="5">
        <v>2.289156626506024E-2</v>
      </c>
      <c r="D1023" s="5">
        <v>4.0999999999999988E-2</v>
      </c>
      <c r="E1023" s="5">
        <v>2.3338485316846989E-2</v>
      </c>
      <c r="F1023" s="2" t="s">
        <v>2024</v>
      </c>
      <c r="G1023" s="2" t="s">
        <v>2025</v>
      </c>
      <c r="H1023" s="2" t="s">
        <v>2683</v>
      </c>
      <c r="I1023" s="2" t="s">
        <v>2691</v>
      </c>
      <c r="J1023" s="2">
        <v>0</v>
      </c>
      <c r="K1023" s="2">
        <v>0</v>
      </c>
      <c r="L1023" s="2">
        <v>0</v>
      </c>
      <c r="M1023" s="5">
        <v>1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5">
        <v>1</v>
      </c>
      <c r="Z1023" s="2">
        <v>0</v>
      </c>
      <c r="AA1023" s="2">
        <v>0</v>
      </c>
      <c r="AB1023" s="2">
        <v>0</v>
      </c>
    </row>
    <row r="1024" spans="1:28" ht="30" x14ac:dyDescent="0.25">
      <c r="A1024" s="2">
        <v>1023</v>
      </c>
      <c r="B1024" s="5">
        <v>2.6595744680851061E-2</v>
      </c>
      <c r="C1024" s="5">
        <v>1.8072289156626509E-2</v>
      </c>
      <c r="D1024" s="5">
        <v>5.0000000000000001E-3</v>
      </c>
      <c r="E1024" s="5">
        <v>5.5641421947449756E-3</v>
      </c>
      <c r="F1024" s="2" t="s">
        <v>2026</v>
      </c>
      <c r="G1024" s="2" t="s">
        <v>351</v>
      </c>
      <c r="H1024" s="2" t="s">
        <v>2681</v>
      </c>
      <c r="I1024" s="2" t="s">
        <v>2682</v>
      </c>
      <c r="J1024" s="2">
        <v>0</v>
      </c>
      <c r="K1024" s="2">
        <v>0</v>
      </c>
      <c r="L1024" s="2">
        <v>0</v>
      </c>
      <c r="M1024" s="2">
        <v>0</v>
      </c>
      <c r="N1024" s="5">
        <v>1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5">
        <v>1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</row>
    <row r="1025" spans="1:28" ht="45" x14ac:dyDescent="0.25">
      <c r="A1025" s="2">
        <v>1024</v>
      </c>
      <c r="B1025" s="5">
        <v>8.085106382978724E-2</v>
      </c>
      <c r="C1025" s="5">
        <v>4.9397590361445781E-2</v>
      </c>
      <c r="D1025" s="5">
        <v>1.0999999999999999E-2</v>
      </c>
      <c r="E1025" s="5">
        <v>2.349304482225657E-2</v>
      </c>
      <c r="F1025" s="2" t="s">
        <v>2027</v>
      </c>
      <c r="G1025" s="2" t="s">
        <v>2028</v>
      </c>
      <c r="H1025" s="2" t="s">
        <v>2681</v>
      </c>
      <c r="I1025" s="2" t="s">
        <v>2682</v>
      </c>
      <c r="J1025" s="2">
        <v>0</v>
      </c>
      <c r="K1025" s="2">
        <v>0</v>
      </c>
      <c r="L1025" s="2">
        <v>0</v>
      </c>
      <c r="M1025" s="2">
        <v>0</v>
      </c>
      <c r="N1025" s="5">
        <v>1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5">
        <v>1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</row>
    <row r="1026" spans="1:28" ht="45" x14ac:dyDescent="0.25">
      <c r="A1026" s="2">
        <v>1025</v>
      </c>
      <c r="B1026" s="5">
        <v>8.085106382978724E-2</v>
      </c>
      <c r="C1026" s="5">
        <v>4.3373493975903621E-2</v>
      </c>
      <c r="D1026" s="5">
        <v>3.0000000000000001E-3</v>
      </c>
      <c r="E1026" s="5">
        <v>2.2565687789799071E-2</v>
      </c>
      <c r="F1026" s="2" t="s">
        <v>2029</v>
      </c>
      <c r="G1026" s="2" t="s">
        <v>2030</v>
      </c>
      <c r="H1026" s="2" t="s">
        <v>2681</v>
      </c>
      <c r="I1026" s="2" t="s">
        <v>2682</v>
      </c>
      <c r="J1026" s="2">
        <v>0</v>
      </c>
      <c r="K1026" s="2">
        <v>0</v>
      </c>
      <c r="L1026" s="2">
        <v>0</v>
      </c>
      <c r="M1026" s="2">
        <v>0</v>
      </c>
      <c r="N1026" s="5">
        <v>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5">
        <v>1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</row>
    <row r="1027" spans="1:28" ht="45" x14ac:dyDescent="0.25">
      <c r="A1027" s="2">
        <v>1026</v>
      </c>
      <c r="B1027" s="5">
        <v>0.17340425531914891</v>
      </c>
      <c r="C1027" s="5">
        <v>2.6506024096385541E-2</v>
      </c>
      <c r="D1027" s="5">
        <v>6.5000000000000002E-2</v>
      </c>
      <c r="E1027" s="5">
        <v>3.6785162287480681E-2</v>
      </c>
      <c r="F1027" s="2" t="s">
        <v>2031</v>
      </c>
      <c r="G1027" s="2" t="s">
        <v>2032</v>
      </c>
      <c r="H1027" s="2" t="s">
        <v>2683</v>
      </c>
      <c r="I1027" s="2" t="s">
        <v>2691</v>
      </c>
      <c r="J1027" s="2">
        <v>0</v>
      </c>
      <c r="K1027" s="2">
        <v>0</v>
      </c>
      <c r="L1027" s="2">
        <v>0</v>
      </c>
      <c r="M1027" s="5">
        <v>1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5">
        <v>1</v>
      </c>
      <c r="Z1027" s="2">
        <v>0</v>
      </c>
      <c r="AA1027" s="2">
        <v>0</v>
      </c>
      <c r="AB1027" s="2">
        <v>0</v>
      </c>
    </row>
    <row r="1028" spans="1:28" ht="45" x14ac:dyDescent="0.25">
      <c r="A1028" s="2">
        <v>1027</v>
      </c>
      <c r="B1028" s="5">
        <v>0.21276595744680851</v>
      </c>
      <c r="C1028" s="5">
        <v>1.204819277108434E-2</v>
      </c>
      <c r="D1028" s="5">
        <v>2.4E-2</v>
      </c>
      <c r="E1028" s="5">
        <v>6.7697063369397209E-2</v>
      </c>
      <c r="F1028" s="2" t="s">
        <v>2033</v>
      </c>
      <c r="G1028" s="2" t="s">
        <v>2034</v>
      </c>
      <c r="H1028" s="2" t="s">
        <v>2683</v>
      </c>
      <c r="I1028" s="2" t="s">
        <v>2691</v>
      </c>
      <c r="J1028" s="2">
        <v>0</v>
      </c>
      <c r="K1028" s="2">
        <v>0</v>
      </c>
      <c r="L1028" s="2">
        <v>0</v>
      </c>
      <c r="M1028" s="5">
        <v>1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5">
        <v>1</v>
      </c>
      <c r="Z1028" s="2">
        <v>0</v>
      </c>
      <c r="AA1028" s="2">
        <v>0</v>
      </c>
      <c r="AB1028" s="2">
        <v>0</v>
      </c>
    </row>
    <row r="1029" spans="1:28" ht="105" x14ac:dyDescent="0.25">
      <c r="A1029" s="2">
        <v>1028</v>
      </c>
      <c r="B1029" s="5">
        <v>0.1446808510638298</v>
      </c>
      <c r="C1029" s="5">
        <v>0.51807228915662651</v>
      </c>
      <c r="D1029" s="5">
        <v>2.4E-2</v>
      </c>
      <c r="E1029" s="5">
        <v>4.6367851622874804E-3</v>
      </c>
      <c r="F1029" s="2" t="s">
        <v>2035</v>
      </c>
      <c r="G1029" s="2" t="s">
        <v>2036</v>
      </c>
      <c r="H1029" s="2" t="s">
        <v>2681</v>
      </c>
      <c r="I1029" s="2" t="s">
        <v>2682</v>
      </c>
      <c r="J1029" s="2">
        <v>0</v>
      </c>
      <c r="K1029" s="2">
        <v>0</v>
      </c>
      <c r="L1029" s="2">
        <v>0</v>
      </c>
      <c r="M1029" s="2">
        <v>0</v>
      </c>
      <c r="N1029" s="5">
        <v>1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5">
        <v>1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</row>
    <row r="1030" spans="1:28" ht="45" x14ac:dyDescent="0.25">
      <c r="A1030" s="2">
        <v>1029</v>
      </c>
      <c r="B1030" s="5">
        <v>8.085106382978724E-2</v>
      </c>
      <c r="C1030" s="5">
        <v>0.14578313253012051</v>
      </c>
      <c r="D1030" s="5">
        <v>0.02</v>
      </c>
      <c r="E1030" s="5">
        <v>3.7094281298299839E-3</v>
      </c>
      <c r="F1030" s="2" t="s">
        <v>2037</v>
      </c>
      <c r="G1030" s="2" t="s">
        <v>2038</v>
      </c>
      <c r="H1030" s="2" t="s">
        <v>2683</v>
      </c>
      <c r="I1030" s="2" t="s">
        <v>2682</v>
      </c>
      <c r="J1030" s="2">
        <v>0</v>
      </c>
      <c r="K1030" s="2">
        <v>0</v>
      </c>
      <c r="L1030" s="2">
        <v>0</v>
      </c>
      <c r="M1030" s="5">
        <v>1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5">
        <v>1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</row>
    <row r="1031" spans="1:28" ht="30" x14ac:dyDescent="0.25">
      <c r="A1031" s="2">
        <v>1030</v>
      </c>
      <c r="B1031" s="5">
        <v>7.3404255319148931E-2</v>
      </c>
      <c r="C1031" s="5">
        <v>1.084337349397591E-2</v>
      </c>
      <c r="D1031" s="5">
        <v>1E-3</v>
      </c>
      <c r="E1031" s="5">
        <v>2.7975270479134472E-2</v>
      </c>
      <c r="F1031" s="2" t="s">
        <v>2039</v>
      </c>
      <c r="G1031" s="2" t="s">
        <v>2040</v>
      </c>
      <c r="H1031" s="2" t="s">
        <v>2683</v>
      </c>
      <c r="I1031" s="2" t="s">
        <v>2682</v>
      </c>
      <c r="J1031" s="2">
        <v>0</v>
      </c>
      <c r="K1031" s="2">
        <v>0</v>
      </c>
      <c r="L1031" s="2">
        <v>0</v>
      </c>
      <c r="M1031" s="5">
        <v>1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5">
        <v>1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</row>
    <row r="1032" spans="1:28" ht="90" x14ac:dyDescent="0.25">
      <c r="A1032" s="2">
        <v>1031</v>
      </c>
      <c r="B1032" s="5">
        <v>1.1702127659574469E-2</v>
      </c>
      <c r="C1032" s="2">
        <v>0</v>
      </c>
      <c r="D1032" s="2">
        <v>0</v>
      </c>
      <c r="E1032" s="5">
        <v>4.1731066460587328E-3</v>
      </c>
      <c r="F1032" s="2" t="s">
        <v>2041</v>
      </c>
      <c r="G1032" s="2" t="s">
        <v>2042</v>
      </c>
      <c r="H1032" s="2" t="s">
        <v>2683</v>
      </c>
      <c r="I1032" s="2" t="s">
        <v>2682</v>
      </c>
      <c r="J1032" s="2">
        <v>0</v>
      </c>
      <c r="K1032" s="2">
        <v>0</v>
      </c>
      <c r="L1032" s="2">
        <v>0</v>
      </c>
      <c r="M1032" s="5">
        <v>1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5">
        <v>1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</row>
    <row r="1033" spans="1:28" ht="45" x14ac:dyDescent="0.25">
      <c r="A1033" s="2">
        <v>1032</v>
      </c>
      <c r="B1033" s="5">
        <v>8.085106382978724E-2</v>
      </c>
      <c r="C1033" s="5">
        <v>6.024096385542169E-3</v>
      </c>
      <c r="D1033" s="5">
        <v>2E-3</v>
      </c>
      <c r="E1033" s="5">
        <v>2.782071097372488E-2</v>
      </c>
      <c r="F1033" s="2" t="s">
        <v>2043</v>
      </c>
      <c r="G1033" s="2" t="s">
        <v>2044</v>
      </c>
      <c r="H1033" s="2" t="s">
        <v>2683</v>
      </c>
      <c r="I1033" s="2" t="s">
        <v>2682</v>
      </c>
      <c r="J1033" s="2">
        <v>0</v>
      </c>
      <c r="K1033" s="2">
        <v>0</v>
      </c>
      <c r="L1033" s="2">
        <v>0</v>
      </c>
      <c r="M1033" s="5">
        <v>1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5">
        <v>1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</row>
    <row r="1034" spans="1:28" ht="30" x14ac:dyDescent="0.25">
      <c r="A1034" s="2">
        <v>1033</v>
      </c>
      <c r="B1034" s="5">
        <v>4.2553191489361703E-3</v>
      </c>
      <c r="C1034" s="2">
        <v>0</v>
      </c>
      <c r="D1034" s="2">
        <v>0</v>
      </c>
      <c r="E1034" s="5">
        <v>1.3910355486862439E-3</v>
      </c>
      <c r="F1034" s="2" t="s">
        <v>2045</v>
      </c>
      <c r="G1034" s="2" t="s">
        <v>2046</v>
      </c>
      <c r="H1034" s="2" t="s">
        <v>2683</v>
      </c>
      <c r="I1034" s="2" t="s">
        <v>2682</v>
      </c>
      <c r="J1034" s="2">
        <v>0</v>
      </c>
      <c r="K1034" s="2">
        <v>0</v>
      </c>
      <c r="L1034" s="2">
        <v>0</v>
      </c>
      <c r="M1034" s="5">
        <v>1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5">
        <v>1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</row>
    <row r="1035" spans="1:28" ht="75" x14ac:dyDescent="0.25">
      <c r="A1035" s="2">
        <v>1034</v>
      </c>
      <c r="B1035" s="5">
        <v>0.31382978723404248</v>
      </c>
      <c r="C1035" s="5">
        <v>8.7951807228915671E-2</v>
      </c>
      <c r="D1035" s="5">
        <v>8.5000000000000006E-2</v>
      </c>
      <c r="E1035" s="5">
        <v>7.3415765069551775E-2</v>
      </c>
      <c r="F1035" s="2" t="s">
        <v>2047</v>
      </c>
      <c r="G1035" s="2" t="s">
        <v>2048</v>
      </c>
      <c r="H1035" s="2" t="s">
        <v>2681</v>
      </c>
      <c r="I1035" s="2" t="s">
        <v>2682</v>
      </c>
      <c r="J1035" s="2">
        <v>0</v>
      </c>
      <c r="K1035" s="2">
        <v>0</v>
      </c>
      <c r="L1035" s="2">
        <v>0</v>
      </c>
      <c r="M1035" s="2">
        <v>0</v>
      </c>
      <c r="N1035" s="5">
        <v>1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5">
        <v>1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</row>
    <row r="1036" spans="1:28" ht="30" x14ac:dyDescent="0.25">
      <c r="A1036" s="2">
        <v>1035</v>
      </c>
      <c r="B1036" s="5">
        <v>0.41914893617021282</v>
      </c>
      <c r="C1036" s="5">
        <v>2.6506024096385541E-2</v>
      </c>
      <c r="D1036" s="5">
        <v>8.8000000000000009E-2</v>
      </c>
      <c r="E1036" s="5">
        <v>0.11839258114374029</v>
      </c>
      <c r="F1036" s="2" t="s">
        <v>2049</v>
      </c>
      <c r="G1036" s="2" t="s">
        <v>2050</v>
      </c>
      <c r="H1036" s="2" t="s">
        <v>2688</v>
      </c>
      <c r="I1036" s="2" t="s">
        <v>2690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5">
        <v>1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5">
        <v>1</v>
      </c>
    </row>
    <row r="1037" spans="1:28" ht="30" x14ac:dyDescent="0.25">
      <c r="A1037" s="2">
        <v>1036</v>
      </c>
      <c r="B1037" s="5">
        <v>0.37234042553191488</v>
      </c>
      <c r="C1037" s="5">
        <v>1.084337349397591E-2</v>
      </c>
      <c r="D1037" s="5">
        <v>4.0000000000000001E-3</v>
      </c>
      <c r="E1037" s="5">
        <v>0.1324574961360124</v>
      </c>
      <c r="F1037" s="2" t="s">
        <v>2051</v>
      </c>
      <c r="G1037" s="2" t="s">
        <v>2050</v>
      </c>
      <c r="H1037" s="2" t="s">
        <v>2688</v>
      </c>
      <c r="I1037" s="2" t="s">
        <v>2691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5">
        <v>1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5">
        <v>1</v>
      </c>
      <c r="Z1037" s="2">
        <v>0</v>
      </c>
      <c r="AA1037" s="2">
        <v>0</v>
      </c>
      <c r="AB1037" s="2">
        <v>0</v>
      </c>
    </row>
    <row r="1038" spans="1:28" ht="45" x14ac:dyDescent="0.25">
      <c r="A1038" s="2">
        <v>1037</v>
      </c>
      <c r="B1038" s="5">
        <v>6.3829787234042548E-2</v>
      </c>
      <c r="C1038" s="5">
        <v>6.5060240963855431E-2</v>
      </c>
      <c r="D1038" s="5">
        <v>2.5000000000000001E-2</v>
      </c>
      <c r="E1038" s="5">
        <v>6.1823802163833066E-3</v>
      </c>
      <c r="F1038" s="2" t="s">
        <v>2052</v>
      </c>
      <c r="G1038" s="2" t="s">
        <v>2053</v>
      </c>
      <c r="H1038" s="2" t="s">
        <v>2681</v>
      </c>
      <c r="I1038" s="2" t="s">
        <v>2682</v>
      </c>
      <c r="J1038" s="2">
        <v>0</v>
      </c>
      <c r="K1038" s="2">
        <v>0</v>
      </c>
      <c r="L1038" s="2">
        <v>0</v>
      </c>
      <c r="M1038" s="2">
        <v>0</v>
      </c>
      <c r="N1038" s="5">
        <v>1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5">
        <v>1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</row>
    <row r="1039" spans="1:28" ht="45" x14ac:dyDescent="0.25">
      <c r="A1039" s="2">
        <v>1038</v>
      </c>
      <c r="B1039" s="5">
        <v>8.6170212765957446E-2</v>
      </c>
      <c r="C1039" s="5">
        <v>0.19518072289156629</v>
      </c>
      <c r="D1039" s="5">
        <v>1.2E-2</v>
      </c>
      <c r="E1039" s="5">
        <v>1.081916537867079E-3</v>
      </c>
      <c r="F1039" s="2" t="s">
        <v>2054</v>
      </c>
      <c r="G1039" s="2" t="s">
        <v>2055</v>
      </c>
      <c r="H1039" s="2" t="s">
        <v>2688</v>
      </c>
      <c r="I1039" s="2" t="s">
        <v>2682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5">
        <v>1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5">
        <v>1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</row>
    <row r="1040" spans="1:28" ht="45" x14ac:dyDescent="0.25">
      <c r="A1040" s="2">
        <v>1039</v>
      </c>
      <c r="B1040" s="5">
        <v>0.31808510638297871</v>
      </c>
      <c r="C1040" s="5">
        <v>0.35421686746987951</v>
      </c>
      <c r="D1040" s="5">
        <v>3.5999999999999997E-2</v>
      </c>
      <c r="E1040" s="5">
        <v>4.9459041731066463E-3</v>
      </c>
      <c r="F1040" s="2" t="s">
        <v>2056</v>
      </c>
      <c r="G1040" s="2" t="s">
        <v>2057</v>
      </c>
      <c r="H1040" s="2" t="s">
        <v>2684</v>
      </c>
      <c r="I1040" s="2" t="s">
        <v>2682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5">
        <v>1</v>
      </c>
      <c r="Q1040" s="2">
        <v>0</v>
      </c>
      <c r="R1040" s="2">
        <v>0</v>
      </c>
      <c r="S1040" s="2">
        <v>0</v>
      </c>
      <c r="T1040" s="2">
        <v>0</v>
      </c>
      <c r="U1040" s="5">
        <v>1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</row>
    <row r="1041" spans="1:28" ht="30" x14ac:dyDescent="0.25">
      <c r="A1041" s="2">
        <v>1040</v>
      </c>
      <c r="B1041" s="5">
        <v>8.6170212765957446E-2</v>
      </c>
      <c r="C1041" s="5">
        <v>0.19518072289156629</v>
      </c>
      <c r="D1041" s="5">
        <v>1.2E-2</v>
      </c>
      <c r="E1041" s="5">
        <v>1.081916537867079E-3</v>
      </c>
      <c r="F1041" s="2" t="s">
        <v>2058</v>
      </c>
      <c r="G1041" s="2" t="s">
        <v>2059</v>
      </c>
      <c r="H1041" s="2" t="s">
        <v>2688</v>
      </c>
      <c r="I1041" s="2" t="s">
        <v>2682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5">
        <v>1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5">
        <v>1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</row>
    <row r="1042" spans="1:28" ht="105" x14ac:dyDescent="0.25">
      <c r="A1042" s="2">
        <v>1041</v>
      </c>
      <c r="B1042" s="5">
        <v>2.8723404255319149E-2</v>
      </c>
      <c r="C1042" s="5">
        <v>7.2289156626506026E-3</v>
      </c>
      <c r="D1042" s="5">
        <v>3.0000000000000001E-3</v>
      </c>
      <c r="E1042" s="5">
        <v>8.0370942812983005E-3</v>
      </c>
      <c r="F1042" s="2" t="s">
        <v>2060</v>
      </c>
      <c r="G1042" s="2" t="s">
        <v>2061</v>
      </c>
      <c r="H1042" s="2" t="s">
        <v>2688</v>
      </c>
      <c r="I1042" s="2" t="s">
        <v>2682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5">
        <v>1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5">
        <v>1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</row>
    <row r="1043" spans="1:28" ht="30" x14ac:dyDescent="0.25">
      <c r="A1043" s="2">
        <v>1042</v>
      </c>
      <c r="B1043" s="5">
        <v>0.34042553191489361</v>
      </c>
      <c r="C1043" s="5">
        <v>8.6746987951807242E-2</v>
      </c>
      <c r="D1043" s="5">
        <v>4.2000000000000003E-2</v>
      </c>
      <c r="E1043" s="5">
        <v>9.7836166924265833E-2</v>
      </c>
      <c r="F1043" s="2" t="s">
        <v>2062</v>
      </c>
      <c r="G1043" s="2" t="s">
        <v>351</v>
      </c>
      <c r="H1043" s="2" t="s">
        <v>2688</v>
      </c>
      <c r="I1043" s="2" t="s">
        <v>2682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5">
        <v>1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5">
        <v>1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</row>
    <row r="1044" spans="1:28" ht="45" x14ac:dyDescent="0.25">
      <c r="A1044" s="2">
        <v>1043</v>
      </c>
      <c r="B1044" s="5">
        <v>0.47978723404255319</v>
      </c>
      <c r="C1044" s="5">
        <v>0.13493975903614461</v>
      </c>
      <c r="D1044" s="5">
        <v>0.20200000000000001</v>
      </c>
      <c r="E1044" s="5">
        <v>9.2272024729520868E-2</v>
      </c>
      <c r="F1044" s="2" t="s">
        <v>2063</v>
      </c>
      <c r="G1044" s="2" t="s">
        <v>2064</v>
      </c>
      <c r="H1044" s="2" t="s">
        <v>2684</v>
      </c>
      <c r="I1044" s="2" t="s">
        <v>2687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5">
        <v>1</v>
      </c>
      <c r="Q1044" s="2">
        <v>0</v>
      </c>
      <c r="R1044" s="2">
        <v>0</v>
      </c>
      <c r="S1044" s="5">
        <v>1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</row>
    <row r="1045" spans="1:28" ht="45" x14ac:dyDescent="0.25">
      <c r="A1045" s="2">
        <v>1044</v>
      </c>
      <c r="B1045" s="5">
        <v>0.52872340425531916</v>
      </c>
      <c r="C1045" s="5">
        <v>0.20481927710843381</v>
      </c>
      <c r="D1045" s="5">
        <v>0.27600000000000002</v>
      </c>
      <c r="E1045" s="5">
        <v>7.8516228748068004E-2</v>
      </c>
      <c r="F1045" s="2" t="s">
        <v>2065</v>
      </c>
      <c r="G1045" s="2" t="s">
        <v>2066</v>
      </c>
      <c r="H1045" s="2" t="s">
        <v>2684</v>
      </c>
      <c r="I1045" s="2" t="s">
        <v>2687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5">
        <v>1</v>
      </c>
      <c r="Q1045" s="2">
        <v>0</v>
      </c>
      <c r="R1045" s="2">
        <v>0</v>
      </c>
      <c r="S1045" s="5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</row>
    <row r="1046" spans="1:28" ht="45" x14ac:dyDescent="0.25">
      <c r="A1046" s="2">
        <v>1045</v>
      </c>
      <c r="B1046" s="5">
        <v>0.2053191489361702</v>
      </c>
      <c r="C1046" s="5">
        <v>0.27228915662650599</v>
      </c>
      <c r="D1046" s="5">
        <v>7.9000000000000001E-2</v>
      </c>
      <c r="E1046" s="5">
        <v>1.205564142194745E-2</v>
      </c>
      <c r="F1046" s="2" t="s">
        <v>2067</v>
      </c>
      <c r="G1046" s="2" t="s">
        <v>2068</v>
      </c>
      <c r="H1046" s="2" t="s">
        <v>2688</v>
      </c>
      <c r="I1046" s="2" t="s">
        <v>2689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5">
        <v>1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5">
        <v>1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</row>
    <row r="1047" spans="1:28" ht="45" x14ac:dyDescent="0.25">
      <c r="A1047" s="2">
        <v>1046</v>
      </c>
      <c r="B1047" s="5">
        <v>0.50106382978723407</v>
      </c>
      <c r="C1047" s="5">
        <v>5.6626506024096392E-2</v>
      </c>
      <c r="D1047" s="5">
        <v>0.218</v>
      </c>
      <c r="E1047" s="5">
        <v>9.9072642967542493E-2</v>
      </c>
      <c r="F1047" s="2" t="s">
        <v>2069</v>
      </c>
      <c r="G1047" s="2" t="s">
        <v>2070</v>
      </c>
      <c r="H1047" s="2" t="s">
        <v>2684</v>
      </c>
      <c r="I1047" s="2" t="s">
        <v>2691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5">
        <v>1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5">
        <v>1</v>
      </c>
      <c r="Z1047" s="2">
        <v>0</v>
      </c>
      <c r="AA1047" s="2">
        <v>0</v>
      </c>
      <c r="AB1047" s="2">
        <v>0</v>
      </c>
    </row>
    <row r="1048" spans="1:28" ht="30" x14ac:dyDescent="0.25">
      <c r="A1048" s="2">
        <v>1047</v>
      </c>
      <c r="B1048" s="5">
        <v>7.9787234042553196E-2</v>
      </c>
      <c r="C1048" s="5">
        <v>1.9277108433734941E-2</v>
      </c>
      <c r="D1048" s="5">
        <v>6.0000000000000001E-3</v>
      </c>
      <c r="E1048" s="5">
        <v>2.4420401854714061E-2</v>
      </c>
      <c r="F1048" s="2" t="s">
        <v>2071</v>
      </c>
      <c r="G1048" s="2" t="s">
        <v>2072</v>
      </c>
      <c r="H1048" s="2" t="s">
        <v>2684</v>
      </c>
      <c r="I1048" s="2" t="s">
        <v>2682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5">
        <v>1</v>
      </c>
      <c r="Q1048" s="2">
        <v>0</v>
      </c>
      <c r="R1048" s="2">
        <v>0</v>
      </c>
      <c r="S1048" s="2">
        <v>0</v>
      </c>
      <c r="T1048" s="2">
        <v>0</v>
      </c>
      <c r="U1048" s="5">
        <v>1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</row>
    <row r="1049" spans="1:28" ht="30" x14ac:dyDescent="0.25">
      <c r="A1049" s="2">
        <v>1048</v>
      </c>
      <c r="B1049" s="5">
        <v>0.35638297872340419</v>
      </c>
      <c r="C1049" s="5">
        <v>6.3855421686746988E-2</v>
      </c>
      <c r="D1049" s="5">
        <v>3.5000000000000003E-2</v>
      </c>
      <c r="E1049" s="5">
        <v>0.1089644513137558</v>
      </c>
      <c r="F1049" s="2" t="s">
        <v>2073</v>
      </c>
      <c r="G1049" s="2" t="s">
        <v>2074</v>
      </c>
      <c r="H1049" s="2" t="s">
        <v>2683</v>
      </c>
      <c r="I1049" s="2" t="s">
        <v>2682</v>
      </c>
      <c r="J1049" s="2">
        <v>0</v>
      </c>
      <c r="K1049" s="2">
        <v>0</v>
      </c>
      <c r="L1049" s="2">
        <v>0</v>
      </c>
      <c r="M1049" s="5">
        <v>1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5">
        <v>1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</row>
    <row r="1050" spans="1:28" ht="60" x14ac:dyDescent="0.25">
      <c r="A1050" s="2">
        <v>1049</v>
      </c>
      <c r="B1050" s="5">
        <v>0.36276595744680851</v>
      </c>
      <c r="C1050" s="5">
        <v>6.6265060240963861E-2</v>
      </c>
      <c r="D1050" s="5">
        <v>0.16200000000000001</v>
      </c>
      <c r="E1050" s="5">
        <v>6.6924265842349298E-2</v>
      </c>
      <c r="F1050" s="2" t="s">
        <v>2075</v>
      </c>
      <c r="G1050" s="2" t="s">
        <v>2076</v>
      </c>
      <c r="H1050" s="2" t="s">
        <v>2683</v>
      </c>
      <c r="I1050" s="2" t="s">
        <v>2691</v>
      </c>
      <c r="J1050" s="2">
        <v>0</v>
      </c>
      <c r="K1050" s="2">
        <v>0</v>
      </c>
      <c r="L1050" s="2">
        <v>0</v>
      </c>
      <c r="M1050" s="5">
        <v>1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5">
        <v>1</v>
      </c>
      <c r="Z1050" s="2">
        <v>0</v>
      </c>
      <c r="AA1050" s="2">
        <v>0</v>
      </c>
      <c r="AB1050" s="2">
        <v>0</v>
      </c>
    </row>
    <row r="1051" spans="1:28" ht="90" x14ac:dyDescent="0.25">
      <c r="A1051" s="2">
        <v>1050</v>
      </c>
      <c r="B1051" s="5">
        <v>0.37234042553191488</v>
      </c>
      <c r="C1051" s="5">
        <v>9.036144578313253E-2</v>
      </c>
      <c r="D1051" s="5">
        <v>0.02</v>
      </c>
      <c r="E1051" s="5">
        <v>0.1166924265842349</v>
      </c>
      <c r="F1051" s="2" t="s">
        <v>2077</v>
      </c>
      <c r="G1051" s="2" t="s">
        <v>2078</v>
      </c>
      <c r="H1051" s="2" t="s">
        <v>2683</v>
      </c>
      <c r="I1051" s="2" t="s">
        <v>2691</v>
      </c>
      <c r="J1051" s="2">
        <v>0</v>
      </c>
      <c r="K1051" s="2">
        <v>0</v>
      </c>
      <c r="L1051" s="2">
        <v>0</v>
      </c>
      <c r="M1051" s="5">
        <v>1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5">
        <v>1</v>
      </c>
      <c r="Z1051" s="2">
        <v>0</v>
      </c>
      <c r="AA1051" s="2">
        <v>0</v>
      </c>
      <c r="AB1051" s="2">
        <v>0</v>
      </c>
    </row>
    <row r="1052" spans="1:28" ht="45" x14ac:dyDescent="0.25">
      <c r="A1052" s="2">
        <v>1051</v>
      </c>
      <c r="B1052" s="5">
        <v>0.26382978723404249</v>
      </c>
      <c r="C1052" s="5">
        <v>9.6385542168674704E-2</v>
      </c>
      <c r="D1052" s="5">
        <v>1.2E-2</v>
      </c>
      <c r="E1052" s="5">
        <v>7.7279752704791344E-2</v>
      </c>
      <c r="F1052" s="2" t="s">
        <v>2079</v>
      </c>
      <c r="G1052" s="2" t="s">
        <v>2080</v>
      </c>
      <c r="H1052" s="2" t="s">
        <v>2683</v>
      </c>
      <c r="I1052" s="2" t="s">
        <v>2691</v>
      </c>
      <c r="J1052" s="2">
        <v>0</v>
      </c>
      <c r="K1052" s="2">
        <v>0</v>
      </c>
      <c r="L1052" s="2">
        <v>0</v>
      </c>
      <c r="M1052" s="5">
        <v>1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5">
        <v>1</v>
      </c>
      <c r="Z1052" s="2">
        <v>0</v>
      </c>
      <c r="AA1052" s="2">
        <v>0</v>
      </c>
      <c r="AB1052" s="2">
        <v>0</v>
      </c>
    </row>
    <row r="1053" spans="1:28" ht="45" x14ac:dyDescent="0.25">
      <c r="A1053" s="2">
        <v>1052</v>
      </c>
      <c r="B1053" s="5">
        <v>0.26489361702127662</v>
      </c>
      <c r="C1053" s="5">
        <v>9.5180722891566275E-2</v>
      </c>
      <c r="D1053" s="5">
        <v>1.4999999999999999E-2</v>
      </c>
      <c r="E1053" s="5">
        <v>7.6816074188562594E-2</v>
      </c>
      <c r="F1053" s="2" t="s">
        <v>2081</v>
      </c>
      <c r="G1053" s="2" t="s">
        <v>2082</v>
      </c>
      <c r="H1053" s="2" t="s">
        <v>2683</v>
      </c>
      <c r="I1053" s="2" t="s">
        <v>2691</v>
      </c>
      <c r="J1053" s="2">
        <v>0</v>
      </c>
      <c r="K1053" s="2">
        <v>0</v>
      </c>
      <c r="L1053" s="2">
        <v>0</v>
      </c>
      <c r="M1053" s="5">
        <v>1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5">
        <v>1</v>
      </c>
      <c r="Z1053" s="2">
        <v>0</v>
      </c>
      <c r="AA1053" s="2">
        <v>0</v>
      </c>
      <c r="AB1053" s="2">
        <v>0</v>
      </c>
    </row>
    <row r="1054" spans="1:28" ht="45" x14ac:dyDescent="0.25">
      <c r="A1054" s="2">
        <v>1053</v>
      </c>
      <c r="B1054" s="5">
        <v>0.1627659574468085</v>
      </c>
      <c r="C1054" s="5">
        <v>0.136144578313253</v>
      </c>
      <c r="D1054" s="5">
        <v>8.4000000000000005E-2</v>
      </c>
      <c r="E1054" s="5">
        <v>1.236476043276661E-2</v>
      </c>
      <c r="F1054" s="2" t="s">
        <v>2083</v>
      </c>
      <c r="G1054" s="2" t="s">
        <v>2084</v>
      </c>
      <c r="H1054" s="2" t="s">
        <v>2696</v>
      </c>
      <c r="I1054" s="2" t="s">
        <v>2682</v>
      </c>
      <c r="J1054" s="2">
        <v>0</v>
      </c>
      <c r="K1054" s="5">
        <v>1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5">
        <v>1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</row>
    <row r="1055" spans="1:28" ht="45" x14ac:dyDescent="0.25">
      <c r="A1055" s="2">
        <v>1054</v>
      </c>
      <c r="B1055" s="5">
        <v>4.3617021276595752E-2</v>
      </c>
      <c r="C1055" s="5">
        <v>1.6867469879518069E-2</v>
      </c>
      <c r="D1055" s="5">
        <v>3.0000000000000001E-3</v>
      </c>
      <c r="E1055" s="5">
        <v>1.2519319938176199E-2</v>
      </c>
      <c r="F1055" s="2" t="s">
        <v>2085</v>
      </c>
      <c r="G1055" s="2" t="s">
        <v>2086</v>
      </c>
      <c r="H1055" s="2" t="s">
        <v>2681</v>
      </c>
      <c r="I1055" s="2" t="s">
        <v>2682</v>
      </c>
      <c r="J1055" s="2">
        <v>0</v>
      </c>
      <c r="K1055" s="2">
        <v>0</v>
      </c>
      <c r="L1055" s="2">
        <v>0</v>
      </c>
      <c r="M1055" s="2">
        <v>0</v>
      </c>
      <c r="N1055" s="5">
        <v>1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5">
        <v>1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</row>
    <row r="1056" spans="1:28" ht="45" x14ac:dyDescent="0.25">
      <c r="A1056" s="2">
        <v>1055</v>
      </c>
      <c r="B1056" s="5">
        <v>0.57021276595744685</v>
      </c>
      <c r="C1056" s="5">
        <v>0.48795180722891568</v>
      </c>
      <c r="D1056" s="5">
        <v>0.41499999999999998</v>
      </c>
      <c r="E1056" s="2">
        <v>0</v>
      </c>
      <c r="F1056" s="2" t="s">
        <v>2087</v>
      </c>
      <c r="G1056" s="2" t="s">
        <v>2088</v>
      </c>
      <c r="H1056" s="2" t="s">
        <v>2688</v>
      </c>
      <c r="I1056" s="2" t="s">
        <v>2689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5">
        <v>1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5">
        <v>1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</row>
    <row r="1057" spans="1:28" ht="60" x14ac:dyDescent="0.25">
      <c r="A1057" s="2">
        <v>1056</v>
      </c>
      <c r="B1057" s="5">
        <v>0.1170212765957447</v>
      </c>
      <c r="C1057" s="5">
        <v>0.13855421686746991</v>
      </c>
      <c r="D1057" s="5">
        <v>0.02</v>
      </c>
      <c r="E1057" s="5">
        <v>1.8083462132921169E-2</v>
      </c>
      <c r="F1057" s="2" t="s">
        <v>2089</v>
      </c>
      <c r="G1057" s="2" t="s">
        <v>2090</v>
      </c>
      <c r="H1057" s="2" t="s">
        <v>2697</v>
      </c>
      <c r="I1057" s="2" t="s">
        <v>2682</v>
      </c>
      <c r="J1057" s="2">
        <v>0</v>
      </c>
      <c r="K1057" s="2">
        <v>0</v>
      </c>
      <c r="L1057" s="5">
        <v>1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5">
        <v>1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</row>
    <row r="1058" spans="1:28" ht="30" x14ac:dyDescent="0.25">
      <c r="A1058" s="2">
        <v>1057</v>
      </c>
      <c r="B1058" s="5">
        <v>0.2106382978723404</v>
      </c>
      <c r="C1058" s="5">
        <v>0.29638554216867469</v>
      </c>
      <c r="D1058" s="5">
        <v>0.107</v>
      </c>
      <c r="E1058" s="5">
        <v>1.3910355486862439E-3</v>
      </c>
      <c r="F1058" s="2" t="s">
        <v>2091</v>
      </c>
      <c r="G1058" s="2" t="s">
        <v>2092</v>
      </c>
      <c r="H1058" s="2" t="s">
        <v>2681</v>
      </c>
      <c r="I1058" s="2" t="s">
        <v>2682</v>
      </c>
      <c r="J1058" s="2">
        <v>0</v>
      </c>
      <c r="K1058" s="2">
        <v>0</v>
      </c>
      <c r="L1058" s="2">
        <v>0</v>
      </c>
      <c r="M1058" s="2">
        <v>0</v>
      </c>
      <c r="N1058" s="5">
        <v>1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5">
        <v>1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</row>
    <row r="1059" spans="1:28" ht="45" x14ac:dyDescent="0.25">
      <c r="A1059" s="2">
        <v>1058</v>
      </c>
      <c r="B1059" s="5">
        <v>0.4776595744680851</v>
      </c>
      <c r="C1059" s="5">
        <v>0.36867469879518078</v>
      </c>
      <c r="D1059" s="5">
        <v>0.255</v>
      </c>
      <c r="E1059" s="5">
        <v>4.9304482225656872E-2</v>
      </c>
      <c r="F1059" s="2" t="s">
        <v>2093</v>
      </c>
      <c r="G1059" s="2" t="s">
        <v>2094</v>
      </c>
      <c r="H1059" s="2" t="s">
        <v>2688</v>
      </c>
      <c r="I1059" s="2" t="s">
        <v>2690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5">
        <v>1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5">
        <v>1</v>
      </c>
    </row>
    <row r="1060" spans="1:28" ht="45" x14ac:dyDescent="0.25">
      <c r="A1060" s="2">
        <v>1059</v>
      </c>
      <c r="B1060" s="5">
        <v>0.3595744680851064</v>
      </c>
      <c r="C1060" s="5">
        <v>7.2289156626506026E-3</v>
      </c>
      <c r="D1060" s="5">
        <v>3.0000000000000001E-3</v>
      </c>
      <c r="E1060" s="5">
        <v>0.12843894899536321</v>
      </c>
      <c r="F1060" s="2" t="s">
        <v>2095</v>
      </c>
      <c r="G1060" s="2" t="s">
        <v>2096</v>
      </c>
      <c r="H1060" s="2" t="s">
        <v>2683</v>
      </c>
      <c r="I1060" s="2" t="s">
        <v>2690</v>
      </c>
      <c r="J1060" s="2">
        <v>0</v>
      </c>
      <c r="K1060" s="2">
        <v>0</v>
      </c>
      <c r="L1060" s="2">
        <v>0</v>
      </c>
      <c r="M1060" s="5">
        <v>1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5">
        <v>1</v>
      </c>
    </row>
    <row r="1061" spans="1:28" ht="45" x14ac:dyDescent="0.25">
      <c r="A1061" s="2">
        <v>1060</v>
      </c>
      <c r="B1061" s="5">
        <v>0.37765957446808512</v>
      </c>
      <c r="C1061" s="5">
        <v>7.2289156626506026E-3</v>
      </c>
      <c r="D1061" s="5">
        <v>1.0999999999999999E-2</v>
      </c>
      <c r="E1061" s="5">
        <v>0.1323029366306028</v>
      </c>
      <c r="F1061" s="2" t="s">
        <v>2097</v>
      </c>
      <c r="G1061" s="2" t="s">
        <v>2098</v>
      </c>
      <c r="H1061" s="2" t="s">
        <v>2683</v>
      </c>
      <c r="I1061" s="2" t="s">
        <v>2690</v>
      </c>
      <c r="J1061" s="2">
        <v>0</v>
      </c>
      <c r="K1061" s="2">
        <v>0</v>
      </c>
      <c r="L1061" s="2">
        <v>0</v>
      </c>
      <c r="M1061" s="5">
        <v>1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5">
        <v>1</v>
      </c>
    </row>
    <row r="1062" spans="1:28" ht="45" x14ac:dyDescent="0.25">
      <c r="A1062" s="2">
        <v>1061</v>
      </c>
      <c r="B1062" s="5">
        <v>0.2457446808510638</v>
      </c>
      <c r="C1062" s="5">
        <v>7.2289156626506026E-3</v>
      </c>
      <c r="D1062" s="5">
        <v>2E-3</v>
      </c>
      <c r="E1062" s="5">
        <v>8.7480680061823801E-2</v>
      </c>
      <c r="F1062" s="2" t="s">
        <v>2099</v>
      </c>
      <c r="G1062" s="2" t="s">
        <v>2100</v>
      </c>
      <c r="H1062" s="2" t="s">
        <v>2683</v>
      </c>
      <c r="I1062" s="2" t="s">
        <v>2690</v>
      </c>
      <c r="J1062" s="2">
        <v>0</v>
      </c>
      <c r="K1062" s="2">
        <v>0</v>
      </c>
      <c r="L1062" s="2">
        <v>0</v>
      </c>
      <c r="M1062" s="5">
        <v>1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5">
        <v>1</v>
      </c>
    </row>
    <row r="1063" spans="1:28" ht="30" x14ac:dyDescent="0.25">
      <c r="A1063" s="2">
        <v>1062</v>
      </c>
      <c r="B1063" s="5">
        <v>0.30957446808510641</v>
      </c>
      <c r="C1063" s="5">
        <v>6.024096385542169E-3</v>
      </c>
      <c r="D1063" s="5">
        <v>0.04</v>
      </c>
      <c r="E1063" s="5">
        <v>9.799072642967542E-2</v>
      </c>
      <c r="F1063" s="2" t="s">
        <v>2101</v>
      </c>
      <c r="G1063" s="2" t="s">
        <v>2102</v>
      </c>
      <c r="H1063" s="2" t="s">
        <v>2683</v>
      </c>
      <c r="I1063" s="2" t="s">
        <v>2690</v>
      </c>
      <c r="J1063" s="2">
        <v>0</v>
      </c>
      <c r="K1063" s="2">
        <v>0</v>
      </c>
      <c r="L1063" s="2">
        <v>0</v>
      </c>
      <c r="M1063" s="5">
        <v>1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5">
        <v>1</v>
      </c>
    </row>
    <row r="1064" spans="1:28" ht="60" x14ac:dyDescent="0.25">
      <c r="A1064" s="2">
        <v>1063</v>
      </c>
      <c r="B1064" s="5">
        <v>0.24468085106382981</v>
      </c>
      <c r="C1064" s="5">
        <v>7.2289156626506026E-3</v>
      </c>
      <c r="D1064" s="5">
        <v>2E-3</v>
      </c>
      <c r="E1064" s="5">
        <v>8.7326120556414213E-2</v>
      </c>
      <c r="F1064" s="2" t="s">
        <v>2103</v>
      </c>
      <c r="G1064" s="2" t="s">
        <v>2104</v>
      </c>
      <c r="H1064" s="2" t="s">
        <v>2683</v>
      </c>
      <c r="I1064" s="2" t="s">
        <v>2690</v>
      </c>
      <c r="J1064" s="2">
        <v>0</v>
      </c>
      <c r="K1064" s="2">
        <v>0</v>
      </c>
      <c r="L1064" s="2">
        <v>0</v>
      </c>
      <c r="M1064" s="5">
        <v>1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5">
        <v>1</v>
      </c>
    </row>
    <row r="1065" spans="1:28" ht="45" x14ac:dyDescent="0.25">
      <c r="A1065" s="2">
        <v>1064</v>
      </c>
      <c r="B1065" s="5">
        <v>0.48085106382978732</v>
      </c>
      <c r="C1065" s="5">
        <v>3.3734939759036138E-2</v>
      </c>
      <c r="D1065" s="5">
        <v>0.14799999999999999</v>
      </c>
      <c r="E1065" s="5">
        <v>0.1187017001545595</v>
      </c>
      <c r="F1065" s="2" t="s">
        <v>2105</v>
      </c>
      <c r="G1065" s="2" t="s">
        <v>2106</v>
      </c>
      <c r="H1065" s="2" t="s">
        <v>2683</v>
      </c>
      <c r="I1065" s="2" t="s">
        <v>2699</v>
      </c>
      <c r="J1065" s="2">
        <v>0</v>
      </c>
      <c r="K1065" s="2">
        <v>0</v>
      </c>
      <c r="L1065" s="2">
        <v>0</v>
      </c>
      <c r="M1065" s="5">
        <v>1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5">
        <v>1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</row>
    <row r="1066" spans="1:28" ht="30" x14ac:dyDescent="0.25">
      <c r="A1066" s="2">
        <v>1065</v>
      </c>
      <c r="B1066" s="5">
        <v>0.36914893617021283</v>
      </c>
      <c r="C1066" s="5">
        <v>1.084337349397591E-2</v>
      </c>
      <c r="D1066" s="5">
        <v>3.0000000000000001E-3</v>
      </c>
      <c r="E1066" s="5">
        <v>0.13168469860896451</v>
      </c>
      <c r="F1066" s="2" t="s">
        <v>2107</v>
      </c>
      <c r="G1066" s="2" t="s">
        <v>2108</v>
      </c>
      <c r="H1066" s="2" t="s">
        <v>2683</v>
      </c>
      <c r="I1066" s="2" t="s">
        <v>2690</v>
      </c>
      <c r="J1066" s="2">
        <v>0</v>
      </c>
      <c r="K1066" s="2">
        <v>0</v>
      </c>
      <c r="L1066" s="2">
        <v>0</v>
      </c>
      <c r="M1066" s="5">
        <v>1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5">
        <v>1</v>
      </c>
    </row>
    <row r="1067" spans="1:28" ht="45" x14ac:dyDescent="0.25">
      <c r="A1067" s="2">
        <v>1066</v>
      </c>
      <c r="B1067" s="5">
        <v>0.38723404255319149</v>
      </c>
      <c r="C1067" s="5">
        <v>1.2048192771084341E-3</v>
      </c>
      <c r="D1067" s="5">
        <v>2E-3</v>
      </c>
      <c r="E1067" s="5">
        <v>0.13987635239567231</v>
      </c>
      <c r="F1067" s="2" t="s">
        <v>2109</v>
      </c>
      <c r="G1067" s="2" t="s">
        <v>2110</v>
      </c>
      <c r="H1067" s="2" t="s">
        <v>2683</v>
      </c>
      <c r="I1067" s="2" t="s">
        <v>2690</v>
      </c>
      <c r="J1067" s="2">
        <v>0</v>
      </c>
      <c r="K1067" s="2">
        <v>0</v>
      </c>
      <c r="L1067" s="2">
        <v>0</v>
      </c>
      <c r="M1067" s="5">
        <v>1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5">
        <v>1</v>
      </c>
    </row>
    <row r="1068" spans="1:28" ht="30" x14ac:dyDescent="0.25">
      <c r="A1068" s="2">
        <v>1067</v>
      </c>
      <c r="B1068" s="5">
        <v>0.3851063829787234</v>
      </c>
      <c r="C1068" s="5">
        <v>6.024096385542169E-3</v>
      </c>
      <c r="D1068" s="5">
        <v>3.0000000000000001E-3</v>
      </c>
      <c r="E1068" s="5">
        <v>0.1343122102009274</v>
      </c>
      <c r="F1068" s="2" t="s">
        <v>2111</v>
      </c>
      <c r="G1068" s="2" t="s">
        <v>2112</v>
      </c>
      <c r="H1068" s="2" t="s">
        <v>2683</v>
      </c>
      <c r="I1068" s="2" t="s">
        <v>2690</v>
      </c>
      <c r="J1068" s="2">
        <v>0</v>
      </c>
      <c r="K1068" s="2">
        <v>0</v>
      </c>
      <c r="L1068" s="2">
        <v>0</v>
      </c>
      <c r="M1068" s="5">
        <v>1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5">
        <v>1</v>
      </c>
    </row>
    <row r="1069" spans="1:28" ht="60" x14ac:dyDescent="0.25">
      <c r="A1069" s="2">
        <v>1068</v>
      </c>
      <c r="B1069" s="5">
        <v>0.37659574468085111</v>
      </c>
      <c r="C1069" s="5">
        <v>9.6385542168674707E-3</v>
      </c>
      <c r="D1069" s="5">
        <v>8.3000000000000004E-2</v>
      </c>
      <c r="E1069" s="5">
        <v>0.1064914992272025</v>
      </c>
      <c r="F1069" s="2" t="s">
        <v>2113</v>
      </c>
      <c r="G1069" s="2" t="s">
        <v>2114</v>
      </c>
      <c r="H1069" s="2" t="s">
        <v>2683</v>
      </c>
      <c r="I1069" s="2" t="s">
        <v>2690</v>
      </c>
      <c r="J1069" s="2">
        <v>0</v>
      </c>
      <c r="K1069" s="2">
        <v>0</v>
      </c>
      <c r="L1069" s="2">
        <v>0</v>
      </c>
      <c r="M1069" s="5">
        <v>1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5">
        <v>1</v>
      </c>
    </row>
    <row r="1070" spans="1:28" ht="60" x14ac:dyDescent="0.25">
      <c r="A1070" s="2">
        <v>1069</v>
      </c>
      <c r="B1070" s="5">
        <v>6.063829787234043E-2</v>
      </c>
      <c r="C1070" s="5">
        <v>6.024096385542169E-3</v>
      </c>
      <c r="D1070" s="5">
        <v>1E-3</v>
      </c>
      <c r="E1070" s="5">
        <v>2.1020092735703249E-2</v>
      </c>
      <c r="F1070" s="2" t="s">
        <v>2115</v>
      </c>
      <c r="G1070" s="2" t="s">
        <v>2116</v>
      </c>
      <c r="H1070" s="2" t="s">
        <v>2684</v>
      </c>
      <c r="I1070" s="2" t="s">
        <v>2682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5">
        <v>1</v>
      </c>
      <c r="Q1070" s="2">
        <v>0</v>
      </c>
      <c r="R1070" s="2">
        <v>0</v>
      </c>
      <c r="S1070" s="2">
        <v>0</v>
      </c>
      <c r="T1070" s="2">
        <v>0</v>
      </c>
      <c r="U1070" s="5">
        <v>1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</row>
    <row r="1071" spans="1:28" ht="30" x14ac:dyDescent="0.25">
      <c r="A1071" s="2">
        <v>1070</v>
      </c>
      <c r="B1071" s="5">
        <v>5.8510638297872342E-2</v>
      </c>
      <c r="C1071" s="5">
        <v>4.8192771084337354E-3</v>
      </c>
      <c r="D1071" s="5">
        <v>2E-3</v>
      </c>
      <c r="E1071" s="5">
        <v>1.9783616692426589E-2</v>
      </c>
      <c r="F1071" s="2" t="s">
        <v>2117</v>
      </c>
      <c r="G1071" s="2" t="s">
        <v>2118</v>
      </c>
      <c r="H1071" s="2" t="s">
        <v>2684</v>
      </c>
      <c r="I1071" s="2" t="s">
        <v>2682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5">
        <v>1</v>
      </c>
      <c r="Q1071" s="2">
        <v>0</v>
      </c>
      <c r="R1071" s="2">
        <v>0</v>
      </c>
      <c r="S1071" s="2">
        <v>0</v>
      </c>
      <c r="T1071" s="2">
        <v>0</v>
      </c>
      <c r="U1071" s="5">
        <v>1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</row>
    <row r="1072" spans="1:28" ht="60" x14ac:dyDescent="0.25">
      <c r="A1072" s="2">
        <v>1071</v>
      </c>
      <c r="B1072" s="5">
        <v>9.2553191489361697E-2</v>
      </c>
      <c r="C1072" s="5">
        <v>9.6385542168674707E-3</v>
      </c>
      <c r="D1072" s="5">
        <v>4.0000000000000001E-3</v>
      </c>
      <c r="E1072" s="5">
        <v>3.1066460587326119E-2</v>
      </c>
      <c r="F1072" s="2" t="s">
        <v>2119</v>
      </c>
      <c r="G1072" s="2" t="s">
        <v>2120</v>
      </c>
      <c r="H1072" s="2" t="s">
        <v>2684</v>
      </c>
      <c r="I1072" s="2" t="s">
        <v>2682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5">
        <v>1</v>
      </c>
      <c r="Q1072" s="2">
        <v>0</v>
      </c>
      <c r="R1072" s="2">
        <v>0</v>
      </c>
      <c r="S1072" s="2">
        <v>0</v>
      </c>
      <c r="T1072" s="2">
        <v>0</v>
      </c>
      <c r="U1072" s="5">
        <v>1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</row>
    <row r="1073" spans="1:28" ht="45" x14ac:dyDescent="0.25">
      <c r="A1073" s="2">
        <v>1072</v>
      </c>
      <c r="B1073" s="5">
        <v>0.29893617021276597</v>
      </c>
      <c r="C1073" s="5">
        <v>2.891566265060241E-2</v>
      </c>
      <c r="D1073" s="5">
        <v>6.9999999999999993E-3</v>
      </c>
      <c r="E1073" s="5">
        <v>0.10216383307573421</v>
      </c>
      <c r="F1073" s="2" t="s">
        <v>2121</v>
      </c>
      <c r="G1073" s="2" t="s">
        <v>2122</v>
      </c>
      <c r="H1073" s="2" t="s">
        <v>2683</v>
      </c>
      <c r="I1073" s="2" t="s">
        <v>2686</v>
      </c>
      <c r="J1073" s="2">
        <v>0</v>
      </c>
      <c r="K1073" s="2">
        <v>0</v>
      </c>
      <c r="L1073" s="2">
        <v>0</v>
      </c>
      <c r="M1073" s="5">
        <v>1</v>
      </c>
      <c r="N1073" s="2">
        <v>0</v>
      </c>
      <c r="O1073" s="2">
        <v>0</v>
      </c>
      <c r="P1073" s="2">
        <v>0</v>
      </c>
      <c r="Q1073" s="5">
        <v>1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</row>
    <row r="1074" spans="1:28" ht="45" x14ac:dyDescent="0.25">
      <c r="A1074" s="2">
        <v>1073</v>
      </c>
      <c r="B1074" s="5">
        <v>0.12978723404255321</v>
      </c>
      <c r="C1074" s="5">
        <v>2.4096385542168679E-2</v>
      </c>
      <c r="D1074" s="5">
        <v>0.1</v>
      </c>
      <c r="E1074" s="5">
        <v>1.174652241112828E-2</v>
      </c>
      <c r="F1074" s="2" t="s">
        <v>2123</v>
      </c>
      <c r="G1074" s="2" t="s">
        <v>2124</v>
      </c>
      <c r="H1074" s="2" t="s">
        <v>2696</v>
      </c>
      <c r="I1074" s="2" t="s">
        <v>2682</v>
      </c>
      <c r="J1074" s="2">
        <v>0</v>
      </c>
      <c r="K1074" s="5">
        <v>1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5">
        <v>1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</row>
    <row r="1075" spans="1:28" ht="45" x14ac:dyDescent="0.25">
      <c r="A1075" s="2">
        <v>1074</v>
      </c>
      <c r="B1075" s="5">
        <v>0.34468085106382979</v>
      </c>
      <c r="C1075" s="5">
        <v>5.0602409638554217E-2</v>
      </c>
      <c r="D1075" s="5">
        <v>0.34300000000000003</v>
      </c>
      <c r="E1075" s="5">
        <v>8.5935085007727979E-2</v>
      </c>
      <c r="F1075" s="2" t="s">
        <v>2125</v>
      </c>
      <c r="G1075" s="2" t="s">
        <v>2126</v>
      </c>
      <c r="H1075" s="2" t="s">
        <v>2688</v>
      </c>
      <c r="I1075" s="2" t="s">
        <v>2686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5">
        <v>1</v>
      </c>
      <c r="P1075" s="2">
        <v>0</v>
      </c>
      <c r="Q1075" s="5">
        <v>1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</row>
    <row r="1076" spans="1:28" ht="45" x14ac:dyDescent="0.25">
      <c r="A1076" s="2">
        <v>1075</v>
      </c>
      <c r="B1076" s="5">
        <v>0.34468085106382979</v>
      </c>
      <c r="C1076" s="5">
        <v>5.0602409638554217E-2</v>
      </c>
      <c r="D1076" s="5">
        <v>0.34300000000000003</v>
      </c>
      <c r="E1076" s="5">
        <v>8.6553323029366306E-3</v>
      </c>
      <c r="F1076" s="2" t="s">
        <v>2127</v>
      </c>
      <c r="G1076" s="2" t="s">
        <v>2128</v>
      </c>
      <c r="H1076" s="2" t="s">
        <v>2696</v>
      </c>
      <c r="I1076" s="2" t="s">
        <v>2682</v>
      </c>
      <c r="J1076" s="2">
        <v>0</v>
      </c>
      <c r="K1076" s="5">
        <v>1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5">
        <v>1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</row>
    <row r="1077" spans="1:28" ht="30" x14ac:dyDescent="0.25">
      <c r="A1077" s="2">
        <v>1076</v>
      </c>
      <c r="B1077" s="5">
        <v>0.1042553191489362</v>
      </c>
      <c r="C1077" s="5">
        <v>2.4096385542168679E-2</v>
      </c>
      <c r="D1077" s="5">
        <v>4.0000000000000001E-3</v>
      </c>
      <c r="E1077" s="5">
        <v>3.7867078825347761E-2</v>
      </c>
      <c r="F1077" s="2" t="s">
        <v>2129</v>
      </c>
      <c r="G1077" s="2" t="s">
        <v>2130</v>
      </c>
      <c r="H1077" s="2" t="s">
        <v>2697</v>
      </c>
      <c r="I1077" s="2" t="s">
        <v>2692</v>
      </c>
      <c r="J1077" s="2">
        <v>0</v>
      </c>
      <c r="K1077" s="2">
        <v>0</v>
      </c>
      <c r="L1077" s="5">
        <v>1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5">
        <v>1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</row>
    <row r="1078" spans="1:28" ht="90" x14ac:dyDescent="0.25">
      <c r="A1078" s="2">
        <v>1077</v>
      </c>
      <c r="B1078" s="5">
        <v>0.22553191489361701</v>
      </c>
      <c r="C1078" s="5">
        <v>0.2168674698795181</v>
      </c>
      <c r="D1078" s="5">
        <v>0.106</v>
      </c>
      <c r="E1078" s="5">
        <v>9.1653786707882531E-2</v>
      </c>
      <c r="F1078" s="2" t="s">
        <v>2131</v>
      </c>
      <c r="G1078" s="2" t="s">
        <v>2132</v>
      </c>
      <c r="H1078" s="2" t="s">
        <v>2688</v>
      </c>
      <c r="I1078" s="2" t="s">
        <v>2689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5">
        <v>1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5">
        <v>1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</row>
    <row r="1079" spans="1:28" ht="45" x14ac:dyDescent="0.25">
      <c r="A1079" s="2">
        <v>1078</v>
      </c>
      <c r="B1079" s="5">
        <v>0.1148936170212766</v>
      </c>
      <c r="C1079" s="5">
        <v>0.21204819277108439</v>
      </c>
      <c r="D1079" s="5">
        <v>4.2000000000000003E-2</v>
      </c>
      <c r="E1079" s="2">
        <v>0</v>
      </c>
      <c r="F1079" s="2" t="s">
        <v>2133</v>
      </c>
      <c r="G1079" s="2" t="s">
        <v>2134</v>
      </c>
      <c r="H1079" s="2" t="s">
        <v>2688</v>
      </c>
      <c r="I1079" s="2" t="s">
        <v>2689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5">
        <v>1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5">
        <v>1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</row>
    <row r="1080" spans="1:28" ht="45" x14ac:dyDescent="0.25">
      <c r="A1080" s="2">
        <v>1079</v>
      </c>
      <c r="B1080" s="5">
        <v>0.19361702127659569</v>
      </c>
      <c r="C1080" s="5">
        <v>0.38554216867469882</v>
      </c>
      <c r="D1080" s="5">
        <v>0.06</v>
      </c>
      <c r="E1080" s="2">
        <v>0</v>
      </c>
      <c r="F1080" s="2" t="s">
        <v>2135</v>
      </c>
      <c r="G1080" s="2" t="s">
        <v>2136</v>
      </c>
      <c r="H1080" s="2" t="s">
        <v>2688</v>
      </c>
      <c r="I1080" s="2" t="s">
        <v>2689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5">
        <v>1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5">
        <v>1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</row>
    <row r="1081" spans="1:28" ht="60" x14ac:dyDescent="0.25">
      <c r="A1081" s="2">
        <v>1080</v>
      </c>
      <c r="B1081" s="5">
        <v>0.3202127659574468</v>
      </c>
      <c r="C1081" s="5">
        <v>0.66265060240963858</v>
      </c>
      <c r="D1081" s="5">
        <v>0.09</v>
      </c>
      <c r="E1081" s="2">
        <v>0</v>
      </c>
      <c r="F1081" s="2" t="s">
        <v>2137</v>
      </c>
      <c r="G1081" s="2" t="s">
        <v>2138</v>
      </c>
      <c r="H1081" s="2" t="s">
        <v>2688</v>
      </c>
      <c r="I1081" s="2" t="s">
        <v>2689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5">
        <v>1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5">
        <v>1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</row>
    <row r="1082" spans="1:28" ht="90" x14ac:dyDescent="0.25">
      <c r="A1082" s="2">
        <v>1081</v>
      </c>
      <c r="B1082" s="5">
        <v>0.29042553191489362</v>
      </c>
      <c r="C1082" s="5">
        <v>0.21084337349397589</v>
      </c>
      <c r="D1082" s="5">
        <v>0.22</v>
      </c>
      <c r="E1082" s="2">
        <v>0</v>
      </c>
      <c r="F1082" s="2" t="s">
        <v>2139</v>
      </c>
      <c r="G1082" s="2" t="s">
        <v>2140</v>
      </c>
      <c r="H1082" s="2" t="s">
        <v>2688</v>
      </c>
      <c r="I1082" s="2" t="s">
        <v>2689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5">
        <v>1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5">
        <v>1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</row>
    <row r="1083" spans="1:28" ht="30" x14ac:dyDescent="0.25">
      <c r="A1083" s="2">
        <v>1082</v>
      </c>
      <c r="B1083" s="5">
        <v>0.30744680851063833</v>
      </c>
      <c r="C1083" s="5">
        <v>0.19277108433734941</v>
      </c>
      <c r="D1083" s="5">
        <v>0.25</v>
      </c>
      <c r="E1083" s="2">
        <v>0</v>
      </c>
      <c r="F1083" s="2" t="s">
        <v>2141</v>
      </c>
      <c r="G1083" s="2" t="s">
        <v>2142</v>
      </c>
      <c r="H1083" s="2" t="s">
        <v>2688</v>
      </c>
      <c r="I1083" s="2" t="s">
        <v>2689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5">
        <v>1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5">
        <v>1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</row>
    <row r="1084" spans="1:28" ht="90" x14ac:dyDescent="0.25">
      <c r="A1084" s="2">
        <v>1083</v>
      </c>
      <c r="B1084" s="5">
        <v>0.18510638297872339</v>
      </c>
      <c r="C1084" s="5">
        <v>0.236144578313253</v>
      </c>
      <c r="D1084" s="5">
        <v>0.1</v>
      </c>
      <c r="E1084" s="2">
        <v>0</v>
      </c>
      <c r="F1084" s="2" t="s">
        <v>2143</v>
      </c>
      <c r="G1084" s="2" t="s">
        <v>2140</v>
      </c>
      <c r="H1084" s="2" t="s">
        <v>2688</v>
      </c>
      <c r="I1084" s="2" t="s">
        <v>2689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5">
        <v>1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5">
        <v>1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</row>
    <row r="1085" spans="1:28" ht="45" x14ac:dyDescent="0.25">
      <c r="A1085" s="2">
        <v>1084</v>
      </c>
      <c r="B1085" s="5">
        <v>0.21382978723404261</v>
      </c>
      <c r="C1085" s="5">
        <v>0.22650602409638559</v>
      </c>
      <c r="D1085" s="5">
        <v>0.14000000000000001</v>
      </c>
      <c r="E1085" s="2">
        <v>0</v>
      </c>
      <c r="F1085" s="2" t="s">
        <v>2144</v>
      </c>
      <c r="G1085" s="2" t="s">
        <v>2145</v>
      </c>
      <c r="H1085" s="2" t="s">
        <v>2688</v>
      </c>
      <c r="I1085" s="2" t="s">
        <v>2689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5">
        <v>1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5">
        <v>1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</row>
    <row r="1086" spans="1:28" ht="45" x14ac:dyDescent="0.25">
      <c r="A1086" s="2">
        <v>1085</v>
      </c>
      <c r="B1086" s="5">
        <v>0.47659574468085109</v>
      </c>
      <c r="C1086" s="5">
        <v>0.1746987951807229</v>
      </c>
      <c r="D1086" s="5">
        <v>0.42299999999999999</v>
      </c>
      <c r="E1086" s="5">
        <v>3.5548686244204009E-3</v>
      </c>
      <c r="F1086" s="2" t="s">
        <v>2146</v>
      </c>
      <c r="G1086" s="2" t="s">
        <v>2147</v>
      </c>
      <c r="H1086" s="2" t="s">
        <v>2688</v>
      </c>
      <c r="I1086" s="2" t="s">
        <v>2689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5">
        <v>1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5">
        <v>1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</row>
    <row r="1087" spans="1:28" ht="45" x14ac:dyDescent="0.25">
      <c r="A1087" s="2">
        <v>1086</v>
      </c>
      <c r="B1087" s="5">
        <v>0.19468085106382979</v>
      </c>
      <c r="C1087" s="5">
        <v>0.1445783132530121</v>
      </c>
      <c r="D1087" s="5">
        <v>0.14399999999999999</v>
      </c>
      <c r="E1087" s="5">
        <v>2.1638330757341581E-3</v>
      </c>
      <c r="F1087" s="2" t="s">
        <v>2148</v>
      </c>
      <c r="G1087" s="2" t="s">
        <v>2149</v>
      </c>
      <c r="H1087" s="2" t="s">
        <v>2683</v>
      </c>
      <c r="I1087" s="2" t="s">
        <v>2689</v>
      </c>
      <c r="J1087" s="2">
        <v>0</v>
      </c>
      <c r="K1087" s="2">
        <v>0</v>
      </c>
      <c r="L1087" s="2">
        <v>0</v>
      </c>
      <c r="M1087" s="5">
        <v>1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5">
        <v>1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</row>
    <row r="1088" spans="1:28" ht="60" x14ac:dyDescent="0.25">
      <c r="A1088" s="2">
        <v>1087</v>
      </c>
      <c r="B1088" s="5">
        <v>0.1042553191489362</v>
      </c>
      <c r="C1088" s="5">
        <v>0.26385542168674703</v>
      </c>
      <c r="D1088" s="5">
        <v>1.0999999999999999E-2</v>
      </c>
      <c r="E1088" s="2">
        <v>0</v>
      </c>
      <c r="F1088" s="2" t="s">
        <v>2150</v>
      </c>
      <c r="G1088" s="2" t="s">
        <v>650</v>
      </c>
      <c r="H1088" s="2" t="s">
        <v>2688</v>
      </c>
      <c r="I1088" s="2" t="s">
        <v>2689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5">
        <v>1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5">
        <v>1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</row>
    <row r="1089" spans="1:28" ht="45" x14ac:dyDescent="0.25">
      <c r="A1089" s="2">
        <v>1088</v>
      </c>
      <c r="B1089" s="5">
        <v>0.14574468085106379</v>
      </c>
      <c r="C1089" s="5">
        <v>0.18072289156626509</v>
      </c>
      <c r="D1089" s="5">
        <v>8.1000000000000003E-2</v>
      </c>
      <c r="E1089" s="5">
        <v>1.3910355486862439E-3</v>
      </c>
      <c r="F1089" s="2" t="s">
        <v>2151</v>
      </c>
      <c r="G1089" s="2" t="s">
        <v>776</v>
      </c>
      <c r="H1089" s="2" t="s">
        <v>2688</v>
      </c>
      <c r="I1089" s="2" t="s">
        <v>2689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5">
        <v>1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5">
        <v>1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</row>
    <row r="1090" spans="1:28" ht="30" x14ac:dyDescent="0.25">
      <c r="A1090" s="2">
        <v>1089</v>
      </c>
      <c r="B1090" s="5">
        <v>0.29148936170212769</v>
      </c>
      <c r="C1090" s="5">
        <v>0.19277108433734941</v>
      </c>
      <c r="D1090" s="5">
        <v>0.22</v>
      </c>
      <c r="E1090" s="5">
        <v>4.6367851622874804E-3</v>
      </c>
      <c r="F1090" s="2" t="s">
        <v>2152</v>
      </c>
      <c r="G1090" s="2" t="s">
        <v>2153</v>
      </c>
      <c r="H1090" s="2" t="s">
        <v>2688</v>
      </c>
      <c r="I1090" s="2" t="s">
        <v>2689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5">
        <v>1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5">
        <v>1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</row>
    <row r="1091" spans="1:28" ht="45" x14ac:dyDescent="0.25">
      <c r="A1091" s="2">
        <v>1090</v>
      </c>
      <c r="B1091" s="5">
        <v>8.9361702127659579E-2</v>
      </c>
      <c r="C1091" s="5">
        <v>0.12650602409638559</v>
      </c>
      <c r="D1091" s="5">
        <v>4.5999999999999999E-2</v>
      </c>
      <c r="E1091" s="5">
        <v>3.0911901081916539E-4</v>
      </c>
      <c r="F1091" s="2" t="s">
        <v>2154</v>
      </c>
      <c r="G1091" s="2" t="s">
        <v>2155</v>
      </c>
      <c r="H1091" s="2" t="s">
        <v>2683</v>
      </c>
      <c r="I1091" s="2" t="s">
        <v>2689</v>
      </c>
      <c r="J1091" s="2">
        <v>0</v>
      </c>
      <c r="K1091" s="2">
        <v>0</v>
      </c>
      <c r="L1091" s="2">
        <v>0</v>
      </c>
      <c r="M1091" s="5">
        <v>1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5">
        <v>1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</row>
    <row r="1092" spans="1:28" ht="45" x14ac:dyDescent="0.25">
      <c r="A1092" s="2">
        <v>1091</v>
      </c>
      <c r="B1092" s="5">
        <v>0.1404255319148936</v>
      </c>
      <c r="C1092" s="5">
        <v>0.23734939759036139</v>
      </c>
      <c r="D1092" s="5">
        <v>3.2000000000000001E-2</v>
      </c>
      <c r="E1092" s="5">
        <v>9.2735703245749607E-3</v>
      </c>
      <c r="F1092" s="2" t="s">
        <v>2156</v>
      </c>
      <c r="G1092" s="2" t="s">
        <v>2157</v>
      </c>
      <c r="H1092" s="2" t="s">
        <v>2688</v>
      </c>
      <c r="I1092" s="2" t="s">
        <v>2689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5">
        <v>1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5">
        <v>1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</row>
    <row r="1093" spans="1:28" ht="45" x14ac:dyDescent="0.25">
      <c r="A1093" s="2">
        <v>1092</v>
      </c>
      <c r="B1093" s="5">
        <v>0.1308510638297872</v>
      </c>
      <c r="C1093" s="5">
        <v>0.12530120481927709</v>
      </c>
      <c r="D1093" s="5">
        <v>8.5999999999999993E-2</v>
      </c>
      <c r="E1093" s="5">
        <v>1.236476043276662E-3</v>
      </c>
      <c r="F1093" s="2" t="s">
        <v>2158</v>
      </c>
      <c r="G1093" s="2" t="s">
        <v>1888</v>
      </c>
      <c r="H1093" s="2" t="s">
        <v>2688</v>
      </c>
      <c r="I1093" s="2" t="s">
        <v>2689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5">
        <v>1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5">
        <v>1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</row>
    <row r="1094" spans="1:28" ht="45" x14ac:dyDescent="0.25">
      <c r="A1094" s="2">
        <v>1093</v>
      </c>
      <c r="B1094" s="5">
        <v>0.38297872340425532</v>
      </c>
      <c r="C1094" s="5">
        <v>0.69036144578313252</v>
      </c>
      <c r="D1094" s="5">
        <v>0.06</v>
      </c>
      <c r="E1094" s="5">
        <v>2.9675425038639871E-2</v>
      </c>
      <c r="F1094" s="2" t="s">
        <v>2159</v>
      </c>
      <c r="G1094" s="2" t="s">
        <v>2160</v>
      </c>
      <c r="H1094" s="2" t="s">
        <v>2688</v>
      </c>
      <c r="I1094" s="2" t="s">
        <v>2689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5">
        <v>1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5">
        <v>1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</row>
    <row r="1095" spans="1:28" ht="45" x14ac:dyDescent="0.25">
      <c r="A1095" s="2">
        <v>1094</v>
      </c>
      <c r="B1095" s="5">
        <v>0.28510638297872343</v>
      </c>
      <c r="C1095" s="5">
        <v>0.28795180722891572</v>
      </c>
      <c r="D1095" s="5">
        <v>0.127</v>
      </c>
      <c r="E1095" s="5">
        <v>2.241112828438949E-2</v>
      </c>
      <c r="F1095" s="2" t="s">
        <v>2161</v>
      </c>
      <c r="G1095" s="2" t="s">
        <v>2162</v>
      </c>
      <c r="H1095" s="2" t="s">
        <v>2684</v>
      </c>
      <c r="I1095" s="2" t="s">
        <v>2689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5">
        <v>1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5">
        <v>1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</row>
    <row r="1096" spans="1:28" ht="45" x14ac:dyDescent="0.25">
      <c r="A1096" s="2">
        <v>1095</v>
      </c>
      <c r="B1096" s="5">
        <v>0.13404255319148939</v>
      </c>
      <c r="C1096" s="5">
        <v>0.16867469879518071</v>
      </c>
      <c r="D1096" s="5">
        <v>7.2000000000000008E-2</v>
      </c>
      <c r="E1096" s="5">
        <v>2.3183925811437402E-3</v>
      </c>
      <c r="F1096" s="2" t="s">
        <v>2163</v>
      </c>
      <c r="G1096" s="2" t="s">
        <v>2164</v>
      </c>
      <c r="H1096" s="2" t="s">
        <v>2688</v>
      </c>
      <c r="I1096" s="2" t="s">
        <v>2689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5">
        <v>1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5">
        <v>1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</row>
    <row r="1097" spans="1:28" ht="60" x14ac:dyDescent="0.25">
      <c r="A1097" s="2">
        <v>1096</v>
      </c>
      <c r="B1097" s="5">
        <v>0.29893617021276597</v>
      </c>
      <c r="C1097" s="5">
        <v>0.45180722891566272</v>
      </c>
      <c r="D1097" s="5">
        <v>3.0000000000000001E-3</v>
      </c>
      <c r="E1097" s="5">
        <v>4.9613601236476047E-2</v>
      </c>
      <c r="F1097" s="2" t="s">
        <v>2165</v>
      </c>
      <c r="G1097" s="2" t="s">
        <v>2166</v>
      </c>
      <c r="H1097" s="2" t="s">
        <v>2681</v>
      </c>
      <c r="I1097" s="2" t="s">
        <v>2682</v>
      </c>
      <c r="J1097" s="2">
        <v>0</v>
      </c>
      <c r="K1097" s="2">
        <v>0</v>
      </c>
      <c r="L1097" s="2">
        <v>0</v>
      </c>
      <c r="M1097" s="2">
        <v>0</v>
      </c>
      <c r="N1097" s="5">
        <v>1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5">
        <v>1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</row>
    <row r="1098" spans="1:28" ht="30" x14ac:dyDescent="0.25">
      <c r="A1098" s="2">
        <v>1097</v>
      </c>
      <c r="B1098" s="5">
        <v>0.3595744680851064</v>
      </c>
      <c r="C1098" s="5">
        <v>0.25421686746987948</v>
      </c>
      <c r="D1098" s="5">
        <v>0.27</v>
      </c>
      <c r="E1098" s="5">
        <v>1.5455950540958271E-3</v>
      </c>
      <c r="F1098" s="2" t="s">
        <v>2167</v>
      </c>
      <c r="G1098" s="2" t="s">
        <v>2168</v>
      </c>
      <c r="H1098" s="2" t="s">
        <v>2683</v>
      </c>
      <c r="I1098" s="2" t="s">
        <v>2682</v>
      </c>
      <c r="J1098" s="2">
        <v>0</v>
      </c>
      <c r="K1098" s="2">
        <v>0</v>
      </c>
      <c r="L1098" s="2">
        <v>0</v>
      </c>
      <c r="M1098" s="5">
        <v>1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5">
        <v>1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</row>
    <row r="1099" spans="1:28" ht="75" x14ac:dyDescent="0.25">
      <c r="A1099" s="2">
        <v>1098</v>
      </c>
      <c r="B1099" s="5">
        <v>0.36595744680851072</v>
      </c>
      <c r="C1099" s="5">
        <v>0.36144578313253012</v>
      </c>
      <c r="D1099" s="5">
        <v>0.2</v>
      </c>
      <c r="E1099" s="5">
        <v>6.6460587326120549E-2</v>
      </c>
      <c r="F1099" s="2" t="s">
        <v>2169</v>
      </c>
      <c r="G1099" s="2" t="s">
        <v>2170</v>
      </c>
      <c r="H1099" s="2" t="s">
        <v>2694</v>
      </c>
      <c r="I1099" s="2" t="s">
        <v>2687</v>
      </c>
      <c r="J1099" s="5">
        <v>1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5">
        <v>1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 spans="1:28" ht="75" x14ac:dyDescent="0.25">
      <c r="A1100" s="2">
        <v>1099</v>
      </c>
      <c r="B1100" s="5">
        <v>0.1765957446808511</v>
      </c>
      <c r="C1100" s="5">
        <v>2.7710843373493971E-2</v>
      </c>
      <c r="D1100" s="5">
        <v>2.8000000000000001E-2</v>
      </c>
      <c r="E1100" s="5">
        <v>5.0850077279752701E-2</v>
      </c>
      <c r="F1100" s="2" t="s">
        <v>2171</v>
      </c>
      <c r="G1100" s="2" t="s">
        <v>2172</v>
      </c>
      <c r="H1100" s="2" t="s">
        <v>2681</v>
      </c>
      <c r="I1100" s="2" t="s">
        <v>2691</v>
      </c>
      <c r="J1100" s="2">
        <v>0</v>
      </c>
      <c r="K1100" s="2">
        <v>0</v>
      </c>
      <c r="L1100" s="2">
        <v>0</v>
      </c>
      <c r="M1100" s="2">
        <v>0</v>
      </c>
      <c r="N1100" s="5">
        <v>1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5">
        <v>1</v>
      </c>
      <c r="Z1100" s="2">
        <v>0</v>
      </c>
      <c r="AA1100" s="2">
        <v>0</v>
      </c>
      <c r="AB1100" s="2">
        <v>0</v>
      </c>
    </row>
    <row r="1101" spans="1:28" ht="45" x14ac:dyDescent="0.25">
      <c r="A1101" s="2">
        <v>1100</v>
      </c>
      <c r="B1101" s="5">
        <v>0.30106382978723412</v>
      </c>
      <c r="C1101" s="5">
        <v>0.14578313253012051</v>
      </c>
      <c r="D1101" s="5">
        <v>0.16800000000000001</v>
      </c>
      <c r="E1101" s="5">
        <v>3.2302936630602783E-2</v>
      </c>
      <c r="F1101" s="2" t="s">
        <v>2173</v>
      </c>
      <c r="G1101" s="2" t="s">
        <v>2174</v>
      </c>
      <c r="H1101" s="2" t="s">
        <v>2681</v>
      </c>
      <c r="I1101" s="2" t="s">
        <v>2682</v>
      </c>
      <c r="J1101" s="2">
        <v>0</v>
      </c>
      <c r="K1101" s="2">
        <v>0</v>
      </c>
      <c r="L1101" s="2">
        <v>0</v>
      </c>
      <c r="M1101" s="2">
        <v>0</v>
      </c>
      <c r="N1101" s="5">
        <v>1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5">
        <v>1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</row>
    <row r="1102" spans="1:28" ht="30" x14ac:dyDescent="0.25">
      <c r="A1102" s="2">
        <v>1101</v>
      </c>
      <c r="B1102" s="5">
        <v>0.1170212765957447</v>
      </c>
      <c r="C1102" s="5">
        <v>0.18674698795180719</v>
      </c>
      <c r="D1102" s="5">
        <v>5.0000000000000001E-3</v>
      </c>
      <c r="E1102" s="5">
        <v>1.7774343122102011E-2</v>
      </c>
      <c r="F1102" s="2" t="s">
        <v>2175</v>
      </c>
      <c r="G1102" s="2" t="s">
        <v>2176</v>
      </c>
      <c r="H1102" s="2" t="s">
        <v>2681</v>
      </c>
      <c r="I1102" s="2" t="s">
        <v>2682</v>
      </c>
      <c r="J1102" s="2">
        <v>0</v>
      </c>
      <c r="K1102" s="2">
        <v>0</v>
      </c>
      <c r="L1102" s="2">
        <v>0</v>
      </c>
      <c r="M1102" s="2">
        <v>0</v>
      </c>
      <c r="N1102" s="5">
        <v>1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5">
        <v>1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</row>
    <row r="1103" spans="1:28" ht="45" x14ac:dyDescent="0.25">
      <c r="A1103" s="2">
        <v>1102</v>
      </c>
      <c r="B1103" s="5">
        <v>0.19042553191489359</v>
      </c>
      <c r="C1103" s="5">
        <v>0.27108433734939757</v>
      </c>
      <c r="D1103" s="5">
        <v>3.5000000000000003E-2</v>
      </c>
      <c r="E1103" s="5">
        <v>2.05564142194745E-2</v>
      </c>
      <c r="F1103" s="2" t="s">
        <v>2177</v>
      </c>
      <c r="G1103" s="2" t="s">
        <v>2178</v>
      </c>
      <c r="H1103" s="2" t="s">
        <v>2681</v>
      </c>
      <c r="I1103" s="2" t="s">
        <v>2682</v>
      </c>
      <c r="J1103" s="2">
        <v>0</v>
      </c>
      <c r="K1103" s="2">
        <v>0</v>
      </c>
      <c r="L1103" s="2">
        <v>0</v>
      </c>
      <c r="M1103" s="2">
        <v>0</v>
      </c>
      <c r="N1103" s="5">
        <v>1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5">
        <v>1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</row>
    <row r="1104" spans="1:28" ht="90" x14ac:dyDescent="0.25">
      <c r="A1104" s="2">
        <v>1103</v>
      </c>
      <c r="B1104" s="5">
        <v>0.29148936170212769</v>
      </c>
      <c r="C1104" s="5">
        <v>0.155421686746988</v>
      </c>
      <c r="D1104" s="5">
        <v>0.186</v>
      </c>
      <c r="E1104" s="5">
        <v>2.1020092735703249E-2</v>
      </c>
      <c r="F1104" s="2" t="s">
        <v>2179</v>
      </c>
      <c r="G1104" s="2" t="s">
        <v>2180</v>
      </c>
      <c r="H1104" s="2" t="s">
        <v>2681</v>
      </c>
      <c r="I1104" s="2" t="s">
        <v>2682</v>
      </c>
      <c r="J1104" s="2">
        <v>0</v>
      </c>
      <c r="K1104" s="2">
        <v>0</v>
      </c>
      <c r="L1104" s="2">
        <v>0</v>
      </c>
      <c r="M1104" s="2">
        <v>0</v>
      </c>
      <c r="N1104" s="5">
        <v>1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5">
        <v>1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</row>
    <row r="1105" spans="1:28" ht="45" x14ac:dyDescent="0.25">
      <c r="A1105" s="2">
        <v>1104</v>
      </c>
      <c r="B1105" s="5">
        <v>0.13478723404255319</v>
      </c>
      <c r="C1105" s="5">
        <v>0.16867469879518071</v>
      </c>
      <c r="D1105" s="5">
        <v>7.2999999999999995E-2</v>
      </c>
      <c r="E1105" s="5">
        <v>2.0092735703245751E-3</v>
      </c>
      <c r="F1105" s="2" t="s">
        <v>2181</v>
      </c>
      <c r="G1105" s="2" t="s">
        <v>2182</v>
      </c>
      <c r="H1105" s="2" t="s">
        <v>2681</v>
      </c>
      <c r="I1105" s="2" t="s">
        <v>2682</v>
      </c>
      <c r="J1105" s="2">
        <v>0</v>
      </c>
      <c r="K1105" s="2">
        <v>0</v>
      </c>
      <c r="L1105" s="2">
        <v>0</v>
      </c>
      <c r="M1105" s="2">
        <v>0</v>
      </c>
      <c r="N1105" s="5">
        <v>1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5">
        <v>1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</row>
    <row r="1106" spans="1:28" ht="45" x14ac:dyDescent="0.25">
      <c r="A1106" s="2">
        <v>1105</v>
      </c>
      <c r="B1106" s="5">
        <v>2.3404255319148939E-2</v>
      </c>
      <c r="C1106" s="5">
        <v>2.7710843373493971E-2</v>
      </c>
      <c r="D1106" s="5">
        <v>3.0000000000000001E-3</v>
      </c>
      <c r="E1106" s="5">
        <v>6.1823802163833066E-3</v>
      </c>
      <c r="F1106" s="2" t="s">
        <v>2183</v>
      </c>
      <c r="G1106" s="2" t="s">
        <v>2184</v>
      </c>
      <c r="H1106" s="2" t="s">
        <v>2684</v>
      </c>
      <c r="I1106" s="2" t="s">
        <v>2685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5">
        <v>1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5">
        <v>1</v>
      </c>
      <c r="Y1106" s="2">
        <v>0</v>
      </c>
      <c r="Z1106" s="2">
        <v>0</v>
      </c>
      <c r="AA1106" s="2">
        <v>0</v>
      </c>
      <c r="AB1106" s="2">
        <v>0</v>
      </c>
    </row>
    <row r="1107" spans="1:28" ht="45" x14ac:dyDescent="0.25">
      <c r="A1107" s="2">
        <v>1106</v>
      </c>
      <c r="B1107" s="5">
        <v>9.5744680851063829E-3</v>
      </c>
      <c r="C1107" s="5">
        <v>1.204819277108434E-2</v>
      </c>
      <c r="D1107" s="5">
        <v>1E-3</v>
      </c>
      <c r="E1107" s="5">
        <v>2.6275115919629061E-3</v>
      </c>
      <c r="F1107" s="2" t="s">
        <v>2185</v>
      </c>
      <c r="G1107" s="2" t="s">
        <v>2186</v>
      </c>
      <c r="H1107" s="2" t="s">
        <v>2684</v>
      </c>
      <c r="I1107" s="2" t="s">
        <v>2685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5">
        <v>1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5">
        <v>1</v>
      </c>
      <c r="Y1107" s="2">
        <v>0</v>
      </c>
      <c r="Z1107" s="2">
        <v>0</v>
      </c>
      <c r="AA1107" s="2">
        <v>0</v>
      </c>
      <c r="AB1107" s="2">
        <v>0</v>
      </c>
    </row>
    <row r="1108" spans="1:28" ht="30" x14ac:dyDescent="0.25">
      <c r="A1108" s="2">
        <v>1107</v>
      </c>
      <c r="B1108" s="5">
        <v>3.1914893617021267E-2</v>
      </c>
      <c r="C1108" s="5">
        <v>2.289156626506024E-2</v>
      </c>
      <c r="D1108" s="5">
        <v>5.0000000000000001E-3</v>
      </c>
      <c r="E1108" s="5">
        <v>6.8006182380216376E-3</v>
      </c>
      <c r="F1108" s="2" t="s">
        <v>2187</v>
      </c>
      <c r="G1108" s="2" t="s">
        <v>2188</v>
      </c>
      <c r="H1108" s="2" t="s">
        <v>2684</v>
      </c>
      <c r="I1108" s="2" t="s">
        <v>2685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5">
        <v>1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5">
        <v>1</v>
      </c>
      <c r="Y1108" s="2">
        <v>0</v>
      </c>
      <c r="Z1108" s="2">
        <v>0</v>
      </c>
      <c r="AA1108" s="2">
        <v>0</v>
      </c>
      <c r="AB1108" s="2">
        <v>0</v>
      </c>
    </row>
    <row r="1109" spans="1:28" ht="45" x14ac:dyDescent="0.25">
      <c r="A1109" s="2">
        <v>1108</v>
      </c>
      <c r="B1109" s="5">
        <v>2.021276595744681E-2</v>
      </c>
      <c r="C1109" s="5">
        <v>1.566265060240964E-2</v>
      </c>
      <c r="D1109" s="5">
        <v>2E-3</v>
      </c>
      <c r="E1109" s="5">
        <v>4.4822256568778978E-3</v>
      </c>
      <c r="F1109" s="2" t="s">
        <v>2189</v>
      </c>
      <c r="G1109" s="2" t="s">
        <v>2190</v>
      </c>
      <c r="H1109" s="2" t="s">
        <v>2684</v>
      </c>
      <c r="I1109" s="2" t="s">
        <v>2685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5">
        <v>1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5">
        <v>1</v>
      </c>
      <c r="Y1109" s="2">
        <v>0</v>
      </c>
      <c r="Z1109" s="2">
        <v>0</v>
      </c>
      <c r="AA1109" s="2">
        <v>0</v>
      </c>
      <c r="AB1109" s="2">
        <v>0</v>
      </c>
    </row>
    <row r="1110" spans="1:28" ht="45" x14ac:dyDescent="0.25">
      <c r="A1110" s="2">
        <v>1109</v>
      </c>
      <c r="B1110" s="5">
        <v>9.7872340425531917E-2</v>
      </c>
      <c r="C1110" s="5">
        <v>6.024096385542169E-3</v>
      </c>
      <c r="D1110" s="5">
        <v>1.0999999999999999E-2</v>
      </c>
      <c r="E1110" s="5">
        <v>3.4621329211746522E-2</v>
      </c>
      <c r="F1110" s="2" t="s">
        <v>2191</v>
      </c>
      <c r="G1110" s="2" t="s">
        <v>2192</v>
      </c>
      <c r="H1110" s="2" t="s">
        <v>2683</v>
      </c>
      <c r="I1110" s="2" t="s">
        <v>2682</v>
      </c>
      <c r="J1110" s="2">
        <v>0</v>
      </c>
      <c r="K1110" s="2">
        <v>0</v>
      </c>
      <c r="L1110" s="2">
        <v>0</v>
      </c>
      <c r="M1110" s="5">
        <v>1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5">
        <v>1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</row>
    <row r="1111" spans="1:28" ht="45" x14ac:dyDescent="0.25">
      <c r="A1111" s="2">
        <v>1110</v>
      </c>
      <c r="B1111" s="5">
        <v>6.8085106382978725E-2</v>
      </c>
      <c r="C1111" s="5">
        <v>1.204819277108434E-2</v>
      </c>
      <c r="D1111" s="5">
        <v>3.1E-2</v>
      </c>
      <c r="E1111" s="5">
        <v>1.236476043276661E-2</v>
      </c>
      <c r="F1111" s="2" t="s">
        <v>2193</v>
      </c>
      <c r="G1111" s="2" t="s">
        <v>2194</v>
      </c>
      <c r="H1111" s="2" t="s">
        <v>2683</v>
      </c>
      <c r="I1111" s="2" t="s">
        <v>2682</v>
      </c>
      <c r="J1111" s="2">
        <v>0</v>
      </c>
      <c r="K1111" s="2">
        <v>0</v>
      </c>
      <c r="L1111" s="2">
        <v>0</v>
      </c>
      <c r="M1111" s="5">
        <v>1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5">
        <v>1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</row>
    <row r="1112" spans="1:28" ht="45" x14ac:dyDescent="0.25">
      <c r="A1112" s="2">
        <v>1111</v>
      </c>
      <c r="B1112" s="5">
        <v>0.1180851063829787</v>
      </c>
      <c r="C1112" s="5">
        <v>1.084337349397591E-2</v>
      </c>
      <c r="D1112" s="5">
        <v>2.3E-2</v>
      </c>
      <c r="E1112" s="5">
        <v>3.3384853168469862E-2</v>
      </c>
      <c r="F1112" s="2" t="s">
        <v>2195</v>
      </c>
      <c r="G1112" s="2" t="s">
        <v>2196</v>
      </c>
      <c r="H1112" s="2" t="s">
        <v>2683</v>
      </c>
      <c r="I1112" s="2" t="s">
        <v>2682</v>
      </c>
      <c r="J1112" s="2">
        <v>0</v>
      </c>
      <c r="K1112" s="2">
        <v>0</v>
      </c>
      <c r="L1112" s="2">
        <v>0</v>
      </c>
      <c r="M1112" s="5">
        <v>1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5">
        <v>1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</row>
    <row r="1113" spans="1:28" ht="30" x14ac:dyDescent="0.25">
      <c r="A1113" s="2">
        <v>1112</v>
      </c>
      <c r="B1113" s="5">
        <v>9.7872340425531917E-2</v>
      </c>
      <c r="C1113" s="5">
        <v>6.024096385542169E-3</v>
      </c>
      <c r="D1113" s="5">
        <v>1.0999999999999999E-2</v>
      </c>
      <c r="E1113" s="5">
        <v>3.4621329211746522E-2</v>
      </c>
      <c r="F1113" s="2" t="s">
        <v>2197</v>
      </c>
      <c r="G1113" s="2" t="s">
        <v>2198</v>
      </c>
      <c r="H1113" s="2" t="s">
        <v>2683</v>
      </c>
      <c r="I1113" s="2" t="s">
        <v>2682</v>
      </c>
      <c r="J1113" s="2">
        <v>0</v>
      </c>
      <c r="K1113" s="2">
        <v>0</v>
      </c>
      <c r="L1113" s="2">
        <v>0</v>
      </c>
      <c r="M1113" s="5">
        <v>1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5">
        <v>1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</row>
    <row r="1114" spans="1:28" ht="30" x14ac:dyDescent="0.25">
      <c r="A1114" s="2">
        <v>1113</v>
      </c>
      <c r="B1114" s="5">
        <v>3.085106382978723E-2</v>
      </c>
      <c r="C1114" s="5">
        <v>8.4337349397590362E-3</v>
      </c>
      <c r="D1114" s="5">
        <v>6.0000000000000001E-3</v>
      </c>
      <c r="E1114" s="5">
        <v>7.7279752704791354E-3</v>
      </c>
      <c r="F1114" s="2" t="s">
        <v>2199</v>
      </c>
      <c r="G1114" s="2" t="s">
        <v>2200</v>
      </c>
      <c r="H1114" s="2" t="s">
        <v>2696</v>
      </c>
      <c r="I1114" s="2" t="s">
        <v>2685</v>
      </c>
      <c r="J1114" s="2">
        <v>0</v>
      </c>
      <c r="K1114" s="5">
        <v>1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5">
        <v>1</v>
      </c>
      <c r="Y1114" s="2">
        <v>0</v>
      </c>
      <c r="Z1114" s="2">
        <v>0</v>
      </c>
      <c r="AA1114" s="2">
        <v>0</v>
      </c>
      <c r="AB1114" s="2">
        <v>0</v>
      </c>
    </row>
    <row r="1115" spans="1:28" ht="45" x14ac:dyDescent="0.25">
      <c r="A1115" s="2">
        <v>1114</v>
      </c>
      <c r="B1115" s="5">
        <v>5.2127659574468077E-2</v>
      </c>
      <c r="C1115" s="5">
        <v>2.0481927710843371E-2</v>
      </c>
      <c r="D1115" s="5">
        <v>3.0000000000000001E-3</v>
      </c>
      <c r="E1115" s="5">
        <v>1.5146831530139101E-2</v>
      </c>
      <c r="F1115" s="2" t="s">
        <v>2201</v>
      </c>
      <c r="G1115" s="2" t="s">
        <v>2202</v>
      </c>
      <c r="H1115" s="2" t="s">
        <v>2683</v>
      </c>
      <c r="I1115" s="2" t="s">
        <v>2685</v>
      </c>
      <c r="J1115" s="2">
        <v>0</v>
      </c>
      <c r="K1115" s="2">
        <v>0</v>
      </c>
      <c r="L1115" s="2">
        <v>0</v>
      </c>
      <c r="M1115" s="5">
        <v>1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5">
        <v>1</v>
      </c>
      <c r="Y1115" s="2">
        <v>0</v>
      </c>
      <c r="Z1115" s="2">
        <v>0</v>
      </c>
      <c r="AA1115" s="2">
        <v>0</v>
      </c>
      <c r="AB1115" s="2">
        <v>0</v>
      </c>
    </row>
    <row r="1116" spans="1:28" ht="30" x14ac:dyDescent="0.25">
      <c r="A1116" s="2">
        <v>1115</v>
      </c>
      <c r="B1116" s="5">
        <v>0.1893617021276596</v>
      </c>
      <c r="C1116" s="5">
        <v>3.1325301204819279E-2</v>
      </c>
      <c r="D1116" s="5">
        <v>0.13900000000000001</v>
      </c>
      <c r="E1116" s="5">
        <v>1.6383307573415759E-2</v>
      </c>
      <c r="F1116" s="2" t="s">
        <v>2203</v>
      </c>
      <c r="G1116" s="2" t="s">
        <v>2204</v>
      </c>
      <c r="H1116" s="2" t="s">
        <v>2696</v>
      </c>
      <c r="I1116" s="2" t="s">
        <v>2685</v>
      </c>
      <c r="J1116" s="2">
        <v>0</v>
      </c>
      <c r="K1116" s="5">
        <v>1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5">
        <v>1</v>
      </c>
      <c r="Y1116" s="2">
        <v>0</v>
      </c>
      <c r="Z1116" s="2">
        <v>0</v>
      </c>
      <c r="AA1116" s="2">
        <v>0</v>
      </c>
      <c r="AB1116" s="2">
        <v>0</v>
      </c>
    </row>
    <row r="1117" spans="1:28" ht="30" x14ac:dyDescent="0.25">
      <c r="A1117" s="2">
        <v>1116</v>
      </c>
      <c r="B1117" s="5">
        <v>0.1414893617021277</v>
      </c>
      <c r="C1117" s="5">
        <v>8.7951807228915671E-2</v>
      </c>
      <c r="D1117" s="5">
        <v>6.6000000000000003E-2</v>
      </c>
      <c r="E1117" s="5">
        <v>1.7310664605873261E-2</v>
      </c>
      <c r="F1117" s="2" t="s">
        <v>2205</v>
      </c>
      <c r="G1117" s="2" t="s">
        <v>2206</v>
      </c>
      <c r="H1117" s="2" t="s">
        <v>2696</v>
      </c>
      <c r="I1117" s="2" t="s">
        <v>2685</v>
      </c>
      <c r="J1117" s="2">
        <v>0</v>
      </c>
      <c r="K1117" s="5">
        <v>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5">
        <v>1</v>
      </c>
      <c r="Y1117" s="2">
        <v>0</v>
      </c>
      <c r="Z1117" s="2">
        <v>0</v>
      </c>
      <c r="AA1117" s="2">
        <v>0</v>
      </c>
      <c r="AB1117" s="2">
        <v>0</v>
      </c>
    </row>
    <row r="1118" spans="1:28" ht="45" x14ac:dyDescent="0.25">
      <c r="A1118" s="2">
        <v>1117</v>
      </c>
      <c r="B1118" s="5">
        <v>6.8085106382978725E-2</v>
      </c>
      <c r="C1118" s="5">
        <v>2.5301204819277109E-2</v>
      </c>
      <c r="D1118" s="5">
        <v>6.0000000000000001E-3</v>
      </c>
      <c r="E1118" s="5">
        <v>1.9319938176197839E-2</v>
      </c>
      <c r="F1118" s="2" t="s">
        <v>2207</v>
      </c>
      <c r="G1118" s="2" t="s">
        <v>2208</v>
      </c>
      <c r="H1118" s="2" t="s">
        <v>2696</v>
      </c>
      <c r="I1118" s="2" t="s">
        <v>2687</v>
      </c>
      <c r="J1118" s="2">
        <v>0</v>
      </c>
      <c r="K1118" s="5">
        <v>1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5">
        <v>1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</row>
    <row r="1119" spans="1:28" ht="45" x14ac:dyDescent="0.25">
      <c r="A1119" s="2">
        <v>1118</v>
      </c>
      <c r="B1119" s="5">
        <v>3.8297872340425532E-2</v>
      </c>
      <c r="C1119" s="5">
        <v>3.2530120481927723E-2</v>
      </c>
      <c r="D1119" s="5">
        <v>6.9999999999999993E-3</v>
      </c>
      <c r="E1119" s="5">
        <v>7.4188562596599686E-3</v>
      </c>
      <c r="F1119" s="2" t="s">
        <v>2209</v>
      </c>
      <c r="G1119" s="2" t="s">
        <v>2210</v>
      </c>
      <c r="H1119" s="2" t="s">
        <v>2696</v>
      </c>
      <c r="I1119" s="2" t="s">
        <v>2685</v>
      </c>
      <c r="J1119" s="2">
        <v>0</v>
      </c>
      <c r="K1119" s="5">
        <v>1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5">
        <v>1</v>
      </c>
      <c r="Y1119" s="2">
        <v>0</v>
      </c>
      <c r="Z1119" s="2">
        <v>0</v>
      </c>
      <c r="AA1119" s="2">
        <v>0</v>
      </c>
      <c r="AB1119" s="2">
        <v>0</v>
      </c>
    </row>
    <row r="1120" spans="1:28" ht="30" x14ac:dyDescent="0.25">
      <c r="A1120" s="2">
        <v>1119</v>
      </c>
      <c r="B1120" s="5">
        <v>5.2127659574468077E-2</v>
      </c>
      <c r="C1120" s="5">
        <v>3.7349397590361447E-2</v>
      </c>
      <c r="D1120" s="5">
        <v>2.5000000000000001E-2</v>
      </c>
      <c r="E1120" s="5">
        <v>5.5641421947449756E-3</v>
      </c>
      <c r="F1120" s="2" t="s">
        <v>2211</v>
      </c>
      <c r="G1120" s="2" t="s">
        <v>2212</v>
      </c>
      <c r="H1120" s="2" t="s">
        <v>2696</v>
      </c>
      <c r="I1120" s="2" t="s">
        <v>2685</v>
      </c>
      <c r="J1120" s="2">
        <v>0</v>
      </c>
      <c r="K1120" s="5">
        <v>1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5">
        <v>1</v>
      </c>
      <c r="Y1120" s="2">
        <v>0</v>
      </c>
      <c r="Z1120" s="2">
        <v>0</v>
      </c>
      <c r="AA1120" s="2">
        <v>0</v>
      </c>
      <c r="AB1120" s="2">
        <v>0</v>
      </c>
    </row>
    <row r="1121" spans="1:28" ht="60" x14ac:dyDescent="0.25">
      <c r="A1121" s="2">
        <v>1120</v>
      </c>
      <c r="B1121" s="5">
        <v>2.8723404255319149E-2</v>
      </c>
      <c r="C1121" s="5">
        <v>1.566265060240964E-2</v>
      </c>
      <c r="D1121" s="5">
        <v>0.02</v>
      </c>
      <c r="E1121" s="5">
        <v>1.5455950540958271E-3</v>
      </c>
      <c r="F1121" s="2" t="s">
        <v>2213</v>
      </c>
      <c r="G1121" s="2" t="s">
        <v>2214</v>
      </c>
      <c r="H1121" s="2" t="s">
        <v>2696</v>
      </c>
      <c r="I1121" s="2" t="s">
        <v>2685</v>
      </c>
      <c r="J1121" s="2">
        <v>0</v>
      </c>
      <c r="K1121" s="5">
        <v>1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5">
        <v>1</v>
      </c>
      <c r="Y1121" s="2">
        <v>0</v>
      </c>
      <c r="Z1121" s="2">
        <v>0</v>
      </c>
      <c r="AA1121" s="2">
        <v>0</v>
      </c>
      <c r="AB1121" s="2">
        <v>0</v>
      </c>
    </row>
    <row r="1122" spans="1:28" ht="90" x14ac:dyDescent="0.25">
      <c r="A1122" s="2">
        <v>1121</v>
      </c>
      <c r="B1122" s="5">
        <v>7.1276595744680857E-2</v>
      </c>
      <c r="C1122" s="5">
        <v>6.2650602409638559E-2</v>
      </c>
      <c r="D1122" s="5">
        <v>2.9000000000000001E-2</v>
      </c>
      <c r="E1122" s="5">
        <v>7.8825347758887162E-3</v>
      </c>
      <c r="F1122" s="2" t="s">
        <v>2215</v>
      </c>
      <c r="G1122" s="2" t="s">
        <v>2216</v>
      </c>
      <c r="H1122" s="2" t="s">
        <v>2688</v>
      </c>
      <c r="I1122" s="2" t="s">
        <v>2686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5">
        <v>1</v>
      </c>
      <c r="P1122" s="2">
        <v>0</v>
      </c>
      <c r="Q1122" s="5">
        <v>1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</row>
    <row r="1123" spans="1:28" ht="45" x14ac:dyDescent="0.25">
      <c r="A1123" s="2">
        <v>1122</v>
      </c>
      <c r="B1123" s="5">
        <v>6.063829787234043E-2</v>
      </c>
      <c r="C1123" s="5">
        <v>6.5060240963855431E-2</v>
      </c>
      <c r="D1123" s="5">
        <v>2.5999999999999999E-2</v>
      </c>
      <c r="E1123" s="5">
        <v>4.7913446676970638E-3</v>
      </c>
      <c r="F1123" s="2" t="s">
        <v>2217</v>
      </c>
      <c r="G1123" s="2" t="s">
        <v>2218</v>
      </c>
      <c r="H1123" s="2" t="s">
        <v>2696</v>
      </c>
      <c r="I1123" s="2" t="s">
        <v>2685</v>
      </c>
      <c r="J1123" s="2">
        <v>0</v>
      </c>
      <c r="K1123" s="5">
        <v>1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5">
        <v>1</v>
      </c>
      <c r="Y1123" s="2">
        <v>0</v>
      </c>
      <c r="Z1123" s="2">
        <v>0</v>
      </c>
      <c r="AA1123" s="2">
        <v>0</v>
      </c>
      <c r="AB1123" s="2">
        <v>0</v>
      </c>
    </row>
    <row r="1124" spans="1:28" ht="30" x14ac:dyDescent="0.25">
      <c r="A1124" s="2">
        <v>1123</v>
      </c>
      <c r="B1124" s="5">
        <v>1.5957446808510641E-2</v>
      </c>
      <c r="C1124" s="5">
        <v>1.445783132530121E-2</v>
      </c>
      <c r="D1124" s="5">
        <v>2E-3</v>
      </c>
      <c r="E1124" s="5">
        <v>4.4822256568778978E-3</v>
      </c>
      <c r="F1124" s="2" t="s">
        <v>2219</v>
      </c>
      <c r="G1124" s="2" t="s">
        <v>2220</v>
      </c>
      <c r="H1124" s="2" t="s">
        <v>2684</v>
      </c>
      <c r="I1124" s="2" t="s">
        <v>2692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5">
        <v>1</v>
      </c>
      <c r="Q1124" s="2">
        <v>0</v>
      </c>
      <c r="R1124" s="5">
        <v>1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</row>
    <row r="1125" spans="1:28" ht="90" x14ac:dyDescent="0.25">
      <c r="A1125" s="2">
        <v>1124</v>
      </c>
      <c r="B1125" s="5">
        <v>1.8085106382978729E-2</v>
      </c>
      <c r="C1125" s="5">
        <v>2.0481927710843371E-2</v>
      </c>
      <c r="D1125" s="5">
        <v>3.0000000000000001E-3</v>
      </c>
      <c r="E1125" s="5">
        <v>4.6367851622874804E-3</v>
      </c>
      <c r="F1125" s="2" t="s">
        <v>2221</v>
      </c>
      <c r="G1125" s="2" t="s">
        <v>2222</v>
      </c>
      <c r="H1125" s="2" t="s">
        <v>2684</v>
      </c>
      <c r="I1125" s="2" t="s">
        <v>2692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5">
        <v>1</v>
      </c>
      <c r="Q1125" s="2">
        <v>0</v>
      </c>
      <c r="R1125" s="5">
        <v>1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</row>
    <row r="1126" spans="1:28" ht="75" x14ac:dyDescent="0.25">
      <c r="A1126" s="2">
        <v>1125</v>
      </c>
      <c r="B1126" s="5">
        <v>2.021276595744681E-2</v>
      </c>
      <c r="C1126" s="5">
        <v>3.2530120481927723E-2</v>
      </c>
      <c r="D1126" s="5">
        <v>2E-3</v>
      </c>
      <c r="E1126" s="5">
        <v>4.4822256568778978E-3</v>
      </c>
      <c r="F1126" s="2" t="s">
        <v>2223</v>
      </c>
      <c r="G1126" s="2" t="s">
        <v>2224</v>
      </c>
      <c r="H1126" s="2" t="s">
        <v>2684</v>
      </c>
      <c r="I1126" s="2" t="s">
        <v>2692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5">
        <v>1</v>
      </c>
      <c r="Q1126" s="2">
        <v>0</v>
      </c>
      <c r="R1126" s="5">
        <v>1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</row>
    <row r="1127" spans="1:28" ht="30" x14ac:dyDescent="0.25">
      <c r="A1127" s="2">
        <v>1126</v>
      </c>
      <c r="B1127" s="5">
        <v>2.1276595744680851E-2</v>
      </c>
      <c r="C1127" s="5">
        <v>1.204819277108434E-2</v>
      </c>
      <c r="D1127" s="5">
        <v>1E-3</v>
      </c>
      <c r="E1127" s="5">
        <v>7.1097372488408027E-3</v>
      </c>
      <c r="F1127" s="2" t="s">
        <v>2225</v>
      </c>
      <c r="G1127" s="2" t="s">
        <v>2226</v>
      </c>
      <c r="H1127" s="2" t="s">
        <v>2684</v>
      </c>
      <c r="I1127" s="2" t="s">
        <v>2682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5">
        <v>1</v>
      </c>
      <c r="Q1127" s="2">
        <v>0</v>
      </c>
      <c r="R1127" s="2">
        <v>0</v>
      </c>
      <c r="S1127" s="2">
        <v>0</v>
      </c>
      <c r="T1127" s="2">
        <v>0</v>
      </c>
      <c r="U1127" s="5">
        <v>1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</row>
    <row r="1128" spans="1:28" ht="30" x14ac:dyDescent="0.25">
      <c r="A1128" s="2">
        <v>1127</v>
      </c>
      <c r="B1128" s="5">
        <v>2.9787234042553189E-2</v>
      </c>
      <c r="C1128" s="5">
        <v>6.024096385542169E-3</v>
      </c>
      <c r="D1128" s="5">
        <v>2E-3</v>
      </c>
      <c r="E1128" s="5">
        <v>1.066460587326121E-2</v>
      </c>
      <c r="F1128" s="2" t="s">
        <v>2227</v>
      </c>
      <c r="G1128" s="2" t="s">
        <v>2228</v>
      </c>
      <c r="H1128" s="2" t="s">
        <v>2696</v>
      </c>
      <c r="I1128" s="2" t="s">
        <v>2686</v>
      </c>
      <c r="J1128" s="2">
        <v>0</v>
      </c>
      <c r="K1128" s="5">
        <v>1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5">
        <v>1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</row>
    <row r="1129" spans="1:28" ht="45" x14ac:dyDescent="0.25">
      <c r="A1129" s="2">
        <v>1128</v>
      </c>
      <c r="B1129" s="5">
        <v>0.2047872340425532</v>
      </c>
      <c r="C1129" s="5">
        <v>5.4216867469879519E-2</v>
      </c>
      <c r="D1129" s="5">
        <v>0.06</v>
      </c>
      <c r="E1129" s="5">
        <v>4.6831530139103558E-2</v>
      </c>
      <c r="F1129" s="2" t="s">
        <v>2229</v>
      </c>
      <c r="G1129" s="2" t="s">
        <v>2230</v>
      </c>
      <c r="H1129" s="2" t="s">
        <v>2684</v>
      </c>
      <c r="I1129" s="2" t="s">
        <v>2682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5">
        <v>1</v>
      </c>
      <c r="Q1129" s="2">
        <v>0</v>
      </c>
      <c r="R1129" s="2">
        <v>0</v>
      </c>
      <c r="S1129" s="2">
        <v>0</v>
      </c>
      <c r="T1129" s="2">
        <v>0</v>
      </c>
      <c r="U1129" s="5">
        <v>1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</row>
    <row r="1130" spans="1:28" ht="60" x14ac:dyDescent="0.25">
      <c r="A1130" s="2">
        <v>1129</v>
      </c>
      <c r="B1130" s="5">
        <v>6.8085106382978725E-2</v>
      </c>
      <c r="C1130" s="5">
        <v>7.2289156626506026E-3</v>
      </c>
      <c r="D1130" s="5">
        <v>3.0000000000000001E-3</v>
      </c>
      <c r="E1130" s="5">
        <v>2.2874806800618239E-2</v>
      </c>
      <c r="F1130" s="2" t="s">
        <v>2231</v>
      </c>
      <c r="G1130" s="2" t="s">
        <v>2232</v>
      </c>
      <c r="H1130" s="2" t="s">
        <v>2688</v>
      </c>
      <c r="I1130" s="2" t="s">
        <v>2690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5">
        <v>1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5">
        <v>1</v>
      </c>
    </row>
    <row r="1131" spans="1:28" ht="45" x14ac:dyDescent="0.25">
      <c r="A1131" s="2">
        <v>1130</v>
      </c>
      <c r="B1131" s="5">
        <v>0.37553191489361698</v>
      </c>
      <c r="C1131" s="5">
        <v>8.4337349397590362E-3</v>
      </c>
      <c r="D1131" s="5">
        <v>2E-3</v>
      </c>
      <c r="E1131" s="5">
        <v>0.1309119010819165</v>
      </c>
      <c r="F1131" s="2" t="s">
        <v>2233</v>
      </c>
      <c r="G1131" s="2" t="s">
        <v>2234</v>
      </c>
      <c r="H1131" s="2" t="s">
        <v>2688</v>
      </c>
      <c r="I1131" s="2" t="s">
        <v>2690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5">
        <v>1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5">
        <v>1</v>
      </c>
    </row>
    <row r="1132" spans="1:28" ht="45" x14ac:dyDescent="0.25">
      <c r="A1132" s="2">
        <v>1131</v>
      </c>
      <c r="B1132" s="5">
        <v>9.3617021276595741E-2</v>
      </c>
      <c r="C1132" s="5">
        <v>9.5180722891566275E-2</v>
      </c>
      <c r="D1132" s="5">
        <v>1.6E-2</v>
      </c>
      <c r="E1132" s="5">
        <v>1.6383307573415759E-2</v>
      </c>
      <c r="F1132" s="2" t="s">
        <v>2235</v>
      </c>
      <c r="G1132" s="2" t="s">
        <v>2236</v>
      </c>
      <c r="H1132" s="2" t="s">
        <v>2681</v>
      </c>
      <c r="I1132" s="2" t="s">
        <v>2682</v>
      </c>
      <c r="J1132" s="2">
        <v>0</v>
      </c>
      <c r="K1132" s="2">
        <v>0</v>
      </c>
      <c r="L1132" s="2">
        <v>0</v>
      </c>
      <c r="M1132" s="2">
        <v>0</v>
      </c>
      <c r="N1132" s="5">
        <v>1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5">
        <v>1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</row>
    <row r="1133" spans="1:28" ht="30" x14ac:dyDescent="0.25">
      <c r="A1133" s="2">
        <v>1132</v>
      </c>
      <c r="B1133" s="5">
        <v>0.31702127659574469</v>
      </c>
      <c r="C1133" s="5">
        <v>9.6385542168674704E-2</v>
      </c>
      <c r="D1133" s="5">
        <v>0.23799999999999999</v>
      </c>
      <c r="E1133" s="5">
        <v>7.5579598145285934E-2</v>
      </c>
      <c r="F1133" s="2" t="s">
        <v>2237</v>
      </c>
      <c r="G1133" s="2" t="s">
        <v>428</v>
      </c>
      <c r="H1133" s="2" t="s">
        <v>2694</v>
      </c>
      <c r="I1133" s="2" t="s">
        <v>2695</v>
      </c>
      <c r="J1133" s="5">
        <v>1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5">
        <v>1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</row>
    <row r="1134" spans="1:28" ht="30" x14ac:dyDescent="0.25">
      <c r="A1134" s="2">
        <v>1133</v>
      </c>
      <c r="B1134" s="5">
        <v>0.50851063829787235</v>
      </c>
      <c r="C1134" s="5">
        <v>3.012048192771084E-2</v>
      </c>
      <c r="D1134" s="5">
        <v>0.21199999999999999</v>
      </c>
      <c r="E1134" s="5">
        <v>0.1069551777434312</v>
      </c>
      <c r="F1134" s="2" t="s">
        <v>2238</v>
      </c>
      <c r="G1134" s="2" t="s">
        <v>2239</v>
      </c>
      <c r="H1134" s="2" t="s">
        <v>2683</v>
      </c>
      <c r="I1134" s="2" t="s">
        <v>2690</v>
      </c>
      <c r="J1134" s="2">
        <v>0</v>
      </c>
      <c r="K1134" s="2">
        <v>0</v>
      </c>
      <c r="L1134" s="2">
        <v>0</v>
      </c>
      <c r="M1134" s="5">
        <v>1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5">
        <v>1</v>
      </c>
    </row>
    <row r="1135" spans="1:28" ht="45" x14ac:dyDescent="0.25">
      <c r="A1135" s="2">
        <v>1134</v>
      </c>
      <c r="B1135" s="5">
        <v>0.22659574468085111</v>
      </c>
      <c r="C1135" s="2">
        <v>0</v>
      </c>
      <c r="D1135" s="2">
        <v>0</v>
      </c>
      <c r="E1135" s="5">
        <v>8.5007727975270481E-2</v>
      </c>
      <c r="F1135" s="2" t="s">
        <v>2240</v>
      </c>
      <c r="G1135" s="2" t="s">
        <v>2241</v>
      </c>
      <c r="H1135" s="2" t="s">
        <v>2697</v>
      </c>
      <c r="I1135" s="2" t="s">
        <v>2682</v>
      </c>
      <c r="J1135" s="2">
        <v>0</v>
      </c>
      <c r="K1135" s="2">
        <v>0</v>
      </c>
      <c r="L1135" s="5">
        <v>1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5">
        <v>1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</row>
    <row r="1136" spans="1:28" ht="30" x14ac:dyDescent="0.25">
      <c r="A1136" s="2">
        <v>1135</v>
      </c>
      <c r="B1136" s="5">
        <v>9.3617021276595741E-2</v>
      </c>
      <c r="C1136" s="5">
        <v>3.8554216867469883E-2</v>
      </c>
      <c r="D1136" s="5">
        <v>0.08</v>
      </c>
      <c r="E1136" s="5">
        <v>1.236476043276662E-3</v>
      </c>
      <c r="F1136" s="2" t="s">
        <v>2242</v>
      </c>
      <c r="G1136" s="2" t="s">
        <v>351</v>
      </c>
      <c r="H1136" s="2" t="s">
        <v>2681</v>
      </c>
      <c r="I1136" s="2" t="s">
        <v>2682</v>
      </c>
      <c r="J1136" s="2">
        <v>0</v>
      </c>
      <c r="K1136" s="2">
        <v>0</v>
      </c>
      <c r="L1136" s="2">
        <v>0</v>
      </c>
      <c r="M1136" s="2">
        <v>0</v>
      </c>
      <c r="N1136" s="5">
        <v>1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5">
        <v>1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</row>
    <row r="1137" spans="1:28" ht="90" x14ac:dyDescent="0.25">
      <c r="A1137" s="2">
        <v>1136</v>
      </c>
      <c r="B1137" s="5">
        <v>0.50425531914893618</v>
      </c>
      <c r="C1137" s="5">
        <v>0.13493975903614461</v>
      </c>
      <c r="D1137" s="5">
        <v>0.42499999999999999</v>
      </c>
      <c r="E1137" s="5">
        <v>1.8083462132921169E-2</v>
      </c>
      <c r="F1137" s="2" t="s">
        <v>2243</v>
      </c>
      <c r="G1137" s="2" t="s">
        <v>2244</v>
      </c>
      <c r="H1137" s="2" t="s">
        <v>2681</v>
      </c>
      <c r="I1137" s="2" t="s">
        <v>2682</v>
      </c>
      <c r="J1137" s="2">
        <v>0</v>
      </c>
      <c r="K1137" s="2">
        <v>0</v>
      </c>
      <c r="L1137" s="2">
        <v>0</v>
      </c>
      <c r="M1137" s="2">
        <v>0</v>
      </c>
      <c r="N1137" s="5">
        <v>1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5">
        <v>1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</row>
    <row r="1138" spans="1:28" ht="105" x14ac:dyDescent="0.25">
      <c r="A1138" s="2">
        <v>1137</v>
      </c>
      <c r="B1138" s="5">
        <v>8.6170212765957446E-2</v>
      </c>
      <c r="C1138" s="5">
        <v>6.1445783132530123E-2</v>
      </c>
      <c r="D1138" s="5">
        <v>4.4999999999999998E-2</v>
      </c>
      <c r="E1138" s="5">
        <v>7.8825347758887162E-3</v>
      </c>
      <c r="F1138" s="2" t="s">
        <v>2245</v>
      </c>
      <c r="G1138" s="2" t="s">
        <v>2246</v>
      </c>
      <c r="H1138" s="2" t="s">
        <v>2688</v>
      </c>
      <c r="I1138" s="2" t="s">
        <v>2682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5">
        <v>1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5">
        <v>1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</row>
    <row r="1139" spans="1:28" ht="30" x14ac:dyDescent="0.25">
      <c r="A1139" s="2">
        <v>1138</v>
      </c>
      <c r="B1139" s="5">
        <v>0.30319148936170209</v>
      </c>
      <c r="C1139" s="5">
        <v>1.204819277108434E-2</v>
      </c>
      <c r="D1139" s="5">
        <v>0.18</v>
      </c>
      <c r="E1139" s="5">
        <v>4.3276661514683151E-2</v>
      </c>
      <c r="F1139" s="2" t="s">
        <v>2247</v>
      </c>
      <c r="G1139" s="2" t="s">
        <v>2248</v>
      </c>
      <c r="H1139" s="2" t="s">
        <v>2684</v>
      </c>
      <c r="I1139" s="2" t="s">
        <v>2682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5">
        <v>1</v>
      </c>
      <c r="Q1139" s="2">
        <v>0</v>
      </c>
      <c r="R1139" s="2">
        <v>0</v>
      </c>
      <c r="S1139" s="2">
        <v>0</v>
      </c>
      <c r="T1139" s="2">
        <v>0</v>
      </c>
      <c r="U1139" s="5">
        <v>1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</row>
    <row r="1140" spans="1:28" ht="45" x14ac:dyDescent="0.25">
      <c r="A1140" s="2">
        <v>1139</v>
      </c>
      <c r="B1140" s="5">
        <v>0.15531914893617019</v>
      </c>
      <c r="C1140" s="5">
        <v>1.445783132530121E-2</v>
      </c>
      <c r="D1140" s="5">
        <v>3.0000000000000001E-3</v>
      </c>
      <c r="E1140" s="5">
        <v>5.3632148377125197E-2</v>
      </c>
      <c r="F1140" s="2" t="s">
        <v>2249</v>
      </c>
      <c r="G1140" s="2" t="s">
        <v>2250</v>
      </c>
      <c r="H1140" s="2" t="s">
        <v>2683</v>
      </c>
      <c r="I1140" s="2" t="s">
        <v>2682</v>
      </c>
      <c r="J1140" s="2">
        <v>0</v>
      </c>
      <c r="K1140" s="2">
        <v>0</v>
      </c>
      <c r="L1140" s="2">
        <v>0</v>
      </c>
      <c r="M1140" s="5">
        <v>1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5">
        <v>1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</row>
    <row r="1141" spans="1:28" ht="90" x14ac:dyDescent="0.25">
      <c r="A1141" s="2">
        <v>1140</v>
      </c>
      <c r="B1141" s="5">
        <v>0.18404255319148941</v>
      </c>
      <c r="C1141" s="5">
        <v>6.024096385542169E-3</v>
      </c>
      <c r="D1141" s="5">
        <v>1E-3</v>
      </c>
      <c r="E1141" s="5">
        <v>6.5687789799072638E-2</v>
      </c>
      <c r="F1141" s="2" t="s">
        <v>2251</v>
      </c>
      <c r="G1141" s="2" t="s">
        <v>2252</v>
      </c>
      <c r="H1141" s="2" t="s">
        <v>2683</v>
      </c>
      <c r="I1141" s="2" t="s">
        <v>2682</v>
      </c>
      <c r="J1141" s="2">
        <v>0</v>
      </c>
      <c r="K1141" s="2">
        <v>0</v>
      </c>
      <c r="L1141" s="2">
        <v>0</v>
      </c>
      <c r="M1141" s="5">
        <v>1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5">
        <v>1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</row>
    <row r="1142" spans="1:28" ht="45" x14ac:dyDescent="0.25">
      <c r="A1142" s="2">
        <v>1141</v>
      </c>
      <c r="B1142" s="5">
        <v>0.10138297872340429</v>
      </c>
      <c r="C1142" s="5">
        <v>5.301204819277109E-2</v>
      </c>
      <c r="D1142" s="5">
        <v>2.1999999999999999E-2</v>
      </c>
      <c r="E1142" s="5">
        <v>2.2256568778979909E-2</v>
      </c>
      <c r="F1142" s="2" t="s">
        <v>2253</v>
      </c>
      <c r="G1142" s="2" t="s">
        <v>2254</v>
      </c>
      <c r="H1142" s="2" t="s">
        <v>2681</v>
      </c>
      <c r="I1142" s="2" t="s">
        <v>2682</v>
      </c>
      <c r="J1142" s="2">
        <v>0</v>
      </c>
      <c r="K1142" s="2">
        <v>0</v>
      </c>
      <c r="L1142" s="2">
        <v>0</v>
      </c>
      <c r="M1142" s="2">
        <v>0</v>
      </c>
      <c r="N1142" s="5">
        <v>1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5">
        <v>1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</row>
    <row r="1143" spans="1:28" ht="45" x14ac:dyDescent="0.25">
      <c r="A1143" s="2">
        <v>1142</v>
      </c>
      <c r="B1143" s="5">
        <v>6.9148936170212769E-2</v>
      </c>
      <c r="C1143" s="5">
        <v>1.204819277108434E-2</v>
      </c>
      <c r="D1143" s="5">
        <v>3.0000000000000001E-3</v>
      </c>
      <c r="E1143" s="5">
        <v>2.5193199381761979E-2</v>
      </c>
      <c r="F1143" s="2" t="s">
        <v>2255</v>
      </c>
      <c r="G1143" s="2" t="s">
        <v>2256</v>
      </c>
      <c r="H1143" s="2" t="s">
        <v>2683</v>
      </c>
      <c r="I1143" s="2" t="s">
        <v>2682</v>
      </c>
      <c r="J1143" s="2">
        <v>0</v>
      </c>
      <c r="K1143" s="2">
        <v>0</v>
      </c>
      <c r="L1143" s="2">
        <v>0</v>
      </c>
      <c r="M1143" s="5">
        <v>1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5">
        <v>1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</row>
    <row r="1144" spans="1:28" ht="30" x14ac:dyDescent="0.25">
      <c r="A1144" s="2">
        <v>1143</v>
      </c>
      <c r="B1144" s="5">
        <v>0.22659574468085111</v>
      </c>
      <c r="C1144" s="2">
        <v>0</v>
      </c>
      <c r="D1144" s="2">
        <v>0</v>
      </c>
      <c r="E1144" s="5">
        <v>8.5007727975270481E-2</v>
      </c>
      <c r="F1144" s="2" t="s">
        <v>2257</v>
      </c>
      <c r="G1144" s="2" t="s">
        <v>2258</v>
      </c>
      <c r="H1144" s="2" t="s">
        <v>2697</v>
      </c>
      <c r="I1144" s="2" t="s">
        <v>2682</v>
      </c>
      <c r="J1144" s="2">
        <v>0</v>
      </c>
      <c r="K1144" s="2">
        <v>0</v>
      </c>
      <c r="L1144" s="5">
        <v>1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5">
        <v>1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</row>
    <row r="1145" spans="1:28" ht="45" x14ac:dyDescent="0.25">
      <c r="A1145" s="2">
        <v>1144</v>
      </c>
      <c r="B1145" s="5">
        <v>7.5531914893617019E-2</v>
      </c>
      <c r="C1145" s="5">
        <v>9.036144578313253E-2</v>
      </c>
      <c r="D1145" s="5">
        <v>3.5999999999999997E-2</v>
      </c>
      <c r="E1145" s="5">
        <v>3.4003091190108188E-3</v>
      </c>
      <c r="F1145" s="2" t="s">
        <v>2259</v>
      </c>
      <c r="G1145" s="2" t="s">
        <v>2260</v>
      </c>
      <c r="H1145" s="2" t="s">
        <v>2696</v>
      </c>
      <c r="I1145" s="2" t="s">
        <v>2682</v>
      </c>
      <c r="J1145" s="2">
        <v>0</v>
      </c>
      <c r="K1145" s="5">
        <v>1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5">
        <v>1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</row>
    <row r="1146" spans="1:28" ht="45" x14ac:dyDescent="0.25">
      <c r="A1146" s="2">
        <v>1145</v>
      </c>
      <c r="B1146" s="5">
        <v>5.2127659574468077E-2</v>
      </c>
      <c r="C1146" s="5">
        <v>6.9879518072289162E-2</v>
      </c>
      <c r="D1146" s="5">
        <v>5.0000000000000001E-3</v>
      </c>
      <c r="E1146" s="5">
        <v>8.1916537867078813E-3</v>
      </c>
      <c r="F1146" s="2" t="s">
        <v>2261</v>
      </c>
      <c r="G1146" s="2" t="s">
        <v>2262</v>
      </c>
      <c r="H1146" s="2" t="s">
        <v>2696</v>
      </c>
      <c r="I1146" s="2" t="s">
        <v>2689</v>
      </c>
      <c r="J1146" s="2">
        <v>0</v>
      </c>
      <c r="K1146" s="5">
        <v>1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5">
        <v>1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</row>
    <row r="1147" spans="1:28" ht="45" x14ac:dyDescent="0.25">
      <c r="A1147" s="2">
        <v>1146</v>
      </c>
      <c r="B1147" s="5">
        <v>7.2340425531914901E-2</v>
      </c>
      <c r="C1147" s="5">
        <v>0.108433734939759</v>
      </c>
      <c r="D1147" s="5">
        <v>1.9E-2</v>
      </c>
      <c r="E1147" s="5">
        <v>5.7187017001545598E-3</v>
      </c>
      <c r="F1147" s="2" t="s">
        <v>2263</v>
      </c>
      <c r="G1147" s="2" t="s">
        <v>2264</v>
      </c>
      <c r="H1147" s="2" t="s">
        <v>2696</v>
      </c>
      <c r="I1147" s="2" t="s">
        <v>2689</v>
      </c>
      <c r="J1147" s="2">
        <v>0</v>
      </c>
      <c r="K1147" s="5">
        <v>1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5">
        <v>1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</row>
    <row r="1148" spans="1:28" ht="45" x14ac:dyDescent="0.25">
      <c r="A1148" s="2">
        <v>1147</v>
      </c>
      <c r="B1148" s="5">
        <v>3.617021276595745E-2</v>
      </c>
      <c r="C1148" s="5">
        <v>6.6265060240963861E-2</v>
      </c>
      <c r="D1148" s="5">
        <v>8.0000000000000002E-3</v>
      </c>
      <c r="E1148" s="5">
        <v>1.70015455950541E-3</v>
      </c>
      <c r="F1148" s="2" t="s">
        <v>2265</v>
      </c>
      <c r="G1148" s="2" t="s">
        <v>2266</v>
      </c>
      <c r="H1148" s="2" t="s">
        <v>2696</v>
      </c>
      <c r="I1148" s="2" t="s">
        <v>2689</v>
      </c>
      <c r="J1148" s="2">
        <v>0</v>
      </c>
      <c r="K1148" s="5">
        <v>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5">
        <v>1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</row>
    <row r="1149" spans="1:28" ht="45" x14ac:dyDescent="0.25">
      <c r="A1149" s="2">
        <v>1148</v>
      </c>
      <c r="B1149" s="5">
        <v>7.5531914893617019E-2</v>
      </c>
      <c r="C1149" s="5">
        <v>8.91566265060241E-2</v>
      </c>
      <c r="D1149" s="5">
        <v>2.5999999999999999E-2</v>
      </c>
      <c r="E1149" s="5">
        <v>6.955177743431221E-3</v>
      </c>
      <c r="F1149" s="2" t="s">
        <v>2267</v>
      </c>
      <c r="G1149" s="2" t="s">
        <v>2268</v>
      </c>
      <c r="H1149" s="2" t="s">
        <v>2696</v>
      </c>
      <c r="I1149" s="2" t="s">
        <v>2682</v>
      </c>
      <c r="J1149" s="2">
        <v>0</v>
      </c>
      <c r="K1149" s="5">
        <v>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5">
        <v>1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</row>
    <row r="1150" spans="1:28" ht="45" x14ac:dyDescent="0.25">
      <c r="A1150" s="2">
        <v>1149</v>
      </c>
      <c r="B1150" s="5">
        <v>1.276595744680851E-2</v>
      </c>
      <c r="C1150" s="5">
        <v>6.024096385542169E-3</v>
      </c>
      <c r="D1150" s="5">
        <v>1E-3</v>
      </c>
      <c r="E1150" s="5">
        <v>3.0911901081916542E-3</v>
      </c>
      <c r="F1150" s="2" t="s">
        <v>2269</v>
      </c>
      <c r="G1150" s="2" t="s">
        <v>2270</v>
      </c>
      <c r="H1150" s="2" t="s">
        <v>2696</v>
      </c>
      <c r="I1150" s="2" t="s">
        <v>2682</v>
      </c>
      <c r="J1150" s="2">
        <v>0</v>
      </c>
      <c r="K1150" s="5">
        <v>1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5">
        <v>1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</row>
    <row r="1151" spans="1:28" ht="45" x14ac:dyDescent="0.25">
      <c r="A1151" s="2">
        <v>1150</v>
      </c>
      <c r="B1151" s="5">
        <v>1.5957446808510641E-2</v>
      </c>
      <c r="C1151" s="5">
        <v>7.2289156626506026E-3</v>
      </c>
      <c r="D1151" s="5">
        <v>1E-3</v>
      </c>
      <c r="E1151" s="5">
        <v>4.7913446676970638E-3</v>
      </c>
      <c r="F1151" s="2" t="s">
        <v>2271</v>
      </c>
      <c r="G1151" s="2" t="s">
        <v>2272</v>
      </c>
      <c r="H1151" s="2" t="s">
        <v>2696</v>
      </c>
      <c r="I1151" s="2" t="s">
        <v>2685</v>
      </c>
      <c r="J1151" s="2">
        <v>0</v>
      </c>
      <c r="K1151" s="5">
        <v>1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5">
        <v>1</v>
      </c>
      <c r="Y1151" s="2">
        <v>0</v>
      </c>
      <c r="Z1151" s="2">
        <v>0</v>
      </c>
      <c r="AA1151" s="2">
        <v>0</v>
      </c>
      <c r="AB1151" s="2">
        <v>0</v>
      </c>
    </row>
    <row r="1152" spans="1:28" ht="30" x14ac:dyDescent="0.25">
      <c r="A1152" s="2">
        <v>1151</v>
      </c>
      <c r="B1152" s="5">
        <v>9.4680851063829785E-2</v>
      </c>
      <c r="C1152" s="5">
        <v>8.6746987951807242E-2</v>
      </c>
      <c r="D1152" s="5">
        <v>0.05</v>
      </c>
      <c r="E1152" s="5">
        <v>6.0278207109737249E-3</v>
      </c>
      <c r="F1152" s="2" t="s">
        <v>2273</v>
      </c>
      <c r="G1152" s="2" t="s">
        <v>2274</v>
      </c>
      <c r="H1152" s="2" t="s">
        <v>2696</v>
      </c>
      <c r="I1152" s="2" t="s">
        <v>2682</v>
      </c>
      <c r="J1152" s="2">
        <v>0</v>
      </c>
      <c r="K1152" s="5">
        <v>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5">
        <v>1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</row>
    <row r="1153" spans="1:28" ht="45" x14ac:dyDescent="0.25">
      <c r="A1153" s="2">
        <v>1152</v>
      </c>
      <c r="B1153" s="5">
        <v>4.4680851063829789E-2</v>
      </c>
      <c r="C1153" s="5">
        <v>4.6987951807228923E-2</v>
      </c>
      <c r="D1153" s="5">
        <v>1.7000000000000001E-2</v>
      </c>
      <c r="E1153" s="5">
        <v>4.3276661514683153E-3</v>
      </c>
      <c r="F1153" s="2" t="s">
        <v>2275</v>
      </c>
      <c r="G1153" s="2" t="s">
        <v>2276</v>
      </c>
      <c r="H1153" s="2" t="s">
        <v>2681</v>
      </c>
      <c r="I1153" s="2" t="s">
        <v>2682</v>
      </c>
      <c r="J1153" s="2">
        <v>0</v>
      </c>
      <c r="K1153" s="2">
        <v>0</v>
      </c>
      <c r="L1153" s="2">
        <v>0</v>
      </c>
      <c r="M1153" s="2">
        <v>0</v>
      </c>
      <c r="N1153" s="5">
        <v>1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5">
        <v>1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</row>
    <row r="1154" spans="1:28" ht="30" x14ac:dyDescent="0.25">
      <c r="A1154" s="2">
        <v>1153</v>
      </c>
      <c r="B1154" s="5">
        <v>0.1170212765957447</v>
      </c>
      <c r="C1154" s="5">
        <v>3.4939759036144581E-2</v>
      </c>
      <c r="D1154" s="5">
        <v>9.5000000000000001E-2</v>
      </c>
      <c r="E1154" s="5">
        <v>4.9459041731066463E-3</v>
      </c>
      <c r="F1154" s="2" t="s">
        <v>2277</v>
      </c>
      <c r="G1154" s="2" t="s">
        <v>2278</v>
      </c>
      <c r="H1154" s="2" t="s">
        <v>2681</v>
      </c>
      <c r="I1154" s="2" t="s">
        <v>2682</v>
      </c>
      <c r="J1154" s="2">
        <v>0</v>
      </c>
      <c r="K1154" s="2">
        <v>0</v>
      </c>
      <c r="L1154" s="2">
        <v>0</v>
      </c>
      <c r="M1154" s="2">
        <v>0</v>
      </c>
      <c r="N1154" s="5">
        <v>1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5">
        <v>1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</row>
    <row r="1155" spans="1:28" ht="45" x14ac:dyDescent="0.25">
      <c r="A1155" s="2">
        <v>1154</v>
      </c>
      <c r="B1155" s="5">
        <v>0.14361702127659581</v>
      </c>
      <c r="C1155" s="5">
        <v>3.012048192771084E-2</v>
      </c>
      <c r="D1155" s="5">
        <v>8.8000000000000009E-2</v>
      </c>
      <c r="E1155" s="5">
        <v>1.7774343122102011E-2</v>
      </c>
      <c r="F1155" s="2" t="s">
        <v>2279</v>
      </c>
      <c r="G1155" s="2" t="s">
        <v>2280</v>
      </c>
      <c r="H1155" s="2" t="s">
        <v>2681</v>
      </c>
      <c r="I1155" s="2" t="s">
        <v>2682</v>
      </c>
      <c r="J1155" s="2">
        <v>0</v>
      </c>
      <c r="K1155" s="2">
        <v>0</v>
      </c>
      <c r="L1155" s="2">
        <v>0</v>
      </c>
      <c r="M1155" s="2">
        <v>0</v>
      </c>
      <c r="N1155" s="5">
        <v>1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5">
        <v>1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</row>
    <row r="1156" spans="1:28" ht="60" x14ac:dyDescent="0.25">
      <c r="A1156" s="2">
        <v>1155</v>
      </c>
      <c r="B1156" s="5">
        <v>0.13563829787234041</v>
      </c>
      <c r="C1156" s="5">
        <v>3.1325301204819279E-2</v>
      </c>
      <c r="D1156" s="5">
        <v>9.4E-2</v>
      </c>
      <c r="E1156" s="5">
        <v>1.2828438948995361E-2</v>
      </c>
      <c r="F1156" s="2" t="s">
        <v>2281</v>
      </c>
      <c r="G1156" s="2" t="s">
        <v>2282</v>
      </c>
      <c r="H1156" s="2" t="s">
        <v>2688</v>
      </c>
      <c r="I1156" s="2" t="s">
        <v>2689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5">
        <v>1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5">
        <v>1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</row>
    <row r="1157" spans="1:28" ht="45" x14ac:dyDescent="0.25">
      <c r="A1157" s="2">
        <v>1156</v>
      </c>
      <c r="B1157" s="5">
        <v>9.7872340425531917E-2</v>
      </c>
      <c r="C1157" s="5">
        <v>0.14216867469879521</v>
      </c>
      <c r="D1157" s="5">
        <v>4.2999999999999997E-2</v>
      </c>
      <c r="E1157" s="5">
        <v>2.1638330757341581E-3</v>
      </c>
      <c r="F1157" s="2" t="s">
        <v>2283</v>
      </c>
      <c r="G1157" s="2" t="s">
        <v>2284</v>
      </c>
      <c r="H1157" s="2" t="s">
        <v>2681</v>
      </c>
      <c r="I1157" s="2" t="s">
        <v>2682</v>
      </c>
      <c r="J1157" s="2">
        <v>0</v>
      </c>
      <c r="K1157" s="2">
        <v>0</v>
      </c>
      <c r="L1157" s="2">
        <v>0</v>
      </c>
      <c r="M1157" s="2">
        <v>0</v>
      </c>
      <c r="N1157" s="5">
        <v>1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5">
        <v>1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</row>
    <row r="1158" spans="1:28" ht="30" x14ac:dyDescent="0.25">
      <c r="A1158" s="2">
        <v>1157</v>
      </c>
      <c r="B1158" s="5">
        <v>4.042553191489362E-2</v>
      </c>
      <c r="C1158" s="5">
        <v>3.1325301204819279E-2</v>
      </c>
      <c r="D1158" s="5">
        <v>2.3E-2</v>
      </c>
      <c r="E1158" s="5">
        <v>2.7820710973724878E-3</v>
      </c>
      <c r="F1158" s="2" t="s">
        <v>2285</v>
      </c>
      <c r="G1158" s="2" t="s">
        <v>2286</v>
      </c>
      <c r="H1158" s="2" t="s">
        <v>2681</v>
      </c>
      <c r="I1158" s="2" t="s">
        <v>2682</v>
      </c>
      <c r="J1158" s="2">
        <v>0</v>
      </c>
      <c r="K1158" s="2">
        <v>0</v>
      </c>
      <c r="L1158" s="2">
        <v>0</v>
      </c>
      <c r="M1158" s="2">
        <v>0</v>
      </c>
      <c r="N1158" s="5">
        <v>1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5">
        <v>1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</row>
    <row r="1159" spans="1:28" ht="75" x14ac:dyDescent="0.25">
      <c r="A1159" s="2">
        <v>1158</v>
      </c>
      <c r="B1159" s="5">
        <v>6.3829787234042548E-2</v>
      </c>
      <c r="C1159" s="5">
        <v>4.2168674698795178E-2</v>
      </c>
      <c r="D1159" s="5">
        <v>4.4999999999999998E-2</v>
      </c>
      <c r="E1159" s="5">
        <v>2.0092735703245751E-3</v>
      </c>
      <c r="F1159" s="2" t="s">
        <v>2287</v>
      </c>
      <c r="G1159" s="2" t="s">
        <v>2288</v>
      </c>
      <c r="H1159" s="2" t="s">
        <v>2697</v>
      </c>
      <c r="I1159" s="2" t="s">
        <v>2682</v>
      </c>
      <c r="J1159" s="2">
        <v>0</v>
      </c>
      <c r="K1159" s="2">
        <v>0</v>
      </c>
      <c r="L1159" s="5">
        <v>1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5">
        <v>1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</row>
    <row r="1160" spans="1:28" ht="45" x14ac:dyDescent="0.25">
      <c r="A1160" s="2">
        <v>1159</v>
      </c>
      <c r="B1160" s="5">
        <v>0.1351063829787234</v>
      </c>
      <c r="C1160" s="5">
        <v>7.1084337349397592E-2</v>
      </c>
      <c r="D1160" s="5">
        <v>6.6000000000000003E-2</v>
      </c>
      <c r="E1160" s="5">
        <v>1.70015455950541E-2</v>
      </c>
      <c r="F1160" s="2" t="s">
        <v>2289</v>
      </c>
      <c r="G1160" s="2" t="s">
        <v>2290</v>
      </c>
      <c r="H1160" s="2" t="s">
        <v>2681</v>
      </c>
      <c r="I1160" s="2" t="s">
        <v>2682</v>
      </c>
      <c r="J1160" s="2">
        <v>0</v>
      </c>
      <c r="K1160" s="2">
        <v>0</v>
      </c>
      <c r="L1160" s="2">
        <v>0</v>
      </c>
      <c r="M1160" s="2">
        <v>0</v>
      </c>
      <c r="N1160" s="5">
        <v>1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5">
        <v>1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</row>
    <row r="1161" spans="1:28" ht="45" x14ac:dyDescent="0.25">
      <c r="A1161" s="2">
        <v>1160</v>
      </c>
      <c r="B1161" s="5">
        <v>0.1</v>
      </c>
      <c r="C1161" s="5">
        <v>3.6144578313253017E-2</v>
      </c>
      <c r="D1161" s="5">
        <v>6.8000000000000005E-2</v>
      </c>
      <c r="E1161" s="5">
        <v>7.8825347758887162E-3</v>
      </c>
      <c r="F1161" s="2" t="s">
        <v>2291</v>
      </c>
      <c r="G1161" s="2" t="s">
        <v>2292</v>
      </c>
      <c r="H1161" s="2" t="s">
        <v>2681</v>
      </c>
      <c r="I1161" s="2" t="s">
        <v>2682</v>
      </c>
      <c r="J1161" s="2">
        <v>0</v>
      </c>
      <c r="K1161" s="2">
        <v>0</v>
      </c>
      <c r="L1161" s="2">
        <v>0</v>
      </c>
      <c r="M1161" s="2">
        <v>0</v>
      </c>
      <c r="N1161" s="5">
        <v>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5">
        <v>1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</row>
    <row r="1162" spans="1:28" ht="30" x14ac:dyDescent="0.25">
      <c r="A1162" s="2">
        <v>1161</v>
      </c>
      <c r="B1162" s="5">
        <v>7.9787234042553196E-2</v>
      </c>
      <c r="C1162" s="5">
        <v>4.3373493975903621E-2</v>
      </c>
      <c r="D1162" s="5">
        <v>5.1999999999999998E-2</v>
      </c>
      <c r="E1162" s="5">
        <v>5.4095826893353939E-3</v>
      </c>
      <c r="F1162" s="2" t="s">
        <v>2293</v>
      </c>
      <c r="G1162" s="2" t="s">
        <v>2294</v>
      </c>
      <c r="H1162" s="2" t="s">
        <v>2681</v>
      </c>
      <c r="I1162" s="2" t="s">
        <v>2682</v>
      </c>
      <c r="J1162" s="2">
        <v>0</v>
      </c>
      <c r="K1162" s="2">
        <v>0</v>
      </c>
      <c r="L1162" s="2">
        <v>0</v>
      </c>
      <c r="M1162" s="2">
        <v>0</v>
      </c>
      <c r="N1162" s="5">
        <v>1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5">
        <v>1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</row>
    <row r="1163" spans="1:28" ht="30" x14ac:dyDescent="0.25">
      <c r="A1163" s="2">
        <v>1162</v>
      </c>
      <c r="B1163" s="5">
        <v>8.5106382978723402E-2</v>
      </c>
      <c r="C1163" s="5">
        <v>3.8554216867469883E-2</v>
      </c>
      <c r="D1163" s="5">
        <v>3.5000000000000003E-2</v>
      </c>
      <c r="E1163" s="5">
        <v>1.391035548686244E-2</v>
      </c>
      <c r="F1163" s="2" t="s">
        <v>2295</v>
      </c>
      <c r="G1163" s="2" t="s">
        <v>2296</v>
      </c>
      <c r="H1163" s="2" t="s">
        <v>2681</v>
      </c>
      <c r="I1163" s="2" t="s">
        <v>2682</v>
      </c>
      <c r="J1163" s="2">
        <v>0</v>
      </c>
      <c r="K1163" s="2">
        <v>0</v>
      </c>
      <c r="L1163" s="2">
        <v>0</v>
      </c>
      <c r="M1163" s="2">
        <v>0</v>
      </c>
      <c r="N1163" s="5">
        <v>1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5">
        <v>1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</row>
    <row r="1164" spans="1:28" ht="30" x14ac:dyDescent="0.25">
      <c r="A1164" s="2">
        <v>1163</v>
      </c>
      <c r="B1164" s="5">
        <v>9.1489361702127667E-2</v>
      </c>
      <c r="C1164" s="5">
        <v>2.7710843373493971E-2</v>
      </c>
      <c r="D1164" s="5">
        <v>8.5000000000000006E-2</v>
      </c>
      <c r="E1164" s="2">
        <v>0</v>
      </c>
      <c r="F1164" s="2" t="s">
        <v>2297</v>
      </c>
      <c r="G1164" s="2" t="s">
        <v>2298</v>
      </c>
      <c r="H1164" s="2" t="s">
        <v>2681</v>
      </c>
      <c r="I1164" s="2" t="s">
        <v>2682</v>
      </c>
      <c r="J1164" s="2">
        <v>0</v>
      </c>
      <c r="K1164" s="2">
        <v>0</v>
      </c>
      <c r="L1164" s="2">
        <v>0</v>
      </c>
      <c r="M1164" s="2">
        <v>0</v>
      </c>
      <c r="N1164" s="5">
        <v>1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5">
        <v>1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</row>
    <row r="1165" spans="1:28" ht="30" x14ac:dyDescent="0.25">
      <c r="A1165" s="2">
        <v>1164</v>
      </c>
      <c r="B1165" s="5">
        <v>0.1245744680851064</v>
      </c>
      <c r="C1165" s="5">
        <v>4.8192771084337354E-3</v>
      </c>
      <c r="D1165" s="5">
        <v>8.5999999999999993E-2</v>
      </c>
      <c r="E1165" s="5">
        <v>1.4837712519319941E-2</v>
      </c>
      <c r="F1165" s="2" t="s">
        <v>2299</v>
      </c>
      <c r="G1165" s="2" t="s">
        <v>2300</v>
      </c>
      <c r="H1165" s="2" t="s">
        <v>2688</v>
      </c>
      <c r="I1165" s="2" t="s">
        <v>2689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5">
        <v>1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5">
        <v>1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</row>
    <row r="1166" spans="1:28" ht="30" x14ac:dyDescent="0.25">
      <c r="A1166" s="2">
        <v>1165</v>
      </c>
      <c r="B1166" s="5">
        <v>0.14787234042553191</v>
      </c>
      <c r="C1166" s="5">
        <v>8.91566265060241E-2</v>
      </c>
      <c r="D1166" s="5">
        <v>2.1000000000000001E-2</v>
      </c>
      <c r="E1166" s="5">
        <v>3.4930448222565691E-2</v>
      </c>
      <c r="F1166" s="2" t="s">
        <v>2301</v>
      </c>
      <c r="G1166" s="2" t="s">
        <v>2302</v>
      </c>
      <c r="H1166" s="2" t="s">
        <v>2683</v>
      </c>
      <c r="I1166" s="2" t="s">
        <v>2691</v>
      </c>
      <c r="J1166" s="2">
        <v>0</v>
      </c>
      <c r="K1166" s="2">
        <v>0</v>
      </c>
      <c r="L1166" s="2">
        <v>0</v>
      </c>
      <c r="M1166" s="5">
        <v>1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5">
        <v>1</v>
      </c>
      <c r="Z1166" s="2">
        <v>0</v>
      </c>
      <c r="AA1166" s="2">
        <v>0</v>
      </c>
      <c r="AB1166" s="2">
        <v>0</v>
      </c>
    </row>
    <row r="1167" spans="1:28" ht="45" x14ac:dyDescent="0.25">
      <c r="A1167" s="2">
        <v>1166</v>
      </c>
      <c r="B1167" s="5">
        <v>0.1074468085106383</v>
      </c>
      <c r="C1167" s="5">
        <v>2.0481927710843371E-2</v>
      </c>
      <c r="D1167" s="5">
        <v>6.0000000000000001E-3</v>
      </c>
      <c r="E1167" s="5">
        <v>5.4404945904173108E-2</v>
      </c>
      <c r="F1167" s="2" t="s">
        <v>2303</v>
      </c>
      <c r="G1167" s="2" t="s">
        <v>2304</v>
      </c>
      <c r="H1167" s="2" t="s">
        <v>2683</v>
      </c>
      <c r="I1167" s="2" t="s">
        <v>2682</v>
      </c>
      <c r="J1167" s="2">
        <v>0</v>
      </c>
      <c r="K1167" s="2">
        <v>0</v>
      </c>
      <c r="L1167" s="2">
        <v>0</v>
      </c>
      <c r="M1167" s="5">
        <v>1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5">
        <v>1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</row>
    <row r="1168" spans="1:28" ht="30" x14ac:dyDescent="0.25">
      <c r="A1168" s="2">
        <v>1167</v>
      </c>
      <c r="B1168" s="5">
        <v>7.9787234042553196E-2</v>
      </c>
      <c r="C1168" s="5">
        <v>6.746987951807229E-2</v>
      </c>
      <c r="D1168" s="5">
        <v>4.0000000000000001E-3</v>
      </c>
      <c r="E1168" s="5">
        <v>1.885625965996909E-2</v>
      </c>
      <c r="F1168" s="2" t="s">
        <v>2305</v>
      </c>
      <c r="G1168" s="2" t="s">
        <v>2306</v>
      </c>
      <c r="H1168" s="2" t="s">
        <v>2681</v>
      </c>
      <c r="I1168" s="2" t="s">
        <v>2682</v>
      </c>
      <c r="J1168" s="2">
        <v>0</v>
      </c>
      <c r="K1168" s="2">
        <v>0</v>
      </c>
      <c r="L1168" s="2">
        <v>0</v>
      </c>
      <c r="M1168" s="2">
        <v>0</v>
      </c>
      <c r="N1168" s="5">
        <v>1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5">
        <v>1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</row>
    <row r="1169" spans="1:28" ht="45" x14ac:dyDescent="0.25">
      <c r="A1169" s="2">
        <v>1168</v>
      </c>
      <c r="B1169" s="5">
        <v>0.12659574468085111</v>
      </c>
      <c r="C1169" s="5">
        <v>1.6867469879518069E-2</v>
      </c>
      <c r="D1169" s="5">
        <v>2E-3</v>
      </c>
      <c r="E1169" s="5">
        <v>4.3431221020092739E-2</v>
      </c>
      <c r="F1169" s="2" t="s">
        <v>2307</v>
      </c>
      <c r="G1169" s="2" t="s">
        <v>2308</v>
      </c>
      <c r="H1169" s="2" t="s">
        <v>2683</v>
      </c>
      <c r="I1169" s="2" t="s">
        <v>2682</v>
      </c>
      <c r="J1169" s="2">
        <v>0</v>
      </c>
      <c r="K1169" s="2">
        <v>0</v>
      </c>
      <c r="L1169" s="2">
        <v>0</v>
      </c>
      <c r="M1169" s="5">
        <v>1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5">
        <v>1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</row>
    <row r="1170" spans="1:28" ht="30" x14ac:dyDescent="0.25">
      <c r="A1170" s="2">
        <v>1169</v>
      </c>
      <c r="B1170" s="5">
        <v>0.13404255319148939</v>
      </c>
      <c r="C1170" s="5">
        <v>1.9277108433734941E-2</v>
      </c>
      <c r="D1170" s="5">
        <v>2E-3</v>
      </c>
      <c r="E1170" s="5">
        <v>3.7867078825347761E-2</v>
      </c>
      <c r="F1170" s="2" t="s">
        <v>2309</v>
      </c>
      <c r="G1170" s="2" t="s">
        <v>2310</v>
      </c>
      <c r="H1170" s="2" t="s">
        <v>2683</v>
      </c>
      <c r="I1170" s="2" t="s">
        <v>2682</v>
      </c>
      <c r="J1170" s="2">
        <v>0</v>
      </c>
      <c r="K1170" s="2">
        <v>0</v>
      </c>
      <c r="L1170" s="2">
        <v>0</v>
      </c>
      <c r="M1170" s="5">
        <v>1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5">
        <v>1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</row>
    <row r="1171" spans="1:28" ht="45" x14ac:dyDescent="0.25">
      <c r="A1171" s="2">
        <v>1170</v>
      </c>
      <c r="B1171" s="5">
        <v>0.44468085106382982</v>
      </c>
      <c r="C1171" s="5">
        <v>0.2289156626506024</v>
      </c>
      <c r="D1171" s="5">
        <v>0.09</v>
      </c>
      <c r="E1171" s="5">
        <v>0.10123647604327669</v>
      </c>
      <c r="F1171" s="2" t="s">
        <v>2311</v>
      </c>
      <c r="G1171" s="2" t="s">
        <v>2312</v>
      </c>
      <c r="H1171" s="2" t="s">
        <v>2694</v>
      </c>
      <c r="I1171" s="2" t="s">
        <v>2693</v>
      </c>
      <c r="J1171" s="5">
        <v>1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5">
        <v>1</v>
      </c>
      <c r="AA1171" s="2">
        <v>0</v>
      </c>
      <c r="AB1171" s="2">
        <v>0</v>
      </c>
    </row>
    <row r="1172" spans="1:28" ht="45" x14ac:dyDescent="0.25">
      <c r="A1172" s="2">
        <v>1171</v>
      </c>
      <c r="B1172" s="5">
        <v>0.54574468085106387</v>
      </c>
      <c r="C1172" s="5">
        <v>0.29638554216867469</v>
      </c>
      <c r="D1172" s="5">
        <v>0.3</v>
      </c>
      <c r="E1172" s="5">
        <v>5.5950540958268943E-2</v>
      </c>
      <c r="F1172" s="2" t="s">
        <v>2313</v>
      </c>
      <c r="G1172" s="2" t="s">
        <v>2314</v>
      </c>
      <c r="H1172" s="2" t="s">
        <v>2694</v>
      </c>
      <c r="I1172" s="2" t="s">
        <v>2693</v>
      </c>
      <c r="J1172" s="5">
        <v>1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5">
        <v>1</v>
      </c>
      <c r="AA1172" s="2">
        <v>0</v>
      </c>
      <c r="AB1172" s="2">
        <v>0</v>
      </c>
    </row>
    <row r="1173" spans="1:28" ht="45" x14ac:dyDescent="0.25">
      <c r="A1173" s="2">
        <v>1172</v>
      </c>
      <c r="B1173" s="5">
        <v>6.8085106382978725E-2</v>
      </c>
      <c r="C1173" s="5">
        <v>5.1807228915662647E-2</v>
      </c>
      <c r="D1173" s="5">
        <v>2.3E-2</v>
      </c>
      <c r="E1173" s="5">
        <v>1.0200927357032459E-2</v>
      </c>
      <c r="F1173" s="2" t="s">
        <v>2315</v>
      </c>
      <c r="G1173" s="2" t="s">
        <v>2316</v>
      </c>
      <c r="H1173" s="2" t="s">
        <v>2696</v>
      </c>
      <c r="I1173" s="2" t="s">
        <v>2693</v>
      </c>
      <c r="J1173" s="2">
        <v>0</v>
      </c>
      <c r="K1173" s="5">
        <v>1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5">
        <v>1</v>
      </c>
      <c r="AA1173" s="2">
        <v>0</v>
      </c>
      <c r="AB1173" s="2">
        <v>0</v>
      </c>
    </row>
    <row r="1174" spans="1:28" ht="60" x14ac:dyDescent="0.25">
      <c r="A1174" s="2">
        <v>1173</v>
      </c>
      <c r="B1174" s="5">
        <v>4.3617021276595752E-2</v>
      </c>
      <c r="C1174" s="5">
        <v>4.2168674698795178E-2</v>
      </c>
      <c r="D1174" s="5">
        <v>2.5000000000000001E-2</v>
      </c>
      <c r="E1174" s="5">
        <v>7.7279752704791354E-3</v>
      </c>
      <c r="F1174" s="2" t="s">
        <v>2317</v>
      </c>
      <c r="G1174" s="2" t="s">
        <v>2318</v>
      </c>
      <c r="H1174" s="2" t="s">
        <v>2696</v>
      </c>
      <c r="I1174" s="2" t="s">
        <v>2693</v>
      </c>
      <c r="J1174" s="2">
        <v>0</v>
      </c>
      <c r="K1174" s="5">
        <v>1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5">
        <v>1</v>
      </c>
      <c r="AA1174" s="2">
        <v>0</v>
      </c>
      <c r="AB1174" s="2">
        <v>0</v>
      </c>
    </row>
    <row r="1175" spans="1:28" ht="45" x14ac:dyDescent="0.25">
      <c r="A1175" s="2">
        <v>1174</v>
      </c>
      <c r="B1175" s="5">
        <v>0.35744680851063831</v>
      </c>
      <c r="C1175" s="5">
        <v>9.8795180722891562E-2</v>
      </c>
      <c r="D1175" s="5">
        <v>0.1</v>
      </c>
      <c r="E1175" s="5">
        <v>8.5007727975270481E-2</v>
      </c>
      <c r="F1175" s="2" t="s">
        <v>2319</v>
      </c>
      <c r="G1175" s="2" t="s">
        <v>2320</v>
      </c>
      <c r="H1175" s="2" t="s">
        <v>2697</v>
      </c>
      <c r="I1175" s="2" t="s">
        <v>2693</v>
      </c>
      <c r="J1175" s="2">
        <v>0</v>
      </c>
      <c r="K1175" s="2">
        <v>0</v>
      </c>
      <c r="L1175" s="5">
        <v>1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5">
        <v>1</v>
      </c>
      <c r="AA1175" s="2">
        <v>0</v>
      </c>
      <c r="AB1175" s="2">
        <v>0</v>
      </c>
    </row>
    <row r="1176" spans="1:28" ht="45" x14ac:dyDescent="0.25">
      <c r="A1176" s="2">
        <v>1175</v>
      </c>
      <c r="B1176" s="5">
        <v>0.14680851063829789</v>
      </c>
      <c r="C1176" s="5">
        <v>8.4337349397590369E-2</v>
      </c>
      <c r="D1176" s="5">
        <v>7.9000000000000001E-2</v>
      </c>
      <c r="E1176" s="5">
        <v>1.530139103554869E-2</v>
      </c>
      <c r="F1176" s="2" t="s">
        <v>2321</v>
      </c>
      <c r="G1176" s="2" t="s">
        <v>2322</v>
      </c>
      <c r="H1176" s="2" t="s">
        <v>2697</v>
      </c>
      <c r="I1176" s="2" t="s">
        <v>2693</v>
      </c>
      <c r="J1176" s="2">
        <v>0</v>
      </c>
      <c r="K1176" s="2">
        <v>0</v>
      </c>
      <c r="L1176" s="5">
        <v>1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5">
        <v>1</v>
      </c>
      <c r="AA1176" s="2">
        <v>0</v>
      </c>
      <c r="AB1176" s="2">
        <v>0</v>
      </c>
    </row>
    <row r="1177" spans="1:28" ht="45" x14ac:dyDescent="0.25">
      <c r="A1177" s="2">
        <v>1176</v>
      </c>
      <c r="B1177" s="5">
        <v>0.1702127659574468</v>
      </c>
      <c r="C1177" s="5">
        <v>7.5903614457831323E-2</v>
      </c>
      <c r="D1177" s="5">
        <v>0.12</v>
      </c>
      <c r="E1177" s="5">
        <v>1.097372488408037E-2</v>
      </c>
      <c r="F1177" s="2" t="s">
        <v>2323</v>
      </c>
      <c r="G1177" s="2" t="s">
        <v>2324</v>
      </c>
      <c r="H1177" s="2" t="s">
        <v>2696</v>
      </c>
      <c r="I1177" s="2" t="s">
        <v>2693</v>
      </c>
      <c r="J1177" s="2">
        <v>0</v>
      </c>
      <c r="K1177" s="5">
        <v>1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5">
        <v>1</v>
      </c>
      <c r="AA1177" s="2">
        <v>0</v>
      </c>
      <c r="AB1177" s="2">
        <v>0</v>
      </c>
    </row>
    <row r="1178" spans="1:28" ht="45" x14ac:dyDescent="0.25">
      <c r="A1178" s="2">
        <v>1177</v>
      </c>
      <c r="B1178" s="5">
        <v>6.4893617021276592E-2</v>
      </c>
      <c r="C1178" s="5">
        <v>3.8554216867469883E-2</v>
      </c>
      <c r="D1178" s="5">
        <v>3.5000000000000003E-2</v>
      </c>
      <c r="E1178" s="5">
        <v>6.646058732612055E-3</v>
      </c>
      <c r="F1178" s="2" t="s">
        <v>2325</v>
      </c>
      <c r="G1178" s="2" t="s">
        <v>2326</v>
      </c>
      <c r="H1178" s="2" t="s">
        <v>2696</v>
      </c>
      <c r="I1178" s="2" t="s">
        <v>2693</v>
      </c>
      <c r="J1178" s="2">
        <v>0</v>
      </c>
      <c r="K1178" s="5">
        <v>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5">
        <v>1</v>
      </c>
      <c r="AA1178" s="2">
        <v>0</v>
      </c>
      <c r="AB1178" s="2">
        <v>0</v>
      </c>
    </row>
    <row r="1179" spans="1:28" ht="45" x14ac:dyDescent="0.25">
      <c r="A1179" s="2">
        <v>1178</v>
      </c>
      <c r="B1179" s="5">
        <v>3.8297872340425532E-2</v>
      </c>
      <c r="C1179" s="5">
        <v>4.2168674698795178E-2</v>
      </c>
      <c r="D1179" s="5">
        <v>1E-3</v>
      </c>
      <c r="E1179" s="5">
        <v>7.8825347758887162E-3</v>
      </c>
      <c r="F1179" s="2" t="s">
        <v>2327</v>
      </c>
      <c r="G1179" s="2" t="s">
        <v>2328</v>
      </c>
      <c r="H1179" s="2" t="s">
        <v>2696</v>
      </c>
      <c r="I1179" s="2" t="s">
        <v>2693</v>
      </c>
      <c r="J1179" s="2">
        <v>0</v>
      </c>
      <c r="K1179" s="5">
        <v>1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5">
        <v>1</v>
      </c>
      <c r="AA1179" s="2">
        <v>0</v>
      </c>
      <c r="AB1179" s="2">
        <v>0</v>
      </c>
    </row>
    <row r="1180" spans="1:28" ht="30" x14ac:dyDescent="0.25">
      <c r="A1180" s="2">
        <v>1179</v>
      </c>
      <c r="B1180" s="5">
        <v>0.3819148936170213</v>
      </c>
      <c r="C1180" s="5">
        <v>0.42891566265060238</v>
      </c>
      <c r="D1180" s="5">
        <v>0.01</v>
      </c>
      <c r="E1180" s="5">
        <v>8.0370942812983001E-2</v>
      </c>
      <c r="F1180" s="2" t="s">
        <v>2329</v>
      </c>
      <c r="G1180" s="2" t="s">
        <v>2330</v>
      </c>
      <c r="H1180" s="2" t="s">
        <v>2694</v>
      </c>
      <c r="I1180" s="2" t="s">
        <v>2693</v>
      </c>
      <c r="J1180" s="5">
        <v>1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5">
        <v>1</v>
      </c>
      <c r="AA1180" s="2">
        <v>0</v>
      </c>
      <c r="AB1180" s="2">
        <v>0</v>
      </c>
    </row>
    <row r="1181" spans="1:28" ht="30" x14ac:dyDescent="0.25">
      <c r="A1181" s="2">
        <v>1180</v>
      </c>
      <c r="B1181" s="5">
        <v>3.8297872340425532E-2</v>
      </c>
      <c r="C1181" s="5">
        <v>4.2168674698795178E-2</v>
      </c>
      <c r="D1181" s="5">
        <v>1E-3</v>
      </c>
      <c r="E1181" s="5">
        <v>7.8825347758887162E-3</v>
      </c>
      <c r="F1181" s="2" t="s">
        <v>2331</v>
      </c>
      <c r="G1181" s="2" t="s">
        <v>2332</v>
      </c>
      <c r="H1181" s="2" t="s">
        <v>2696</v>
      </c>
      <c r="I1181" s="2" t="s">
        <v>2693</v>
      </c>
      <c r="J1181" s="2">
        <v>0</v>
      </c>
      <c r="K1181" s="5">
        <v>1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5">
        <v>1</v>
      </c>
      <c r="AA1181" s="2">
        <v>0</v>
      </c>
      <c r="AB1181" s="2">
        <v>0</v>
      </c>
    </row>
    <row r="1182" spans="1:28" ht="45" x14ac:dyDescent="0.25">
      <c r="A1182" s="2">
        <v>1181</v>
      </c>
      <c r="B1182" s="5">
        <v>9.2553191489361697E-2</v>
      </c>
      <c r="C1182" s="5">
        <v>6.3855421686746988E-2</v>
      </c>
      <c r="D1182" s="5">
        <v>5.1999999999999998E-2</v>
      </c>
      <c r="E1182" s="5">
        <v>9.7372488408037083E-3</v>
      </c>
      <c r="F1182" s="2" t="s">
        <v>2333</v>
      </c>
      <c r="G1182" s="2" t="s">
        <v>2334</v>
      </c>
      <c r="H1182" s="2" t="s">
        <v>2696</v>
      </c>
      <c r="I1182" s="2" t="s">
        <v>2693</v>
      </c>
      <c r="J1182" s="2">
        <v>0</v>
      </c>
      <c r="K1182" s="5">
        <v>1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5">
        <v>1</v>
      </c>
      <c r="AA1182" s="2">
        <v>0</v>
      </c>
      <c r="AB1182" s="2">
        <v>0</v>
      </c>
    </row>
    <row r="1183" spans="1:28" ht="45" x14ac:dyDescent="0.25">
      <c r="A1183" s="2">
        <v>1182</v>
      </c>
      <c r="B1183" s="5">
        <v>9.5744680851063829E-2</v>
      </c>
      <c r="C1183" s="5">
        <v>1.8072289156626509E-2</v>
      </c>
      <c r="D1183" s="5">
        <v>1E-3</v>
      </c>
      <c r="E1183" s="5">
        <v>3.3848531684698598E-2</v>
      </c>
      <c r="F1183" s="2" t="s">
        <v>2335</v>
      </c>
      <c r="G1183" s="2" t="s">
        <v>2336</v>
      </c>
      <c r="H1183" s="2" t="s">
        <v>2683</v>
      </c>
      <c r="I1183" s="2" t="s">
        <v>2690</v>
      </c>
      <c r="J1183" s="2">
        <v>0</v>
      </c>
      <c r="K1183" s="2">
        <v>0</v>
      </c>
      <c r="L1183" s="2">
        <v>0</v>
      </c>
      <c r="M1183" s="5">
        <v>1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5">
        <v>1</v>
      </c>
    </row>
    <row r="1184" spans="1:28" ht="45" x14ac:dyDescent="0.25">
      <c r="A1184" s="2">
        <v>1183</v>
      </c>
      <c r="B1184" s="5">
        <v>7.3404255319148931E-2</v>
      </c>
      <c r="C1184" s="5">
        <v>1.204819277108434E-2</v>
      </c>
      <c r="D1184" s="5">
        <v>1E-3</v>
      </c>
      <c r="E1184" s="5">
        <v>2.426584234930448E-2</v>
      </c>
      <c r="F1184" s="2" t="s">
        <v>2337</v>
      </c>
      <c r="G1184" s="2" t="s">
        <v>2338</v>
      </c>
      <c r="H1184" s="2" t="s">
        <v>2683</v>
      </c>
      <c r="I1184" s="2" t="s">
        <v>2690</v>
      </c>
      <c r="J1184" s="2">
        <v>0</v>
      </c>
      <c r="K1184" s="2">
        <v>0</v>
      </c>
      <c r="L1184" s="2">
        <v>0</v>
      </c>
      <c r="M1184" s="5">
        <v>1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5">
        <v>1</v>
      </c>
    </row>
    <row r="1185" spans="1:28" ht="45" x14ac:dyDescent="0.25">
      <c r="A1185" s="2">
        <v>1184</v>
      </c>
      <c r="B1185" s="5">
        <v>7.8723404255319152E-2</v>
      </c>
      <c r="C1185" s="5">
        <v>1.6867469879518069E-2</v>
      </c>
      <c r="D1185" s="5">
        <v>1E-3</v>
      </c>
      <c r="E1185" s="5">
        <v>2.658423493044822E-2</v>
      </c>
      <c r="F1185" s="2" t="s">
        <v>2339</v>
      </c>
      <c r="G1185" s="2" t="s">
        <v>2340</v>
      </c>
      <c r="H1185" s="2" t="s">
        <v>2683</v>
      </c>
      <c r="I1185" s="2" t="s">
        <v>2690</v>
      </c>
      <c r="J1185" s="2">
        <v>0</v>
      </c>
      <c r="K1185" s="2">
        <v>0</v>
      </c>
      <c r="L1185" s="2">
        <v>0</v>
      </c>
      <c r="M1185" s="5">
        <v>1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5">
        <v>1</v>
      </c>
    </row>
    <row r="1186" spans="1:28" ht="45" x14ac:dyDescent="0.25">
      <c r="A1186" s="2">
        <v>1185</v>
      </c>
      <c r="B1186" s="5">
        <v>0.36914893617021283</v>
      </c>
      <c r="C1186" s="5">
        <v>6.024096385542169E-3</v>
      </c>
      <c r="D1186" s="5">
        <v>9.0000000000000011E-3</v>
      </c>
      <c r="E1186" s="5">
        <v>0.1301391035548686</v>
      </c>
      <c r="F1186" s="2" t="s">
        <v>2341</v>
      </c>
      <c r="G1186" s="2" t="s">
        <v>2342</v>
      </c>
      <c r="H1186" s="2" t="s">
        <v>2688</v>
      </c>
      <c r="I1186" s="2" t="s">
        <v>2690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5">
        <v>1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5">
        <v>1</v>
      </c>
    </row>
    <row r="1187" spans="1:28" ht="45" x14ac:dyDescent="0.25">
      <c r="A1187" s="2">
        <v>1186</v>
      </c>
      <c r="B1187" s="5">
        <v>7.2340425531914901E-2</v>
      </c>
      <c r="C1187" s="5">
        <v>9.3975903614457831E-2</v>
      </c>
      <c r="D1187" s="5">
        <v>4.5999999999999999E-2</v>
      </c>
      <c r="E1187" s="5">
        <v>2.4729520865533232E-3</v>
      </c>
      <c r="F1187" s="2" t="s">
        <v>2343</v>
      </c>
      <c r="G1187" s="2" t="s">
        <v>2344</v>
      </c>
      <c r="H1187" s="2" t="s">
        <v>2683</v>
      </c>
      <c r="I1187" s="2" t="s">
        <v>2687</v>
      </c>
      <c r="J1187" s="2">
        <v>0</v>
      </c>
      <c r="K1187" s="2">
        <v>0</v>
      </c>
      <c r="L1187" s="2">
        <v>0</v>
      </c>
      <c r="M1187" s="5">
        <v>1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5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</row>
    <row r="1188" spans="1:28" ht="45" x14ac:dyDescent="0.25">
      <c r="A1188" s="2">
        <v>1187</v>
      </c>
      <c r="B1188" s="5">
        <v>0.1223404255319149</v>
      </c>
      <c r="C1188" s="5">
        <v>0.1168674698795181</v>
      </c>
      <c r="D1188" s="5">
        <v>8.5000000000000006E-2</v>
      </c>
      <c r="E1188" s="5">
        <v>3.8639876352395668E-3</v>
      </c>
      <c r="F1188" s="2" t="s">
        <v>2345</v>
      </c>
      <c r="G1188" s="2" t="s">
        <v>2346</v>
      </c>
      <c r="H1188" s="2" t="s">
        <v>2684</v>
      </c>
      <c r="I1188" s="2" t="s">
        <v>2687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5">
        <v>1</v>
      </c>
      <c r="Q1188" s="2">
        <v>0</v>
      </c>
      <c r="R1188" s="2">
        <v>0</v>
      </c>
      <c r="S1188" s="5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</row>
    <row r="1189" spans="1:28" ht="30" x14ac:dyDescent="0.25">
      <c r="A1189" s="2">
        <v>1188</v>
      </c>
      <c r="B1189" s="5">
        <v>0.34893617021276602</v>
      </c>
      <c r="C1189" s="5">
        <v>0.15180722891566259</v>
      </c>
      <c r="D1189" s="5">
        <v>0.19900000000000001</v>
      </c>
      <c r="E1189" s="5">
        <v>3.8021638330757342E-2</v>
      </c>
      <c r="F1189" s="2" t="s">
        <v>2347</v>
      </c>
      <c r="G1189" s="2" t="s">
        <v>2348</v>
      </c>
      <c r="H1189" s="2" t="s">
        <v>2696</v>
      </c>
      <c r="I1189" s="2" t="s">
        <v>2698</v>
      </c>
      <c r="J1189" s="2">
        <v>0</v>
      </c>
      <c r="K1189" s="5">
        <v>1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5">
        <v>1</v>
      </c>
      <c r="AB1189" s="2">
        <v>0</v>
      </c>
    </row>
    <row r="1190" spans="1:28" ht="60" x14ac:dyDescent="0.25">
      <c r="A1190" s="2">
        <v>1189</v>
      </c>
      <c r="B1190" s="5">
        <v>0.1574468085106383</v>
      </c>
      <c r="C1190" s="5">
        <v>0.16626506024096391</v>
      </c>
      <c r="D1190" s="5">
        <v>8.5000000000000006E-2</v>
      </c>
      <c r="E1190" s="5">
        <v>6.1823802163833066E-3</v>
      </c>
      <c r="F1190" s="2" t="s">
        <v>2349</v>
      </c>
      <c r="G1190" s="2" t="s">
        <v>2350</v>
      </c>
      <c r="H1190" s="2" t="s">
        <v>2688</v>
      </c>
      <c r="I1190" s="2" t="s">
        <v>2687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5">
        <v>1</v>
      </c>
      <c r="P1190" s="2">
        <v>0</v>
      </c>
      <c r="Q1190" s="2">
        <v>0</v>
      </c>
      <c r="R1190" s="2">
        <v>0</v>
      </c>
      <c r="S1190" s="5">
        <v>1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</row>
    <row r="1191" spans="1:28" ht="45" x14ac:dyDescent="0.25">
      <c r="A1191" s="2">
        <v>1190</v>
      </c>
      <c r="B1191" s="5">
        <v>0.1276595744680851</v>
      </c>
      <c r="C1191" s="5">
        <v>1.8072289156626509E-2</v>
      </c>
      <c r="D1191" s="5">
        <v>3.0000000000000001E-3</v>
      </c>
      <c r="E1191" s="5">
        <v>4.358578052550232E-2</v>
      </c>
      <c r="F1191" s="2" t="s">
        <v>2351</v>
      </c>
      <c r="G1191" s="2" t="s">
        <v>2352</v>
      </c>
      <c r="H1191" s="2" t="s">
        <v>2683</v>
      </c>
      <c r="I1191" s="2" t="s">
        <v>2690</v>
      </c>
      <c r="J1191" s="2">
        <v>0</v>
      </c>
      <c r="K1191" s="2">
        <v>0</v>
      </c>
      <c r="L1191" s="2">
        <v>0</v>
      </c>
      <c r="M1191" s="5">
        <v>1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5">
        <v>1</v>
      </c>
    </row>
    <row r="1192" spans="1:28" ht="30" x14ac:dyDescent="0.25">
      <c r="A1192" s="2">
        <v>1191</v>
      </c>
      <c r="B1192" s="5">
        <v>0.17340425531914891</v>
      </c>
      <c r="C1192" s="5">
        <v>2.7710843373493971E-2</v>
      </c>
      <c r="D1192" s="5">
        <v>5.0000000000000001E-3</v>
      </c>
      <c r="E1192" s="5">
        <v>5.6259659969088098E-2</v>
      </c>
      <c r="F1192" s="2" t="s">
        <v>2353</v>
      </c>
      <c r="G1192" s="2" t="s">
        <v>2354</v>
      </c>
      <c r="H1192" s="2" t="s">
        <v>2688</v>
      </c>
      <c r="I1192" s="2" t="s">
        <v>2690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5">
        <v>1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5">
        <v>1</v>
      </c>
    </row>
    <row r="1193" spans="1:28" ht="45" x14ac:dyDescent="0.25">
      <c r="A1193" s="2">
        <v>1192</v>
      </c>
      <c r="B1193" s="5">
        <v>0.1223404255319149</v>
      </c>
      <c r="C1193" s="5">
        <v>2.168674698795181E-2</v>
      </c>
      <c r="D1193" s="5">
        <v>5.0000000000000001E-3</v>
      </c>
      <c r="E1193" s="5">
        <v>4.0030911901081913E-2</v>
      </c>
      <c r="F1193" s="2" t="s">
        <v>2355</v>
      </c>
      <c r="G1193" s="2" t="s">
        <v>2356</v>
      </c>
      <c r="H1193" s="2" t="s">
        <v>2688</v>
      </c>
      <c r="I1193" s="2" t="s">
        <v>2690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5">
        <v>1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5">
        <v>1</v>
      </c>
    </row>
    <row r="1194" spans="1:28" ht="45" x14ac:dyDescent="0.25">
      <c r="A1194" s="2">
        <v>1193</v>
      </c>
      <c r="B1194" s="5">
        <v>0.1276595744680851</v>
      </c>
      <c r="C1194" s="5">
        <v>1.8072289156626509E-2</v>
      </c>
      <c r="D1194" s="5">
        <v>3.0000000000000001E-3</v>
      </c>
      <c r="E1194" s="5">
        <v>4.358578052550232E-2</v>
      </c>
      <c r="F1194" s="2" t="s">
        <v>2357</v>
      </c>
      <c r="G1194" s="2" t="s">
        <v>2358</v>
      </c>
      <c r="H1194" s="2" t="s">
        <v>2683</v>
      </c>
      <c r="I1194" s="2" t="s">
        <v>2682</v>
      </c>
      <c r="J1194" s="2">
        <v>0</v>
      </c>
      <c r="K1194" s="2">
        <v>0</v>
      </c>
      <c r="L1194" s="2">
        <v>0</v>
      </c>
      <c r="M1194" s="5">
        <v>1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5">
        <v>1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</row>
    <row r="1195" spans="1:28" ht="60" x14ac:dyDescent="0.25">
      <c r="A1195" s="2">
        <v>1194</v>
      </c>
      <c r="B1195" s="5">
        <v>0.1042553191489362</v>
      </c>
      <c r="C1195" s="5">
        <v>2.289156626506024E-2</v>
      </c>
      <c r="D1195" s="5">
        <v>2E-3</v>
      </c>
      <c r="E1195" s="5">
        <v>3.6630602782071087E-2</v>
      </c>
      <c r="F1195" s="2" t="s">
        <v>2359</v>
      </c>
      <c r="G1195" s="2" t="s">
        <v>2360</v>
      </c>
      <c r="H1195" s="2" t="s">
        <v>2683</v>
      </c>
      <c r="I1195" s="2" t="s">
        <v>2682</v>
      </c>
      <c r="J1195" s="2">
        <v>0</v>
      </c>
      <c r="K1195" s="2">
        <v>0</v>
      </c>
      <c r="L1195" s="2">
        <v>0</v>
      </c>
      <c r="M1195" s="5">
        <v>1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5">
        <v>1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</row>
    <row r="1196" spans="1:28" ht="60" x14ac:dyDescent="0.25">
      <c r="A1196" s="2">
        <v>1195</v>
      </c>
      <c r="B1196" s="5">
        <v>0.1765957446808511</v>
      </c>
      <c r="C1196" s="5">
        <v>0.12530120481927709</v>
      </c>
      <c r="D1196" s="5">
        <v>4.9000000000000002E-2</v>
      </c>
      <c r="E1196" s="5">
        <v>3.7248840803709431E-2</v>
      </c>
      <c r="F1196" s="2" t="s">
        <v>2361</v>
      </c>
      <c r="G1196" s="2" t="s">
        <v>2362</v>
      </c>
      <c r="H1196" s="2" t="s">
        <v>2697</v>
      </c>
      <c r="I1196" s="2" t="s">
        <v>2687</v>
      </c>
      <c r="J1196" s="2">
        <v>0</v>
      </c>
      <c r="K1196" s="2">
        <v>0</v>
      </c>
      <c r="L1196" s="5">
        <v>1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5">
        <v>1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</row>
    <row r="1197" spans="1:28" ht="60" x14ac:dyDescent="0.25">
      <c r="A1197" s="2">
        <v>1196</v>
      </c>
      <c r="B1197" s="5">
        <v>9.3617021276595741E-2</v>
      </c>
      <c r="C1197" s="5">
        <v>3.8554216867469883E-2</v>
      </c>
      <c r="D1197" s="5">
        <v>2.1000000000000001E-2</v>
      </c>
      <c r="E1197" s="5">
        <v>2.1638330757341579E-2</v>
      </c>
      <c r="F1197" s="2" t="s">
        <v>2363</v>
      </c>
      <c r="G1197" s="2" t="s">
        <v>2364</v>
      </c>
      <c r="H1197" s="2" t="s">
        <v>2684</v>
      </c>
      <c r="I1197" s="2" t="s">
        <v>2682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5">
        <v>1</v>
      </c>
      <c r="Q1197" s="2">
        <v>0</v>
      </c>
      <c r="R1197" s="2">
        <v>0</v>
      </c>
      <c r="S1197" s="2">
        <v>0</v>
      </c>
      <c r="T1197" s="2">
        <v>0</v>
      </c>
      <c r="U1197" s="5">
        <v>1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</row>
    <row r="1198" spans="1:28" ht="45" x14ac:dyDescent="0.25">
      <c r="A1198" s="2">
        <v>1197</v>
      </c>
      <c r="B1198" s="5">
        <v>8.085106382978724E-2</v>
      </c>
      <c r="C1198" s="5">
        <v>0.108433734939759</v>
      </c>
      <c r="D1198" s="5">
        <v>2.5999999999999999E-2</v>
      </c>
      <c r="E1198" s="5">
        <v>9.8918083462132926E-3</v>
      </c>
      <c r="F1198" s="2" t="s">
        <v>2365</v>
      </c>
      <c r="G1198" s="2" t="s">
        <v>2366</v>
      </c>
      <c r="H1198" s="2" t="s">
        <v>2684</v>
      </c>
      <c r="I1198" s="2" t="s">
        <v>2687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5">
        <v>1</v>
      </c>
      <c r="Q1198" s="2">
        <v>0</v>
      </c>
      <c r="R1198" s="2">
        <v>0</v>
      </c>
      <c r="S1198" s="5">
        <v>1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</row>
    <row r="1199" spans="1:28" ht="90" x14ac:dyDescent="0.25">
      <c r="A1199" s="2">
        <v>1198</v>
      </c>
      <c r="B1199" s="5">
        <v>2.9787234042553189E-2</v>
      </c>
      <c r="C1199" s="5">
        <v>3.6144578313253017E-2</v>
      </c>
      <c r="D1199" s="5">
        <v>8.0000000000000002E-3</v>
      </c>
      <c r="E1199" s="5">
        <v>6.1823802163833066E-3</v>
      </c>
      <c r="F1199" s="2" t="s">
        <v>2367</v>
      </c>
      <c r="G1199" s="2" t="s">
        <v>2368</v>
      </c>
      <c r="H1199" s="2" t="s">
        <v>2696</v>
      </c>
      <c r="I1199" s="2" t="s">
        <v>2682</v>
      </c>
      <c r="J1199" s="2">
        <v>0</v>
      </c>
      <c r="K1199" s="5">
        <v>1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5">
        <v>1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</row>
    <row r="1200" spans="1:28" ht="45" x14ac:dyDescent="0.25">
      <c r="A1200" s="2">
        <v>1199</v>
      </c>
      <c r="B1200" s="5">
        <v>3.617021276595745E-2</v>
      </c>
      <c r="C1200" s="5">
        <v>4.457831325301205E-2</v>
      </c>
      <c r="D1200" s="5">
        <v>1.2E-2</v>
      </c>
      <c r="E1200" s="5">
        <v>6.646058732612055E-3</v>
      </c>
      <c r="F1200" s="2" t="s">
        <v>2369</v>
      </c>
      <c r="G1200" s="2" t="s">
        <v>2370</v>
      </c>
      <c r="H1200" s="2" t="s">
        <v>2684</v>
      </c>
      <c r="I1200" s="2" t="s">
        <v>2682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5">
        <v>1</v>
      </c>
      <c r="Q1200" s="2">
        <v>0</v>
      </c>
      <c r="R1200" s="2">
        <v>0</v>
      </c>
      <c r="S1200" s="2">
        <v>0</v>
      </c>
      <c r="T1200" s="2">
        <v>0</v>
      </c>
      <c r="U1200" s="5">
        <v>1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</row>
    <row r="1201" spans="1:28" ht="60" x14ac:dyDescent="0.25">
      <c r="A1201" s="2">
        <v>1200</v>
      </c>
      <c r="B1201" s="5">
        <v>0.1106382978723404</v>
      </c>
      <c r="C1201" s="5">
        <v>0.155421686746988</v>
      </c>
      <c r="D1201" s="5">
        <v>6.8000000000000005E-2</v>
      </c>
      <c r="E1201" s="5">
        <v>1.8547140649149919E-3</v>
      </c>
      <c r="F1201" s="2" t="s">
        <v>2371</v>
      </c>
      <c r="G1201" s="2" t="s">
        <v>2372</v>
      </c>
      <c r="H1201" s="2" t="s">
        <v>2681</v>
      </c>
      <c r="I1201" s="2" t="s">
        <v>2682</v>
      </c>
      <c r="J1201" s="2">
        <v>0</v>
      </c>
      <c r="K1201" s="2">
        <v>0</v>
      </c>
      <c r="L1201" s="2">
        <v>0</v>
      </c>
      <c r="M1201" s="2">
        <v>0</v>
      </c>
      <c r="N1201" s="5">
        <v>1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5">
        <v>1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</row>
    <row r="1202" spans="1:28" ht="45" x14ac:dyDescent="0.25">
      <c r="A1202" s="2">
        <v>1201</v>
      </c>
      <c r="B1202" s="5">
        <v>0.1053191489361702</v>
      </c>
      <c r="C1202" s="5">
        <v>2.0481927710843371E-2</v>
      </c>
      <c r="D1202" s="5">
        <v>3.0000000000000001E-3</v>
      </c>
      <c r="E1202" s="5">
        <v>3.4621329211746522E-2</v>
      </c>
      <c r="F1202" s="2" t="s">
        <v>2373</v>
      </c>
      <c r="G1202" s="2" t="s">
        <v>2374</v>
      </c>
      <c r="H1202" s="2" t="s">
        <v>2683</v>
      </c>
      <c r="I1202" s="2" t="s">
        <v>2691</v>
      </c>
      <c r="J1202" s="2">
        <v>0</v>
      </c>
      <c r="K1202" s="2">
        <v>0</v>
      </c>
      <c r="L1202" s="2">
        <v>0</v>
      </c>
      <c r="M1202" s="5">
        <v>1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5">
        <v>1</v>
      </c>
      <c r="Z1202" s="2">
        <v>0</v>
      </c>
      <c r="AA1202" s="2">
        <v>0</v>
      </c>
      <c r="AB1202" s="2">
        <v>0</v>
      </c>
    </row>
    <row r="1203" spans="1:28" ht="45" x14ac:dyDescent="0.25">
      <c r="A1203" s="2">
        <v>1202</v>
      </c>
      <c r="B1203" s="5">
        <v>0.1765957446808511</v>
      </c>
      <c r="C1203" s="5">
        <v>4.5783132530120479E-2</v>
      </c>
      <c r="D1203" s="5">
        <v>0.01</v>
      </c>
      <c r="E1203" s="5">
        <v>5.316846986089644E-2</v>
      </c>
      <c r="F1203" s="2" t="s">
        <v>2375</v>
      </c>
      <c r="G1203" s="2" t="s">
        <v>2376</v>
      </c>
      <c r="H1203" s="2" t="s">
        <v>2683</v>
      </c>
      <c r="I1203" s="2" t="s">
        <v>2691</v>
      </c>
      <c r="J1203" s="2">
        <v>0</v>
      </c>
      <c r="K1203" s="2">
        <v>0</v>
      </c>
      <c r="L1203" s="2">
        <v>0</v>
      </c>
      <c r="M1203" s="5">
        <v>1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5">
        <v>1</v>
      </c>
      <c r="Z1203" s="2">
        <v>0</v>
      </c>
      <c r="AA1203" s="2">
        <v>0</v>
      </c>
      <c r="AB1203" s="2">
        <v>0</v>
      </c>
    </row>
    <row r="1204" spans="1:28" ht="45" x14ac:dyDescent="0.25">
      <c r="A1204" s="2">
        <v>1203</v>
      </c>
      <c r="B1204" s="5">
        <v>0.18297872340425531</v>
      </c>
      <c r="C1204" s="5">
        <v>3.6144578313253017E-2</v>
      </c>
      <c r="D1204" s="5">
        <v>5.0000000000000001E-3</v>
      </c>
      <c r="E1204" s="5">
        <v>5.7959814528593508E-2</v>
      </c>
      <c r="F1204" s="2" t="s">
        <v>2377</v>
      </c>
      <c r="G1204" s="2" t="s">
        <v>2378</v>
      </c>
      <c r="H1204" s="2" t="s">
        <v>2683</v>
      </c>
      <c r="I1204" s="2" t="s">
        <v>2691</v>
      </c>
      <c r="J1204" s="2">
        <v>0</v>
      </c>
      <c r="K1204" s="2">
        <v>0</v>
      </c>
      <c r="L1204" s="2">
        <v>0</v>
      </c>
      <c r="M1204" s="5">
        <v>1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5">
        <v>1</v>
      </c>
      <c r="Z1204" s="2">
        <v>0</v>
      </c>
      <c r="AA1204" s="2">
        <v>0</v>
      </c>
      <c r="AB1204" s="2">
        <v>0</v>
      </c>
    </row>
    <row r="1205" spans="1:28" ht="45" x14ac:dyDescent="0.25">
      <c r="A1205" s="2">
        <v>1204</v>
      </c>
      <c r="B1205" s="5">
        <v>0.1797872340425532</v>
      </c>
      <c r="C1205" s="5">
        <v>1.6867469879518069E-2</v>
      </c>
      <c r="D1205" s="5">
        <v>3.0000000000000001E-3</v>
      </c>
      <c r="E1205" s="5">
        <v>6.2132921174652238E-2</v>
      </c>
      <c r="F1205" s="2" t="s">
        <v>2379</v>
      </c>
      <c r="G1205" s="2" t="s">
        <v>2380</v>
      </c>
      <c r="H1205" s="2" t="s">
        <v>2683</v>
      </c>
      <c r="I1205" s="2" t="s">
        <v>2691</v>
      </c>
      <c r="J1205" s="2">
        <v>0</v>
      </c>
      <c r="K1205" s="2">
        <v>0</v>
      </c>
      <c r="L1205" s="2">
        <v>0</v>
      </c>
      <c r="M1205" s="5">
        <v>1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5">
        <v>1</v>
      </c>
      <c r="Z1205" s="2">
        <v>0</v>
      </c>
      <c r="AA1205" s="2">
        <v>0</v>
      </c>
      <c r="AB1205" s="2">
        <v>0</v>
      </c>
    </row>
    <row r="1206" spans="1:28" ht="45" x14ac:dyDescent="0.25">
      <c r="A1206" s="2">
        <v>1205</v>
      </c>
      <c r="B1206" s="5">
        <v>0.38085106382978717</v>
      </c>
      <c r="C1206" s="5">
        <v>9.036144578313253E-2</v>
      </c>
      <c r="D1206" s="5">
        <v>4.2999999999999997E-2</v>
      </c>
      <c r="E1206" s="5">
        <v>0.1088098918083462</v>
      </c>
      <c r="F1206" s="2" t="s">
        <v>2381</v>
      </c>
      <c r="G1206" s="2" t="s">
        <v>2382</v>
      </c>
      <c r="H1206" s="2" t="s">
        <v>2697</v>
      </c>
      <c r="I1206" s="2" t="s">
        <v>2687</v>
      </c>
      <c r="J1206" s="2">
        <v>0</v>
      </c>
      <c r="K1206" s="2">
        <v>0</v>
      </c>
      <c r="L1206" s="5">
        <v>1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5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</row>
    <row r="1207" spans="1:28" ht="60" x14ac:dyDescent="0.25">
      <c r="A1207" s="2">
        <v>1206</v>
      </c>
      <c r="B1207" s="5">
        <v>0.2946808510638298</v>
      </c>
      <c r="C1207" s="5">
        <v>0.1096385542168675</v>
      </c>
      <c r="D1207" s="5">
        <v>4.7E-2</v>
      </c>
      <c r="E1207" s="5">
        <v>7.666151468315302E-2</v>
      </c>
      <c r="F1207" s="2" t="s">
        <v>2383</v>
      </c>
      <c r="G1207" s="2" t="s">
        <v>2384</v>
      </c>
      <c r="H1207" s="2" t="s">
        <v>2697</v>
      </c>
      <c r="I1207" s="2" t="s">
        <v>2687</v>
      </c>
      <c r="J1207" s="2">
        <v>0</v>
      </c>
      <c r="K1207" s="2">
        <v>0</v>
      </c>
      <c r="L1207" s="5">
        <v>1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5">
        <v>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</row>
    <row r="1208" spans="1:28" ht="30" x14ac:dyDescent="0.25">
      <c r="A1208" s="2">
        <v>1207</v>
      </c>
      <c r="B1208" s="5">
        <v>2.6595744680851061E-2</v>
      </c>
      <c r="C1208" s="5">
        <v>5.5421686746987948E-2</v>
      </c>
      <c r="D1208" s="5">
        <v>4.0000000000000001E-3</v>
      </c>
      <c r="E1208" s="5">
        <v>4.6367851622874804E-3</v>
      </c>
      <c r="F1208" s="2" t="s">
        <v>2385</v>
      </c>
      <c r="G1208" s="2" t="s">
        <v>2386</v>
      </c>
      <c r="H1208" s="2" t="s">
        <v>2696</v>
      </c>
      <c r="I1208" s="2" t="s">
        <v>2682</v>
      </c>
      <c r="J1208" s="2">
        <v>0</v>
      </c>
      <c r="K1208" s="5">
        <v>1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5">
        <v>1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</row>
    <row r="1209" spans="1:28" ht="45" x14ac:dyDescent="0.25">
      <c r="A1209" s="2">
        <v>1208</v>
      </c>
      <c r="B1209" s="5">
        <v>8.8297872340425534E-2</v>
      </c>
      <c r="C1209" s="5">
        <v>0.12530120481927709</v>
      </c>
      <c r="D1209" s="5">
        <v>3.4000000000000002E-2</v>
      </c>
      <c r="E1209" s="5">
        <v>4.3276661514683153E-3</v>
      </c>
      <c r="F1209" s="2" t="s">
        <v>2387</v>
      </c>
      <c r="G1209" s="2" t="s">
        <v>2388</v>
      </c>
      <c r="H1209" s="2" t="s">
        <v>2681</v>
      </c>
      <c r="I1209" s="2" t="s">
        <v>2682</v>
      </c>
      <c r="J1209" s="2">
        <v>0</v>
      </c>
      <c r="K1209" s="2">
        <v>0</v>
      </c>
      <c r="L1209" s="2">
        <v>0</v>
      </c>
      <c r="M1209" s="2">
        <v>0</v>
      </c>
      <c r="N1209" s="5">
        <v>1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5">
        <v>1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</row>
    <row r="1210" spans="1:28" ht="90" x14ac:dyDescent="0.25">
      <c r="A1210" s="2">
        <v>1209</v>
      </c>
      <c r="B1210" s="5">
        <v>0.1404255319148936</v>
      </c>
      <c r="C1210" s="5">
        <v>0.23493975903614461</v>
      </c>
      <c r="D1210" s="5">
        <v>6.9999999999999993E-3</v>
      </c>
      <c r="E1210" s="5">
        <v>0.1047913446676971</v>
      </c>
      <c r="F1210" s="2" t="s">
        <v>2389</v>
      </c>
      <c r="G1210" s="2" t="s">
        <v>2390</v>
      </c>
      <c r="H1210" s="2" t="s">
        <v>2696</v>
      </c>
      <c r="I1210" s="2" t="s">
        <v>2682</v>
      </c>
      <c r="J1210" s="2">
        <v>0</v>
      </c>
      <c r="K1210" s="5">
        <v>1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5">
        <v>1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</row>
    <row r="1211" spans="1:28" ht="30" x14ac:dyDescent="0.25">
      <c r="A1211" s="2">
        <v>1210</v>
      </c>
      <c r="B1211" s="5">
        <v>0.31914893617021278</v>
      </c>
      <c r="C1211" s="5">
        <v>0.34096385542168678</v>
      </c>
      <c r="D1211" s="5">
        <v>4.8000000000000001E-2</v>
      </c>
      <c r="E1211" s="5">
        <v>8.2843894899536322E-2</v>
      </c>
      <c r="F1211" s="2" t="s">
        <v>2391</v>
      </c>
      <c r="G1211" s="2" t="s">
        <v>2392</v>
      </c>
      <c r="H1211" s="2" t="s">
        <v>2696</v>
      </c>
      <c r="I1211" s="2" t="s">
        <v>2685</v>
      </c>
      <c r="J1211" s="2">
        <v>0</v>
      </c>
      <c r="K1211" s="5">
        <v>1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5">
        <v>1</v>
      </c>
      <c r="Y1211" s="2">
        <v>0</v>
      </c>
      <c r="Z1211" s="2">
        <v>0</v>
      </c>
      <c r="AA1211" s="2">
        <v>0</v>
      </c>
      <c r="AB1211" s="2">
        <v>0</v>
      </c>
    </row>
    <row r="1212" spans="1:28" ht="45" x14ac:dyDescent="0.25">
      <c r="A1212" s="2">
        <v>1211</v>
      </c>
      <c r="B1212" s="5">
        <v>0.31808510638297871</v>
      </c>
      <c r="C1212" s="5">
        <v>0.29036144578313261</v>
      </c>
      <c r="D1212" s="5">
        <v>3.5000000000000003E-2</v>
      </c>
      <c r="E1212" s="5">
        <v>9.1190108191653782E-2</v>
      </c>
      <c r="F1212" s="2" t="s">
        <v>2393</v>
      </c>
      <c r="G1212" s="2" t="s">
        <v>2394</v>
      </c>
      <c r="H1212" s="2" t="s">
        <v>2696</v>
      </c>
      <c r="I1212" s="2" t="s">
        <v>2685</v>
      </c>
      <c r="J1212" s="2">
        <v>0</v>
      </c>
      <c r="K1212" s="5">
        <v>1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5">
        <v>1</v>
      </c>
      <c r="Y1212" s="2">
        <v>0</v>
      </c>
      <c r="Z1212" s="2">
        <v>0</v>
      </c>
      <c r="AA1212" s="2">
        <v>0</v>
      </c>
      <c r="AB1212" s="2">
        <v>0</v>
      </c>
    </row>
    <row r="1213" spans="1:28" x14ac:dyDescent="0.25">
      <c r="A1213" s="2">
        <v>1212</v>
      </c>
      <c r="B1213" s="5">
        <v>3.617021276595745E-2</v>
      </c>
      <c r="C1213" s="5">
        <v>2.4096385542168679E-2</v>
      </c>
      <c r="D1213" s="5">
        <v>1E-3</v>
      </c>
      <c r="E1213" s="5">
        <v>1.2210200927357031E-2</v>
      </c>
      <c r="F1213" s="2" t="s">
        <v>2395</v>
      </c>
      <c r="G1213" s="2" t="s">
        <v>2396</v>
      </c>
      <c r="H1213" s="2" t="s">
        <v>2684</v>
      </c>
      <c r="I1213" s="2" t="s">
        <v>2682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5">
        <v>1</v>
      </c>
      <c r="Q1213" s="2">
        <v>0</v>
      </c>
      <c r="R1213" s="2">
        <v>0</v>
      </c>
      <c r="S1213" s="2">
        <v>0</v>
      </c>
      <c r="T1213" s="2">
        <v>0</v>
      </c>
      <c r="U1213" s="5">
        <v>1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</row>
    <row r="1214" spans="1:28" ht="30" x14ac:dyDescent="0.25">
      <c r="A1214" s="2">
        <v>1213</v>
      </c>
      <c r="B1214" s="5">
        <v>0.31276595744680852</v>
      </c>
      <c r="C1214" s="5">
        <v>0.1</v>
      </c>
      <c r="D1214" s="5">
        <v>1.7000000000000001E-2</v>
      </c>
      <c r="E1214" s="5">
        <v>0.11221020092735701</v>
      </c>
      <c r="F1214" s="2" t="s">
        <v>2397</v>
      </c>
      <c r="G1214" s="2" t="s">
        <v>2398</v>
      </c>
      <c r="H1214" s="2" t="s">
        <v>2684</v>
      </c>
      <c r="I1214" s="2" t="s">
        <v>2682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5">
        <v>1</v>
      </c>
      <c r="Q1214" s="2">
        <v>0</v>
      </c>
      <c r="R1214" s="2">
        <v>0</v>
      </c>
      <c r="S1214" s="2">
        <v>0</v>
      </c>
      <c r="T1214" s="2">
        <v>0</v>
      </c>
      <c r="U1214" s="5">
        <v>1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</row>
    <row r="1215" spans="1:28" ht="90" x14ac:dyDescent="0.25">
      <c r="A1215" s="2">
        <v>1214</v>
      </c>
      <c r="B1215" s="5">
        <v>5.6382978723404253E-2</v>
      </c>
      <c r="C1215" s="5">
        <v>2.289156626506024E-2</v>
      </c>
      <c r="D1215" s="5">
        <v>9.0000000000000011E-3</v>
      </c>
      <c r="E1215" s="5">
        <v>1.452859350850077E-2</v>
      </c>
      <c r="F1215" s="2" t="s">
        <v>2399</v>
      </c>
      <c r="G1215" s="2" t="s">
        <v>2400</v>
      </c>
      <c r="H1215" s="2" t="s">
        <v>2681</v>
      </c>
      <c r="I1215" s="2" t="s">
        <v>2682</v>
      </c>
      <c r="J1215" s="2">
        <v>0</v>
      </c>
      <c r="K1215" s="2">
        <v>0</v>
      </c>
      <c r="L1215" s="2">
        <v>0</v>
      </c>
      <c r="M1215" s="2">
        <v>0</v>
      </c>
      <c r="N1215" s="5">
        <v>1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5">
        <v>1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</row>
    <row r="1216" spans="1:28" ht="45" x14ac:dyDescent="0.25">
      <c r="A1216" s="2">
        <v>1215</v>
      </c>
      <c r="B1216" s="5">
        <v>0.17234042553191489</v>
      </c>
      <c r="C1216" s="5">
        <v>0.1542168674698795</v>
      </c>
      <c r="D1216" s="5">
        <v>0.115</v>
      </c>
      <c r="E1216" s="5">
        <v>1.081916537867079E-3</v>
      </c>
      <c r="F1216" s="2" t="s">
        <v>2401</v>
      </c>
      <c r="G1216" s="2" t="s">
        <v>2402</v>
      </c>
      <c r="H1216" s="2" t="s">
        <v>2696</v>
      </c>
      <c r="I1216" s="2" t="s">
        <v>2698</v>
      </c>
      <c r="J1216" s="2">
        <v>0</v>
      </c>
      <c r="K1216" s="5">
        <v>1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5">
        <v>1</v>
      </c>
      <c r="AB1216" s="2">
        <v>0</v>
      </c>
    </row>
    <row r="1217" spans="1:28" ht="30" x14ac:dyDescent="0.25">
      <c r="A1217" s="2">
        <v>1216</v>
      </c>
      <c r="B1217" s="5">
        <v>0.38404255319148939</v>
      </c>
      <c r="C1217" s="5">
        <v>0.2325301204819277</v>
      </c>
      <c r="D1217" s="5">
        <v>0.31900000000000001</v>
      </c>
      <c r="E1217" s="5">
        <v>1.081916537867079E-3</v>
      </c>
      <c r="F1217" s="2" t="s">
        <v>2403</v>
      </c>
      <c r="G1217" s="2" t="s">
        <v>2404</v>
      </c>
      <c r="H1217" s="2" t="s">
        <v>2696</v>
      </c>
      <c r="I1217" s="2" t="s">
        <v>2698</v>
      </c>
      <c r="J1217" s="2">
        <v>0</v>
      </c>
      <c r="K1217" s="5">
        <v>1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5">
        <v>1</v>
      </c>
      <c r="AB1217" s="2">
        <v>0</v>
      </c>
    </row>
    <row r="1218" spans="1:28" ht="45" x14ac:dyDescent="0.25">
      <c r="A1218" s="2">
        <v>1217</v>
      </c>
      <c r="B1218" s="5">
        <v>5.3191489361702128E-2</v>
      </c>
      <c r="C1218" s="5">
        <v>0.13012048192771089</v>
      </c>
      <c r="D1218" s="2">
        <v>0</v>
      </c>
      <c r="E1218" s="5">
        <v>1.236476043276662E-3</v>
      </c>
      <c r="F1218" s="2" t="s">
        <v>2405</v>
      </c>
      <c r="G1218" s="2" t="s">
        <v>2406</v>
      </c>
      <c r="H1218" s="2" t="s">
        <v>2696</v>
      </c>
      <c r="I1218" s="2" t="s">
        <v>2698</v>
      </c>
      <c r="J1218" s="2">
        <v>0</v>
      </c>
      <c r="K1218" s="5">
        <v>1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5">
        <v>1</v>
      </c>
      <c r="AB1218" s="2">
        <v>0</v>
      </c>
    </row>
    <row r="1219" spans="1:28" ht="45" x14ac:dyDescent="0.25">
      <c r="A1219" s="2">
        <v>1218</v>
      </c>
      <c r="B1219" s="5">
        <v>0.4074468085106383</v>
      </c>
      <c r="C1219" s="5">
        <v>0.1819277108433735</v>
      </c>
      <c r="D1219" s="5">
        <v>0.32900000000000001</v>
      </c>
      <c r="E1219" s="5">
        <v>1.2828438948995361E-2</v>
      </c>
      <c r="F1219" s="2" t="s">
        <v>2407</v>
      </c>
      <c r="G1219" s="2" t="s">
        <v>2408</v>
      </c>
      <c r="H1219" s="2" t="s">
        <v>2696</v>
      </c>
      <c r="I1219" s="2" t="s">
        <v>2698</v>
      </c>
      <c r="J1219" s="2">
        <v>0</v>
      </c>
      <c r="K1219" s="5">
        <v>1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5">
        <v>1</v>
      </c>
      <c r="AB1219" s="2">
        <v>0</v>
      </c>
    </row>
    <row r="1220" spans="1:28" ht="45" x14ac:dyDescent="0.25">
      <c r="A1220" s="2">
        <v>1219</v>
      </c>
      <c r="B1220" s="5">
        <v>0.26702127659574471</v>
      </c>
      <c r="C1220" s="5">
        <v>0.19638554216867471</v>
      </c>
      <c r="D1220" s="5">
        <v>0.19400000000000001</v>
      </c>
      <c r="E1220" s="5">
        <v>2.1638330757341581E-3</v>
      </c>
      <c r="F1220" s="2" t="s">
        <v>2409</v>
      </c>
      <c r="G1220" s="2" t="s">
        <v>2410</v>
      </c>
      <c r="H1220" s="2" t="s">
        <v>2696</v>
      </c>
      <c r="I1220" s="2" t="s">
        <v>2698</v>
      </c>
      <c r="J1220" s="2">
        <v>0</v>
      </c>
      <c r="K1220" s="5">
        <v>1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5">
        <v>1</v>
      </c>
      <c r="AB1220" s="2">
        <v>0</v>
      </c>
    </row>
    <row r="1221" spans="1:28" ht="45" x14ac:dyDescent="0.25">
      <c r="A1221" s="2">
        <v>1220</v>
      </c>
      <c r="B1221" s="5">
        <v>0.19042553191489359</v>
      </c>
      <c r="C1221" s="5">
        <v>0.16385542168674699</v>
      </c>
      <c r="D1221" s="5">
        <v>0.13300000000000001</v>
      </c>
      <c r="E1221" s="5">
        <v>6.8006182380216376E-3</v>
      </c>
      <c r="F1221" s="2" t="s">
        <v>2411</v>
      </c>
      <c r="G1221" s="2" t="s">
        <v>2412</v>
      </c>
      <c r="H1221" s="2" t="s">
        <v>2696</v>
      </c>
      <c r="I1221" s="2" t="s">
        <v>2698</v>
      </c>
      <c r="J1221" s="2">
        <v>0</v>
      </c>
      <c r="K1221" s="5">
        <v>1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5">
        <v>1</v>
      </c>
      <c r="AB1221" s="2">
        <v>0</v>
      </c>
    </row>
    <row r="1222" spans="1:28" ht="45" x14ac:dyDescent="0.25">
      <c r="A1222" s="2">
        <v>1221</v>
      </c>
      <c r="B1222" s="5">
        <v>0.41063829787234041</v>
      </c>
      <c r="C1222" s="5">
        <v>0.20481927710843381</v>
      </c>
      <c r="D1222" s="5">
        <v>0.35</v>
      </c>
      <c r="E1222" s="5">
        <v>1.236476043276662E-3</v>
      </c>
      <c r="F1222" s="2" t="s">
        <v>2413</v>
      </c>
      <c r="G1222" s="2" t="s">
        <v>2414</v>
      </c>
      <c r="H1222" s="2" t="s">
        <v>2696</v>
      </c>
      <c r="I1222" s="2" t="s">
        <v>2698</v>
      </c>
      <c r="J1222" s="2">
        <v>0</v>
      </c>
      <c r="K1222" s="5">
        <v>1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5">
        <v>1</v>
      </c>
      <c r="AB1222" s="2">
        <v>0</v>
      </c>
    </row>
    <row r="1223" spans="1:28" ht="30" x14ac:dyDescent="0.25">
      <c r="A1223" s="2">
        <v>1222</v>
      </c>
      <c r="B1223" s="5">
        <v>5.7446808510638298E-2</v>
      </c>
      <c r="C1223" s="5">
        <v>0.13253012048192769</v>
      </c>
      <c r="D1223" s="2">
        <v>0</v>
      </c>
      <c r="E1223" s="5">
        <v>1.236476043276662E-3</v>
      </c>
      <c r="F1223" s="2" t="s">
        <v>2415</v>
      </c>
      <c r="G1223" s="2" t="s">
        <v>2416</v>
      </c>
      <c r="H1223" s="2" t="s">
        <v>2696</v>
      </c>
      <c r="I1223" s="2" t="s">
        <v>2698</v>
      </c>
      <c r="J1223" s="2">
        <v>0</v>
      </c>
      <c r="K1223" s="5">
        <v>1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5">
        <v>1</v>
      </c>
      <c r="AB1223" s="2">
        <v>0</v>
      </c>
    </row>
    <row r="1224" spans="1:28" ht="30" x14ac:dyDescent="0.25">
      <c r="A1224" s="2">
        <v>1223</v>
      </c>
      <c r="B1224" s="5">
        <v>5.7446808510638298E-2</v>
      </c>
      <c r="C1224" s="5">
        <v>0.13253012048192769</v>
      </c>
      <c r="D1224" s="2">
        <v>0</v>
      </c>
      <c r="E1224" s="5">
        <v>1.236476043276662E-3</v>
      </c>
      <c r="F1224" s="2" t="s">
        <v>2417</v>
      </c>
      <c r="G1224" s="2" t="s">
        <v>2418</v>
      </c>
      <c r="H1224" s="2" t="s">
        <v>2696</v>
      </c>
      <c r="I1224" s="2" t="s">
        <v>2698</v>
      </c>
      <c r="J1224" s="2">
        <v>0</v>
      </c>
      <c r="K1224" s="5">
        <v>1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5">
        <v>1</v>
      </c>
      <c r="AB1224" s="2">
        <v>0</v>
      </c>
    </row>
    <row r="1225" spans="1:28" ht="30" x14ac:dyDescent="0.25">
      <c r="A1225" s="2">
        <v>1224</v>
      </c>
      <c r="B1225" s="5">
        <v>0.34042553191489361</v>
      </c>
      <c r="C1225" s="5">
        <v>0.1819277108433735</v>
      </c>
      <c r="D1225" s="5">
        <v>0.30499999999999999</v>
      </c>
      <c r="E1225" s="5">
        <v>1.3910355486862439E-3</v>
      </c>
      <c r="F1225" s="2" t="s">
        <v>2419</v>
      </c>
      <c r="G1225" s="2" t="s">
        <v>2420</v>
      </c>
      <c r="H1225" s="2" t="s">
        <v>2696</v>
      </c>
      <c r="I1225" s="2" t="s">
        <v>2698</v>
      </c>
      <c r="J1225" s="2">
        <v>0</v>
      </c>
      <c r="K1225" s="5">
        <v>1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5">
        <v>1</v>
      </c>
      <c r="AB1225" s="2">
        <v>0</v>
      </c>
    </row>
    <row r="1226" spans="1:28" ht="105" x14ac:dyDescent="0.25">
      <c r="A1226" s="2">
        <v>1225</v>
      </c>
      <c r="B1226" s="5">
        <v>0.3202127659574468</v>
      </c>
      <c r="C1226" s="5">
        <v>0.24096385542168669</v>
      </c>
      <c r="D1226" s="5">
        <v>0.23699999999999999</v>
      </c>
      <c r="E1226" s="2">
        <v>0</v>
      </c>
      <c r="F1226" s="2" t="s">
        <v>2421</v>
      </c>
      <c r="G1226" s="2" t="s">
        <v>2422</v>
      </c>
      <c r="H1226" s="2" t="s">
        <v>2696</v>
      </c>
      <c r="I1226" s="2" t="s">
        <v>2698</v>
      </c>
      <c r="J1226" s="2">
        <v>0</v>
      </c>
      <c r="K1226" s="5">
        <v>1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5">
        <v>1</v>
      </c>
      <c r="AB1226" s="2">
        <v>0</v>
      </c>
    </row>
    <row r="1227" spans="1:28" ht="30" x14ac:dyDescent="0.25">
      <c r="A1227" s="2">
        <v>1226</v>
      </c>
      <c r="B1227" s="5">
        <v>0.19893617021276599</v>
      </c>
      <c r="C1227" s="5">
        <v>0.13132530120481931</v>
      </c>
      <c r="D1227" s="5">
        <v>0.124</v>
      </c>
      <c r="E1227" s="5">
        <v>1.2210200927357031E-2</v>
      </c>
      <c r="F1227" s="2" t="s">
        <v>2423</v>
      </c>
      <c r="G1227" s="2" t="s">
        <v>2424</v>
      </c>
      <c r="H1227" s="2" t="s">
        <v>2696</v>
      </c>
      <c r="I1227" s="2" t="s">
        <v>2698</v>
      </c>
      <c r="J1227" s="2">
        <v>0</v>
      </c>
      <c r="K1227" s="5">
        <v>1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5">
        <v>1</v>
      </c>
      <c r="AB1227" s="2">
        <v>0</v>
      </c>
    </row>
    <row r="1228" spans="1:28" ht="45" x14ac:dyDescent="0.25">
      <c r="A1228" s="2">
        <v>1227</v>
      </c>
      <c r="B1228" s="5">
        <v>0.20744680851063829</v>
      </c>
      <c r="C1228" s="5">
        <v>0.16385542168674699</v>
      </c>
      <c r="D1228" s="5">
        <v>0.13600000000000001</v>
      </c>
      <c r="E1228" s="5">
        <v>2.1638330757341581E-3</v>
      </c>
      <c r="F1228" s="2" t="s">
        <v>2425</v>
      </c>
      <c r="G1228" s="2" t="s">
        <v>2412</v>
      </c>
      <c r="H1228" s="2" t="s">
        <v>2696</v>
      </c>
      <c r="I1228" s="2" t="s">
        <v>2698</v>
      </c>
      <c r="J1228" s="2">
        <v>0</v>
      </c>
      <c r="K1228" s="5">
        <v>1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5">
        <v>1</v>
      </c>
      <c r="AB1228" s="2">
        <v>0</v>
      </c>
    </row>
    <row r="1229" spans="1:28" ht="30" x14ac:dyDescent="0.25">
      <c r="A1229" s="2">
        <v>1228</v>
      </c>
      <c r="B1229" s="5">
        <v>0.12340425531914891</v>
      </c>
      <c r="C1229" s="5">
        <v>0.12891566265060239</v>
      </c>
      <c r="D1229" s="5">
        <v>7.0000000000000007E-2</v>
      </c>
      <c r="E1229" s="5">
        <v>2.4729520865533232E-3</v>
      </c>
      <c r="F1229" s="2" t="s">
        <v>2426</v>
      </c>
      <c r="G1229" s="2" t="s">
        <v>2427</v>
      </c>
      <c r="H1229" s="2" t="s">
        <v>2696</v>
      </c>
      <c r="I1229" s="2" t="s">
        <v>2698</v>
      </c>
      <c r="J1229" s="2">
        <v>0</v>
      </c>
      <c r="K1229" s="5">
        <v>1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5">
        <v>1</v>
      </c>
      <c r="AB1229" s="2">
        <v>0</v>
      </c>
    </row>
    <row r="1230" spans="1:28" ht="30" x14ac:dyDescent="0.25">
      <c r="A1230" s="2">
        <v>1229</v>
      </c>
      <c r="B1230" s="5">
        <v>0.1531914893617021</v>
      </c>
      <c r="C1230" s="5">
        <v>0.1445783132530121</v>
      </c>
      <c r="D1230" s="5">
        <v>0.10199999999999999</v>
      </c>
      <c r="E1230" s="2">
        <v>0</v>
      </c>
      <c r="F1230" s="2" t="s">
        <v>2428</v>
      </c>
      <c r="G1230" s="2" t="s">
        <v>2429</v>
      </c>
      <c r="H1230" s="2" t="s">
        <v>2696</v>
      </c>
      <c r="I1230" s="2" t="s">
        <v>2698</v>
      </c>
      <c r="J1230" s="2">
        <v>0</v>
      </c>
      <c r="K1230" s="5">
        <v>1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5">
        <v>1</v>
      </c>
      <c r="AB1230" s="2">
        <v>0</v>
      </c>
    </row>
    <row r="1231" spans="1:28" ht="30" x14ac:dyDescent="0.25">
      <c r="A1231" s="2">
        <v>1230</v>
      </c>
      <c r="B1231" s="5">
        <v>0.4521276595744681</v>
      </c>
      <c r="C1231" s="5">
        <v>0.37349397590361449</v>
      </c>
      <c r="D1231" s="5">
        <v>0.28000000000000003</v>
      </c>
      <c r="E1231" s="5">
        <v>1.5455950540958271E-2</v>
      </c>
      <c r="F1231" s="2" t="s">
        <v>2430</v>
      </c>
      <c r="G1231" s="2" t="s">
        <v>2431</v>
      </c>
      <c r="H1231" s="2" t="s">
        <v>2696</v>
      </c>
      <c r="I1231" s="2" t="s">
        <v>2698</v>
      </c>
      <c r="J1231" s="2">
        <v>0</v>
      </c>
      <c r="K1231" s="5">
        <v>1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5">
        <v>1</v>
      </c>
      <c r="AB1231" s="2">
        <v>0</v>
      </c>
    </row>
    <row r="1232" spans="1:28" ht="60" x14ac:dyDescent="0.25">
      <c r="A1232" s="2">
        <v>1231</v>
      </c>
      <c r="B1232" s="5">
        <v>0.12659574468085111</v>
      </c>
      <c r="C1232" s="5">
        <v>5.301204819277109E-2</v>
      </c>
      <c r="D1232" s="5">
        <v>3.5000000000000003E-2</v>
      </c>
      <c r="E1232" s="5">
        <v>2.828438948995363E-2</v>
      </c>
      <c r="F1232" s="2" t="s">
        <v>2432</v>
      </c>
      <c r="G1232" s="2" t="s">
        <v>2433</v>
      </c>
      <c r="H1232" s="2" t="s">
        <v>2684</v>
      </c>
      <c r="I1232" s="2" t="s">
        <v>2687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5">
        <v>1</v>
      </c>
      <c r="Q1232" s="2">
        <v>0</v>
      </c>
      <c r="R1232" s="2">
        <v>0</v>
      </c>
      <c r="S1232" s="5">
        <v>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</row>
    <row r="1233" spans="1:28" ht="30" x14ac:dyDescent="0.25">
      <c r="A1233" s="2">
        <v>1232</v>
      </c>
      <c r="B1233" s="5">
        <v>7.7659574468085107E-2</v>
      </c>
      <c r="C1233" s="5">
        <v>6.8674698795180733E-2</v>
      </c>
      <c r="D1233" s="5">
        <v>1.2999999999999999E-2</v>
      </c>
      <c r="E1233" s="5">
        <v>6.4914992272024734E-3</v>
      </c>
      <c r="F1233" s="2" t="s">
        <v>2434</v>
      </c>
      <c r="G1233" s="2" t="s">
        <v>2435</v>
      </c>
      <c r="H1233" s="2" t="s">
        <v>2684</v>
      </c>
      <c r="I1233" s="2" t="s">
        <v>2687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5">
        <v>1</v>
      </c>
      <c r="Q1233" s="2">
        <v>0</v>
      </c>
      <c r="R1233" s="2">
        <v>0</v>
      </c>
      <c r="S1233" s="5">
        <v>1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</row>
    <row r="1234" spans="1:28" ht="60" x14ac:dyDescent="0.25">
      <c r="A1234" s="2">
        <v>1233</v>
      </c>
      <c r="B1234" s="5">
        <v>8.085106382978724E-2</v>
      </c>
      <c r="C1234" s="5">
        <v>8.1927710843373497E-2</v>
      </c>
      <c r="D1234" s="5">
        <v>6.9999999999999993E-3</v>
      </c>
      <c r="E1234" s="5">
        <v>1.6383307573415759E-2</v>
      </c>
      <c r="F1234" s="2" t="s">
        <v>2436</v>
      </c>
      <c r="G1234" s="2" t="s">
        <v>2437</v>
      </c>
      <c r="H1234" s="2" t="s">
        <v>2684</v>
      </c>
      <c r="I1234" s="2" t="s">
        <v>2687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5">
        <v>1</v>
      </c>
      <c r="Q1234" s="2">
        <v>0</v>
      </c>
      <c r="R1234" s="2">
        <v>0</v>
      </c>
      <c r="S1234" s="5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</row>
    <row r="1235" spans="1:28" ht="45" x14ac:dyDescent="0.25">
      <c r="A1235" s="2">
        <v>1234</v>
      </c>
      <c r="B1235" s="5">
        <v>0.34893617021276602</v>
      </c>
      <c r="C1235" s="5">
        <v>0.22168674698795179</v>
      </c>
      <c r="D1235" s="5">
        <v>0.23200000000000001</v>
      </c>
      <c r="E1235" s="5">
        <v>1.9783616692426589E-2</v>
      </c>
      <c r="F1235" s="2" t="s">
        <v>2438</v>
      </c>
      <c r="G1235" s="2" t="s">
        <v>2439</v>
      </c>
      <c r="H1235" s="2" t="s">
        <v>2684</v>
      </c>
      <c r="I1235" s="2" t="s">
        <v>2687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5">
        <v>1</v>
      </c>
      <c r="Q1235" s="2">
        <v>0</v>
      </c>
      <c r="R1235" s="2">
        <v>0</v>
      </c>
      <c r="S1235" s="5">
        <v>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</row>
    <row r="1236" spans="1:28" ht="45" x14ac:dyDescent="0.25">
      <c r="A1236" s="2">
        <v>1235</v>
      </c>
      <c r="B1236" s="5">
        <v>0.14787234042553191</v>
      </c>
      <c r="C1236" s="5">
        <v>0.1506024096385542</v>
      </c>
      <c r="D1236" s="5">
        <v>8.0000000000000002E-3</v>
      </c>
      <c r="E1236" s="5">
        <v>3.3848531684698598E-2</v>
      </c>
      <c r="F1236" s="2" t="s">
        <v>2440</v>
      </c>
      <c r="G1236" s="2" t="s">
        <v>2441</v>
      </c>
      <c r="H1236" s="2" t="s">
        <v>2684</v>
      </c>
      <c r="I1236" s="2" t="s">
        <v>2687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5">
        <v>1</v>
      </c>
      <c r="Q1236" s="2">
        <v>0</v>
      </c>
      <c r="R1236" s="2">
        <v>0</v>
      </c>
      <c r="S1236" s="5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</row>
    <row r="1237" spans="1:28" ht="45" x14ac:dyDescent="0.25">
      <c r="A1237" s="2">
        <v>1236</v>
      </c>
      <c r="B1237" s="5">
        <v>0.22553191489361701</v>
      </c>
      <c r="C1237" s="5">
        <v>0.21084337349397589</v>
      </c>
      <c r="D1237" s="5">
        <v>0.1</v>
      </c>
      <c r="E1237" s="5">
        <v>1.9938176197836169E-2</v>
      </c>
      <c r="F1237" s="2" t="s">
        <v>2442</v>
      </c>
      <c r="G1237" s="2" t="s">
        <v>2443</v>
      </c>
      <c r="H1237" s="2" t="s">
        <v>2684</v>
      </c>
      <c r="I1237" s="2" t="s">
        <v>2687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5">
        <v>1</v>
      </c>
      <c r="Q1237" s="2">
        <v>0</v>
      </c>
      <c r="R1237" s="2">
        <v>0</v>
      </c>
      <c r="S1237" s="5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</row>
    <row r="1238" spans="1:28" ht="45" x14ac:dyDescent="0.25">
      <c r="A1238" s="2">
        <v>1237</v>
      </c>
      <c r="B1238" s="5">
        <v>0.15212765957446811</v>
      </c>
      <c r="C1238" s="5">
        <v>0.1445783132530121</v>
      </c>
      <c r="D1238" s="5">
        <v>5.5E-2</v>
      </c>
      <c r="E1238" s="5">
        <v>1.761978361669243E-2</v>
      </c>
      <c r="F1238" s="2" t="s">
        <v>2444</v>
      </c>
      <c r="G1238" s="2" t="s">
        <v>2445</v>
      </c>
      <c r="H1238" s="2" t="s">
        <v>2688</v>
      </c>
      <c r="I1238" s="2" t="s">
        <v>2687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5">
        <v>1</v>
      </c>
      <c r="P1238" s="2">
        <v>0</v>
      </c>
      <c r="Q1238" s="2">
        <v>0</v>
      </c>
      <c r="R1238" s="2">
        <v>0</v>
      </c>
      <c r="S1238" s="5">
        <v>1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</row>
    <row r="1239" spans="1:28" ht="45" x14ac:dyDescent="0.25">
      <c r="A1239" s="2">
        <v>1238</v>
      </c>
      <c r="B1239" s="5">
        <v>0.37234042553191488</v>
      </c>
      <c r="C1239" s="5">
        <v>0.29518072289156633</v>
      </c>
      <c r="D1239" s="5">
        <v>0.26600000000000001</v>
      </c>
      <c r="E1239" s="5">
        <v>1.6074188562596601E-2</v>
      </c>
      <c r="F1239" s="2" t="s">
        <v>2446</v>
      </c>
      <c r="G1239" s="2" t="s">
        <v>2447</v>
      </c>
      <c r="H1239" s="2" t="s">
        <v>2684</v>
      </c>
      <c r="I1239" s="2" t="s">
        <v>2687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5">
        <v>1</v>
      </c>
      <c r="Q1239" s="2">
        <v>0</v>
      </c>
      <c r="R1239" s="2">
        <v>0</v>
      </c>
      <c r="S1239" s="5">
        <v>1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</row>
    <row r="1240" spans="1:28" ht="45" x14ac:dyDescent="0.25">
      <c r="A1240" s="2">
        <v>1239</v>
      </c>
      <c r="B1240" s="5">
        <v>0.21382978723404261</v>
      </c>
      <c r="C1240" s="5">
        <v>0.25060240963855418</v>
      </c>
      <c r="D1240" s="5">
        <v>8.8000000000000009E-2</v>
      </c>
      <c r="E1240" s="5">
        <v>2.0865533230293661E-2</v>
      </c>
      <c r="F1240" s="2" t="s">
        <v>2448</v>
      </c>
      <c r="G1240" s="2" t="s">
        <v>2449</v>
      </c>
      <c r="H1240" s="2" t="s">
        <v>2684</v>
      </c>
      <c r="I1240" s="2" t="s">
        <v>2687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5">
        <v>1</v>
      </c>
      <c r="Q1240" s="2">
        <v>0</v>
      </c>
      <c r="R1240" s="2">
        <v>0</v>
      </c>
      <c r="S1240" s="5">
        <v>1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</row>
    <row r="1241" spans="1:28" ht="45" x14ac:dyDescent="0.25">
      <c r="A1241" s="2">
        <v>1240</v>
      </c>
      <c r="B1241" s="5">
        <v>0.15</v>
      </c>
      <c r="C1241" s="5">
        <v>0.1228915662650602</v>
      </c>
      <c r="D1241" s="5">
        <v>1.2999999999999999E-2</v>
      </c>
      <c r="E1241" s="5">
        <v>3.5857805255023183E-2</v>
      </c>
      <c r="F1241" s="2" t="s">
        <v>2450</v>
      </c>
      <c r="G1241" s="2" t="s">
        <v>2451</v>
      </c>
      <c r="H1241" s="2" t="s">
        <v>2684</v>
      </c>
      <c r="I1241" s="2" t="s">
        <v>2687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5">
        <v>1</v>
      </c>
      <c r="Q1241" s="2">
        <v>0</v>
      </c>
      <c r="R1241" s="2">
        <v>0</v>
      </c>
      <c r="S1241" s="5">
        <v>1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</row>
    <row r="1242" spans="1:28" ht="30" x14ac:dyDescent="0.25">
      <c r="A1242" s="2">
        <v>1241</v>
      </c>
      <c r="B1242" s="5">
        <v>0.15531914893617019</v>
      </c>
      <c r="C1242" s="5">
        <v>0.14096385542168671</v>
      </c>
      <c r="D1242" s="5">
        <v>2.3E-2</v>
      </c>
      <c r="E1242" s="5">
        <v>3.0293663060278211E-2</v>
      </c>
      <c r="F1242" s="2" t="s">
        <v>2452</v>
      </c>
      <c r="G1242" s="2" t="s">
        <v>2453</v>
      </c>
      <c r="H1242" s="2" t="s">
        <v>2683</v>
      </c>
      <c r="I1242" s="2" t="s">
        <v>2687</v>
      </c>
      <c r="J1242" s="2">
        <v>0</v>
      </c>
      <c r="K1242" s="2">
        <v>0</v>
      </c>
      <c r="L1242" s="2">
        <v>0</v>
      </c>
      <c r="M1242" s="5">
        <v>1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5">
        <v>1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</row>
    <row r="1243" spans="1:28" ht="30" x14ac:dyDescent="0.25">
      <c r="A1243" s="2">
        <v>1242</v>
      </c>
      <c r="B1243" s="5">
        <v>0.13936170212765961</v>
      </c>
      <c r="C1243" s="5">
        <v>0.2168674698795181</v>
      </c>
      <c r="D1243" s="5">
        <v>8.0000000000000002E-3</v>
      </c>
      <c r="E1243" s="5">
        <v>2.009273570324575E-2</v>
      </c>
      <c r="F1243" s="2" t="s">
        <v>2454</v>
      </c>
      <c r="G1243" s="2" t="s">
        <v>2453</v>
      </c>
      <c r="H1243" s="2" t="s">
        <v>2683</v>
      </c>
      <c r="I1243" s="2" t="s">
        <v>2687</v>
      </c>
      <c r="J1243" s="2">
        <v>0</v>
      </c>
      <c r="K1243" s="2">
        <v>0</v>
      </c>
      <c r="L1243" s="2">
        <v>0</v>
      </c>
      <c r="M1243" s="5">
        <v>1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5">
        <v>1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</row>
    <row r="1244" spans="1:28" ht="45" x14ac:dyDescent="0.25">
      <c r="A1244" s="2">
        <v>1243</v>
      </c>
      <c r="B1244" s="5">
        <v>0.15957446808510639</v>
      </c>
      <c r="C1244" s="5">
        <v>0.16867469879518071</v>
      </c>
      <c r="D1244" s="5">
        <v>7.6999999999999999E-2</v>
      </c>
      <c r="E1244" s="5">
        <v>1.4064914992272019E-2</v>
      </c>
      <c r="F1244" s="2" t="s">
        <v>2455</v>
      </c>
      <c r="G1244" s="2" t="s">
        <v>2456</v>
      </c>
      <c r="H1244" s="2" t="s">
        <v>2684</v>
      </c>
      <c r="I1244" s="2" t="s">
        <v>2687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5">
        <v>1</v>
      </c>
      <c r="Q1244" s="2">
        <v>0</v>
      </c>
      <c r="R1244" s="2">
        <v>0</v>
      </c>
      <c r="S1244" s="5">
        <v>1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</row>
    <row r="1245" spans="1:28" ht="30" x14ac:dyDescent="0.25">
      <c r="A1245" s="2">
        <v>1244</v>
      </c>
      <c r="B1245" s="5">
        <v>0.35744680851063831</v>
      </c>
      <c r="C1245" s="5">
        <v>0.24096385542168669</v>
      </c>
      <c r="D1245" s="5">
        <v>0.28000000000000003</v>
      </c>
      <c r="E1245" s="5">
        <v>1.205564142194745E-2</v>
      </c>
      <c r="F1245" s="2" t="s">
        <v>2457</v>
      </c>
      <c r="G1245" s="2" t="s">
        <v>2458</v>
      </c>
      <c r="H1245" s="2" t="s">
        <v>2684</v>
      </c>
      <c r="I1245" s="2" t="s">
        <v>2687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5">
        <v>1</v>
      </c>
      <c r="Q1245" s="2">
        <v>0</v>
      </c>
      <c r="R1245" s="2">
        <v>0</v>
      </c>
      <c r="S1245" s="5">
        <v>1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</row>
    <row r="1246" spans="1:28" ht="45" x14ac:dyDescent="0.25">
      <c r="A1246" s="2">
        <v>1245</v>
      </c>
      <c r="B1246" s="5">
        <v>0.25531914893617019</v>
      </c>
      <c r="C1246" s="5">
        <v>7.2289156626506035E-2</v>
      </c>
      <c r="D1246" s="5">
        <v>2.7E-2</v>
      </c>
      <c r="E1246" s="5">
        <v>7.6197836166924257E-2</v>
      </c>
      <c r="F1246" s="2" t="s">
        <v>2459</v>
      </c>
      <c r="G1246" s="2" t="s">
        <v>2460</v>
      </c>
      <c r="H1246" s="2" t="s">
        <v>2696</v>
      </c>
      <c r="I1246" s="2" t="s">
        <v>2687</v>
      </c>
      <c r="J1246" s="2">
        <v>0</v>
      </c>
      <c r="K1246" s="5">
        <v>1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5">
        <v>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</row>
    <row r="1247" spans="1:28" ht="30" x14ac:dyDescent="0.25">
      <c r="A1247" s="2">
        <v>1246</v>
      </c>
      <c r="B1247" s="5">
        <v>0.1170212765957447</v>
      </c>
      <c r="C1247" s="5">
        <v>2.0481927710843371E-2</v>
      </c>
      <c r="D1247" s="5">
        <v>1.2999999999999999E-2</v>
      </c>
      <c r="E1247" s="5">
        <v>3.3848531684698598E-2</v>
      </c>
      <c r="F1247" s="2" t="s">
        <v>2461</v>
      </c>
      <c r="G1247" s="2" t="s">
        <v>2462</v>
      </c>
      <c r="H1247" s="2" t="s">
        <v>2683</v>
      </c>
      <c r="I1247" s="2" t="s">
        <v>2682</v>
      </c>
      <c r="J1247" s="2">
        <v>0</v>
      </c>
      <c r="K1247" s="2">
        <v>0</v>
      </c>
      <c r="L1247" s="2">
        <v>0</v>
      </c>
      <c r="M1247" s="5">
        <v>1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5">
        <v>1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</row>
    <row r="1248" spans="1:28" ht="45" x14ac:dyDescent="0.25">
      <c r="A1248" s="2">
        <v>1247</v>
      </c>
      <c r="B1248" s="5">
        <v>0.13404255319148939</v>
      </c>
      <c r="C1248" s="5">
        <v>1.3253012048192771E-2</v>
      </c>
      <c r="D1248" s="5">
        <v>2.1999999999999999E-2</v>
      </c>
      <c r="E1248" s="5">
        <v>3.9721792890262751E-2</v>
      </c>
      <c r="F1248" s="2" t="s">
        <v>2463</v>
      </c>
      <c r="G1248" s="2" t="s">
        <v>2464</v>
      </c>
      <c r="H1248" s="2" t="s">
        <v>2683</v>
      </c>
      <c r="I1248" s="2" t="s">
        <v>2682</v>
      </c>
      <c r="J1248" s="2">
        <v>0</v>
      </c>
      <c r="K1248" s="2">
        <v>0</v>
      </c>
      <c r="L1248" s="2">
        <v>0</v>
      </c>
      <c r="M1248" s="5">
        <v>1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5">
        <v>1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</row>
    <row r="1249" spans="1:28" ht="45" x14ac:dyDescent="0.25">
      <c r="A1249" s="2">
        <v>1248</v>
      </c>
      <c r="B1249" s="5">
        <v>0.37765957446808512</v>
      </c>
      <c r="C1249" s="5">
        <v>8.4337349397590362E-3</v>
      </c>
      <c r="D1249" s="5">
        <v>2E-3</v>
      </c>
      <c r="E1249" s="5">
        <v>0.13168469860896451</v>
      </c>
      <c r="F1249" s="2" t="s">
        <v>2465</v>
      </c>
      <c r="G1249" s="2" t="s">
        <v>2466</v>
      </c>
      <c r="H1249" s="2" t="s">
        <v>2694</v>
      </c>
      <c r="I1249" s="2" t="s">
        <v>2691</v>
      </c>
      <c r="J1249" s="5">
        <v>1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5">
        <v>1</v>
      </c>
      <c r="Z1249" s="2">
        <v>0</v>
      </c>
      <c r="AA1249" s="2">
        <v>0</v>
      </c>
      <c r="AB1249" s="2">
        <v>0</v>
      </c>
    </row>
    <row r="1250" spans="1:28" ht="45" x14ac:dyDescent="0.25">
      <c r="A1250" s="2">
        <v>1249</v>
      </c>
      <c r="B1250" s="5">
        <v>0.38723404255319149</v>
      </c>
      <c r="C1250" s="5">
        <v>8.4337349397590369E-2</v>
      </c>
      <c r="D1250" s="5">
        <v>5.0000000000000001E-3</v>
      </c>
      <c r="E1250" s="5">
        <v>0.12364760432766619</v>
      </c>
      <c r="F1250" s="2" t="s">
        <v>2467</v>
      </c>
      <c r="G1250" s="2" t="s">
        <v>2468</v>
      </c>
      <c r="H1250" s="2" t="s">
        <v>2694</v>
      </c>
      <c r="I1250" s="2" t="s">
        <v>2691</v>
      </c>
      <c r="J1250" s="5">
        <v>1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5">
        <v>1</v>
      </c>
      <c r="Z1250" s="2">
        <v>0</v>
      </c>
      <c r="AA1250" s="2">
        <v>0</v>
      </c>
      <c r="AB1250" s="2">
        <v>0</v>
      </c>
    </row>
    <row r="1251" spans="1:28" ht="75" x14ac:dyDescent="0.25">
      <c r="A1251" s="2">
        <v>1250</v>
      </c>
      <c r="B1251" s="5">
        <v>0.37553191489361698</v>
      </c>
      <c r="C1251" s="5">
        <v>8.4337349397590369E-2</v>
      </c>
      <c r="D1251" s="5">
        <v>5.0000000000000001E-3</v>
      </c>
      <c r="E1251" s="5">
        <v>0.12364760432766619</v>
      </c>
      <c r="F1251" s="2" t="s">
        <v>2469</v>
      </c>
      <c r="G1251" s="2" t="s">
        <v>2470</v>
      </c>
      <c r="H1251" s="2" t="s">
        <v>2694</v>
      </c>
      <c r="I1251" s="2" t="s">
        <v>2691</v>
      </c>
      <c r="J1251" s="5">
        <v>1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5">
        <v>1</v>
      </c>
      <c r="Z1251" s="2">
        <v>0</v>
      </c>
      <c r="AA1251" s="2">
        <v>0</v>
      </c>
      <c r="AB1251" s="2">
        <v>0</v>
      </c>
    </row>
    <row r="1252" spans="1:28" ht="45" x14ac:dyDescent="0.25">
      <c r="A1252" s="2">
        <v>1251</v>
      </c>
      <c r="B1252" s="5">
        <v>0.37553191489361698</v>
      </c>
      <c r="C1252" s="5">
        <v>9.6385542168674707E-3</v>
      </c>
      <c r="D1252" s="5">
        <v>1.7000000000000001E-2</v>
      </c>
      <c r="E1252" s="5">
        <v>0.1292117465224111</v>
      </c>
      <c r="F1252" s="2" t="s">
        <v>2471</v>
      </c>
      <c r="G1252" s="2" t="s">
        <v>2472</v>
      </c>
      <c r="H1252" s="2" t="s">
        <v>2694</v>
      </c>
      <c r="I1252" s="2" t="s">
        <v>2691</v>
      </c>
      <c r="J1252" s="5">
        <v>1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5">
        <v>1</v>
      </c>
      <c r="Z1252" s="2">
        <v>0</v>
      </c>
      <c r="AA1252" s="2">
        <v>0</v>
      </c>
      <c r="AB1252" s="2">
        <v>0</v>
      </c>
    </row>
    <row r="1253" spans="1:28" ht="90" x14ac:dyDescent="0.25">
      <c r="A1253" s="2">
        <v>1252</v>
      </c>
      <c r="B1253" s="5">
        <v>0.38617021276595748</v>
      </c>
      <c r="C1253" s="5">
        <v>1.3253012048192771E-2</v>
      </c>
      <c r="D1253" s="5">
        <v>5.0000000000000001E-3</v>
      </c>
      <c r="E1253" s="5">
        <v>0.13632148377125189</v>
      </c>
      <c r="F1253" s="2" t="s">
        <v>2473</v>
      </c>
      <c r="G1253" s="2" t="s">
        <v>2474</v>
      </c>
      <c r="H1253" s="2" t="s">
        <v>2694</v>
      </c>
      <c r="I1253" s="2" t="s">
        <v>2691</v>
      </c>
      <c r="J1253" s="5">
        <v>1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5">
        <v>1</v>
      </c>
      <c r="Z1253" s="2">
        <v>0</v>
      </c>
      <c r="AA1253" s="2">
        <v>0</v>
      </c>
      <c r="AB1253" s="2">
        <v>0</v>
      </c>
    </row>
    <row r="1254" spans="1:28" ht="60" x14ac:dyDescent="0.25">
      <c r="A1254" s="2">
        <v>1253</v>
      </c>
      <c r="B1254" s="5">
        <v>0.37765957446808512</v>
      </c>
      <c r="C1254" s="5">
        <v>8.4337349397590362E-3</v>
      </c>
      <c r="D1254" s="5">
        <v>2E-3</v>
      </c>
      <c r="E1254" s="5">
        <v>0.13168469860896451</v>
      </c>
      <c r="F1254" s="2" t="s">
        <v>2475</v>
      </c>
      <c r="G1254" s="2" t="s">
        <v>2476</v>
      </c>
      <c r="H1254" s="2" t="s">
        <v>2694</v>
      </c>
      <c r="I1254" s="2" t="s">
        <v>2691</v>
      </c>
      <c r="J1254" s="5">
        <v>1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5">
        <v>1</v>
      </c>
      <c r="Z1254" s="2">
        <v>0</v>
      </c>
      <c r="AA1254" s="2">
        <v>0</v>
      </c>
      <c r="AB1254" s="2">
        <v>0</v>
      </c>
    </row>
    <row r="1255" spans="1:28" ht="45" x14ac:dyDescent="0.25">
      <c r="A1255" s="2">
        <v>1254</v>
      </c>
      <c r="B1255" s="5">
        <v>0.38723404255319149</v>
      </c>
      <c r="C1255" s="5">
        <v>5.4216867469879519E-2</v>
      </c>
      <c r="D1255" s="5">
        <v>0.01</v>
      </c>
      <c r="E1255" s="5">
        <v>0.12905718701700161</v>
      </c>
      <c r="F1255" s="2" t="s">
        <v>2477</v>
      </c>
      <c r="G1255" s="2" t="s">
        <v>2478</v>
      </c>
      <c r="H1255" s="2" t="s">
        <v>2694</v>
      </c>
      <c r="I1255" s="2" t="s">
        <v>2691</v>
      </c>
      <c r="J1255" s="5">
        <v>1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5">
        <v>1</v>
      </c>
      <c r="Z1255" s="2">
        <v>0</v>
      </c>
      <c r="AA1255" s="2">
        <v>0</v>
      </c>
      <c r="AB1255" s="2">
        <v>0</v>
      </c>
    </row>
    <row r="1256" spans="1:28" ht="45" x14ac:dyDescent="0.25">
      <c r="A1256" s="2">
        <v>1255</v>
      </c>
      <c r="B1256" s="5">
        <v>0.33617021276595738</v>
      </c>
      <c r="C1256" s="5">
        <v>0.72409638554216871</v>
      </c>
      <c r="D1256" s="5">
        <v>6.5000000000000002E-2</v>
      </c>
      <c r="E1256" s="5">
        <v>3.4621329211746522E-2</v>
      </c>
      <c r="F1256" s="2" t="s">
        <v>2479</v>
      </c>
      <c r="G1256" s="2" t="s">
        <v>2480</v>
      </c>
      <c r="H1256" s="2" t="s">
        <v>2694</v>
      </c>
      <c r="I1256" s="2" t="s">
        <v>2689</v>
      </c>
      <c r="J1256" s="5">
        <v>1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5">
        <v>1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</row>
    <row r="1257" spans="1:28" ht="45" x14ac:dyDescent="0.25">
      <c r="A1257" s="2">
        <v>1256</v>
      </c>
      <c r="B1257" s="5">
        <v>0.37765957446808512</v>
      </c>
      <c r="C1257" s="5">
        <v>0.1108433734939759</v>
      </c>
      <c r="D1257" s="5">
        <v>3.9E-2</v>
      </c>
      <c r="E1257" s="5">
        <v>0.1139103554868624</v>
      </c>
      <c r="F1257" s="2" t="s">
        <v>2481</v>
      </c>
      <c r="G1257" s="2" t="s">
        <v>232</v>
      </c>
      <c r="H1257" s="2" t="s">
        <v>2694</v>
      </c>
      <c r="I1257" s="2" t="s">
        <v>2691</v>
      </c>
      <c r="J1257" s="5">
        <v>1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5">
        <v>1</v>
      </c>
      <c r="Z1257" s="2">
        <v>0</v>
      </c>
      <c r="AA1257" s="2">
        <v>0</v>
      </c>
      <c r="AB1257" s="2">
        <v>0</v>
      </c>
    </row>
    <row r="1258" spans="1:28" ht="60" x14ac:dyDescent="0.25">
      <c r="A1258" s="2">
        <v>1257</v>
      </c>
      <c r="B1258" s="5">
        <v>0.37765957446808512</v>
      </c>
      <c r="C1258" s="5">
        <v>0.1108433734939759</v>
      </c>
      <c r="D1258" s="5">
        <v>3.9E-2</v>
      </c>
      <c r="E1258" s="5">
        <v>0.1139103554868624</v>
      </c>
      <c r="F1258" s="2" t="s">
        <v>2482</v>
      </c>
      <c r="G1258" s="2" t="s">
        <v>2483</v>
      </c>
      <c r="H1258" s="2" t="s">
        <v>2694</v>
      </c>
      <c r="I1258" s="2" t="s">
        <v>2691</v>
      </c>
      <c r="J1258" s="5">
        <v>1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5">
        <v>1</v>
      </c>
      <c r="Z1258" s="2">
        <v>0</v>
      </c>
      <c r="AA1258" s="2">
        <v>0</v>
      </c>
      <c r="AB1258" s="2">
        <v>0</v>
      </c>
    </row>
    <row r="1259" spans="1:28" ht="30" x14ac:dyDescent="0.25">
      <c r="A1259" s="2">
        <v>1258</v>
      </c>
      <c r="B1259" s="5">
        <v>0.4127659574468085</v>
      </c>
      <c r="C1259" s="5">
        <v>0.2289156626506024</v>
      </c>
      <c r="D1259" s="5">
        <v>7.4999999999999997E-2</v>
      </c>
      <c r="E1259" s="5">
        <v>9.4590417310664615E-2</v>
      </c>
      <c r="F1259" s="2" t="s">
        <v>2484</v>
      </c>
      <c r="G1259" s="2" t="s">
        <v>2485</v>
      </c>
      <c r="H1259" s="2" t="s">
        <v>2694</v>
      </c>
      <c r="I1259" s="2" t="s">
        <v>2691</v>
      </c>
      <c r="J1259" s="5">
        <v>1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5">
        <v>1</v>
      </c>
      <c r="Z1259" s="2">
        <v>0</v>
      </c>
      <c r="AA1259" s="2">
        <v>0</v>
      </c>
      <c r="AB1259" s="2">
        <v>0</v>
      </c>
    </row>
    <row r="1260" spans="1:28" ht="45" x14ac:dyDescent="0.25">
      <c r="A1260" s="2">
        <v>1259</v>
      </c>
      <c r="B1260" s="5">
        <v>0.36914893617021283</v>
      </c>
      <c r="C1260" s="5">
        <v>0.43253012048192768</v>
      </c>
      <c r="D1260" s="5">
        <v>0.20599999999999999</v>
      </c>
      <c r="E1260" s="5">
        <v>4.6213292117465221E-2</v>
      </c>
      <c r="F1260" s="2" t="s">
        <v>2486</v>
      </c>
      <c r="G1260" s="2" t="s">
        <v>2487</v>
      </c>
      <c r="H1260" s="2" t="s">
        <v>2694</v>
      </c>
      <c r="I1260" s="2" t="s">
        <v>2687</v>
      </c>
      <c r="J1260" s="5">
        <v>1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5">
        <v>1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</row>
    <row r="1261" spans="1:28" ht="45" x14ac:dyDescent="0.25">
      <c r="A1261" s="2">
        <v>1260</v>
      </c>
      <c r="B1261" s="5">
        <v>0.36914893617021283</v>
      </c>
      <c r="C1261" s="5">
        <v>3.6144578313253009E-3</v>
      </c>
      <c r="D1261" s="5">
        <v>1E-3</v>
      </c>
      <c r="E1261" s="5">
        <v>0.1323029366306028</v>
      </c>
      <c r="F1261" s="2" t="s">
        <v>2488</v>
      </c>
      <c r="G1261" s="2" t="s">
        <v>2489</v>
      </c>
      <c r="H1261" s="2" t="s">
        <v>2694</v>
      </c>
      <c r="I1261" s="2" t="s">
        <v>2691</v>
      </c>
      <c r="J1261" s="5">
        <v>1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5">
        <v>1</v>
      </c>
      <c r="Z1261" s="2">
        <v>0</v>
      </c>
      <c r="AA1261" s="2">
        <v>0</v>
      </c>
      <c r="AB1261" s="2">
        <v>0</v>
      </c>
    </row>
    <row r="1262" spans="1:28" ht="30" x14ac:dyDescent="0.25">
      <c r="A1262" s="2">
        <v>1261</v>
      </c>
      <c r="B1262" s="5">
        <v>0.37234042553191488</v>
      </c>
      <c r="C1262" s="5">
        <v>1.445783132530121E-2</v>
      </c>
      <c r="D1262" s="5">
        <v>6.0000000000000001E-3</v>
      </c>
      <c r="E1262" s="5">
        <v>0.1313755795981453</v>
      </c>
      <c r="F1262" s="2" t="s">
        <v>2490</v>
      </c>
      <c r="G1262" s="2" t="s">
        <v>2491</v>
      </c>
      <c r="H1262" s="2" t="s">
        <v>2694</v>
      </c>
      <c r="I1262" s="2" t="s">
        <v>2691</v>
      </c>
      <c r="J1262" s="5">
        <v>1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5">
        <v>1</v>
      </c>
      <c r="Z1262" s="2">
        <v>0</v>
      </c>
      <c r="AA1262" s="2">
        <v>0</v>
      </c>
      <c r="AB1262" s="2">
        <v>0</v>
      </c>
    </row>
    <row r="1263" spans="1:28" ht="30" x14ac:dyDescent="0.25">
      <c r="A1263" s="2">
        <v>1262</v>
      </c>
      <c r="B1263" s="5">
        <v>0.3595744680851064</v>
      </c>
      <c r="C1263" s="5">
        <v>3.4939759036144581E-2</v>
      </c>
      <c r="D1263" s="5">
        <v>4.0000000000000001E-3</v>
      </c>
      <c r="E1263" s="5">
        <v>0.1245749613601236</v>
      </c>
      <c r="F1263" s="2" t="s">
        <v>2492</v>
      </c>
      <c r="G1263" s="2" t="s">
        <v>2493</v>
      </c>
      <c r="H1263" s="2" t="s">
        <v>2694</v>
      </c>
      <c r="I1263" s="2" t="s">
        <v>2686</v>
      </c>
      <c r="J1263" s="5">
        <v>1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5">
        <v>1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</row>
    <row r="1264" spans="1:28" ht="45" x14ac:dyDescent="0.25">
      <c r="A1264" s="2">
        <v>1263</v>
      </c>
      <c r="B1264" s="5">
        <v>0.37553191489361698</v>
      </c>
      <c r="C1264" s="5">
        <v>8.4337349397590362E-3</v>
      </c>
      <c r="D1264" s="5">
        <v>2E-3</v>
      </c>
      <c r="E1264" s="5">
        <v>0.1309119010819165</v>
      </c>
      <c r="F1264" s="2" t="s">
        <v>2494</v>
      </c>
      <c r="G1264" s="2" t="s">
        <v>2495</v>
      </c>
      <c r="H1264" s="2" t="s">
        <v>2694</v>
      </c>
      <c r="I1264" s="2" t="s">
        <v>2691</v>
      </c>
      <c r="J1264" s="5">
        <v>1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5">
        <v>1</v>
      </c>
      <c r="Z1264" s="2">
        <v>0</v>
      </c>
      <c r="AA1264" s="2">
        <v>0</v>
      </c>
      <c r="AB1264" s="2">
        <v>0</v>
      </c>
    </row>
    <row r="1265" spans="1:28" ht="30" x14ac:dyDescent="0.25">
      <c r="A1265" s="2">
        <v>1264</v>
      </c>
      <c r="B1265" s="5">
        <v>0.34680851063829787</v>
      </c>
      <c r="C1265" s="5">
        <v>4.8192771084337352E-2</v>
      </c>
      <c r="D1265" s="5">
        <v>4.0000000000000001E-3</v>
      </c>
      <c r="E1265" s="5">
        <v>0.1185471406491499</v>
      </c>
      <c r="F1265" s="2" t="s">
        <v>2496</v>
      </c>
      <c r="G1265" s="2" t="s">
        <v>2497</v>
      </c>
      <c r="H1265" s="2" t="s">
        <v>2694</v>
      </c>
      <c r="I1265" s="2" t="s">
        <v>2691</v>
      </c>
      <c r="J1265" s="5">
        <v>1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5">
        <v>1</v>
      </c>
      <c r="Z1265" s="2">
        <v>0</v>
      </c>
      <c r="AA1265" s="2">
        <v>0</v>
      </c>
      <c r="AB1265" s="2">
        <v>0</v>
      </c>
    </row>
    <row r="1266" spans="1:28" ht="30" x14ac:dyDescent="0.25">
      <c r="A1266" s="2">
        <v>1265</v>
      </c>
      <c r="B1266" s="5">
        <v>0.38617021276595748</v>
      </c>
      <c r="C1266" s="5">
        <v>1.3253012048192771E-2</v>
      </c>
      <c r="D1266" s="5">
        <v>5.0000000000000001E-3</v>
      </c>
      <c r="E1266" s="5">
        <v>0.13632148377125189</v>
      </c>
      <c r="F1266" s="2" t="s">
        <v>2498</v>
      </c>
      <c r="G1266" s="2" t="s">
        <v>2499</v>
      </c>
      <c r="H1266" s="2" t="s">
        <v>2694</v>
      </c>
      <c r="I1266" s="2" t="s">
        <v>2691</v>
      </c>
      <c r="J1266" s="5">
        <v>1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5">
        <v>1</v>
      </c>
      <c r="Z1266" s="2">
        <v>0</v>
      </c>
      <c r="AA1266" s="2">
        <v>0</v>
      </c>
      <c r="AB1266" s="2">
        <v>0</v>
      </c>
    </row>
    <row r="1267" spans="1:28" ht="60" x14ac:dyDescent="0.25">
      <c r="A1267" s="2">
        <v>1266</v>
      </c>
      <c r="B1267" s="5">
        <v>0.37553191489361698</v>
      </c>
      <c r="C1267" s="5">
        <v>3.4939759036144581E-2</v>
      </c>
      <c r="D1267" s="5">
        <v>5.0000000000000001E-3</v>
      </c>
      <c r="E1267" s="5">
        <v>0.1304482225656878</v>
      </c>
      <c r="F1267" s="2" t="s">
        <v>2500</v>
      </c>
      <c r="G1267" s="2" t="s">
        <v>2501</v>
      </c>
      <c r="H1267" s="2" t="s">
        <v>2694</v>
      </c>
      <c r="I1267" s="2" t="s">
        <v>2691</v>
      </c>
      <c r="J1267" s="5">
        <v>1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5">
        <v>1</v>
      </c>
      <c r="Z1267" s="2">
        <v>0</v>
      </c>
      <c r="AA1267" s="2">
        <v>0</v>
      </c>
      <c r="AB1267" s="2">
        <v>0</v>
      </c>
    </row>
    <row r="1268" spans="1:28" ht="30" x14ac:dyDescent="0.25">
      <c r="A1268" s="2">
        <v>1267</v>
      </c>
      <c r="B1268" s="5">
        <v>0.54148936170212769</v>
      </c>
      <c r="C1268" s="5">
        <v>0.29638554216867469</v>
      </c>
      <c r="D1268" s="5">
        <v>0.3</v>
      </c>
      <c r="E1268" s="5">
        <v>5.5950540958268943E-2</v>
      </c>
      <c r="F1268" s="2" t="s">
        <v>2502</v>
      </c>
      <c r="G1268" s="2" t="s">
        <v>2503</v>
      </c>
      <c r="H1268" s="2" t="s">
        <v>2694</v>
      </c>
      <c r="I1268" s="2" t="s">
        <v>2693</v>
      </c>
      <c r="J1268" s="5">
        <v>1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5">
        <v>1</v>
      </c>
      <c r="AA1268" s="2">
        <v>0</v>
      </c>
      <c r="AB1268" s="2">
        <v>0</v>
      </c>
    </row>
    <row r="1269" spans="1:28" ht="45" x14ac:dyDescent="0.25">
      <c r="A1269" s="2">
        <v>1268</v>
      </c>
      <c r="B1269" s="5">
        <v>0.44468085106382982</v>
      </c>
      <c r="C1269" s="5">
        <v>0.2289156626506024</v>
      </c>
      <c r="D1269" s="5">
        <v>0.09</v>
      </c>
      <c r="E1269" s="5">
        <v>0.10123647604327669</v>
      </c>
      <c r="F1269" s="2" t="s">
        <v>2504</v>
      </c>
      <c r="G1269" s="2" t="s">
        <v>2505</v>
      </c>
      <c r="H1269" s="2" t="s">
        <v>2694</v>
      </c>
      <c r="I1269" s="2" t="s">
        <v>2693</v>
      </c>
      <c r="J1269" s="5">
        <v>1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5">
        <v>1</v>
      </c>
      <c r="AA1269" s="2">
        <v>0</v>
      </c>
      <c r="AB1269" s="2">
        <v>0</v>
      </c>
    </row>
    <row r="1270" spans="1:28" ht="45" x14ac:dyDescent="0.25">
      <c r="A1270" s="2">
        <v>1269</v>
      </c>
      <c r="B1270" s="5">
        <v>0.3851063829787234</v>
      </c>
      <c r="C1270" s="5">
        <v>0.42891566265060238</v>
      </c>
      <c r="D1270" s="5">
        <v>0.01</v>
      </c>
      <c r="E1270" s="5">
        <v>8.0370942812983001E-2</v>
      </c>
      <c r="F1270" s="2" t="s">
        <v>2506</v>
      </c>
      <c r="G1270" s="2" t="s">
        <v>2507</v>
      </c>
      <c r="H1270" s="2" t="s">
        <v>2694</v>
      </c>
      <c r="I1270" s="2" t="s">
        <v>2693</v>
      </c>
      <c r="J1270" s="5">
        <v>1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5">
        <v>1</v>
      </c>
      <c r="AA1270" s="2">
        <v>0</v>
      </c>
      <c r="AB1270" s="2">
        <v>0</v>
      </c>
    </row>
    <row r="1271" spans="1:28" ht="45" x14ac:dyDescent="0.25">
      <c r="A1271" s="2">
        <v>1270</v>
      </c>
      <c r="B1271" s="5">
        <v>0.35319148936170208</v>
      </c>
      <c r="C1271" s="5">
        <v>6.8674698795180733E-2</v>
      </c>
      <c r="D1271" s="5">
        <v>6.0000000000000001E-3</v>
      </c>
      <c r="E1271" s="5">
        <v>0.1176197836166924</v>
      </c>
      <c r="F1271" s="2" t="s">
        <v>2508</v>
      </c>
      <c r="G1271" s="2" t="s">
        <v>2509</v>
      </c>
      <c r="H1271" s="2" t="s">
        <v>2694</v>
      </c>
      <c r="I1271" s="2" t="s">
        <v>2691</v>
      </c>
      <c r="J1271" s="5">
        <v>1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5">
        <v>1</v>
      </c>
      <c r="Z1271" s="2">
        <v>0</v>
      </c>
      <c r="AA1271" s="2">
        <v>0</v>
      </c>
      <c r="AB1271" s="2">
        <v>0</v>
      </c>
    </row>
    <row r="1272" spans="1:28" ht="30" x14ac:dyDescent="0.25">
      <c r="A1272" s="2">
        <v>1271</v>
      </c>
      <c r="B1272" s="5">
        <v>0.38829787234042562</v>
      </c>
      <c r="C1272" s="5">
        <v>0.1072289156626506</v>
      </c>
      <c r="D1272" s="5">
        <v>1.2999999999999999E-2</v>
      </c>
      <c r="E1272" s="5">
        <v>0.11947449768160739</v>
      </c>
      <c r="F1272" s="2" t="s">
        <v>2510</v>
      </c>
      <c r="G1272" s="2" t="s">
        <v>2511</v>
      </c>
      <c r="H1272" s="2" t="s">
        <v>2694</v>
      </c>
      <c r="I1272" s="2" t="s">
        <v>2691</v>
      </c>
      <c r="J1272" s="5">
        <v>1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5">
        <v>1</v>
      </c>
      <c r="Z1272" s="2">
        <v>0</v>
      </c>
      <c r="AA1272" s="2">
        <v>0</v>
      </c>
      <c r="AB1272" s="2">
        <v>0</v>
      </c>
    </row>
    <row r="1273" spans="1:28" ht="90" x14ac:dyDescent="0.25">
      <c r="A1273" s="2">
        <v>1272</v>
      </c>
      <c r="B1273" s="5">
        <v>0.37659574468085111</v>
      </c>
      <c r="C1273" s="5">
        <v>3.3734939759036138E-2</v>
      </c>
      <c r="D1273" s="5">
        <v>6.0000000000000001E-3</v>
      </c>
      <c r="E1273" s="5">
        <v>0.1304482225656878</v>
      </c>
      <c r="F1273" s="2" t="s">
        <v>2512</v>
      </c>
      <c r="G1273" s="2" t="s">
        <v>2513</v>
      </c>
      <c r="H1273" s="2" t="s">
        <v>2694</v>
      </c>
      <c r="I1273" s="2" t="s">
        <v>2691</v>
      </c>
      <c r="J1273" s="5">
        <v>1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5">
        <v>1</v>
      </c>
      <c r="Z1273" s="2">
        <v>0</v>
      </c>
      <c r="AA1273" s="2">
        <v>0</v>
      </c>
      <c r="AB1273" s="2">
        <v>0</v>
      </c>
    </row>
    <row r="1274" spans="1:28" ht="45" x14ac:dyDescent="0.25">
      <c r="A1274" s="2">
        <v>1273</v>
      </c>
      <c r="B1274" s="5">
        <v>0.16489361702127661</v>
      </c>
      <c r="C1274" s="5">
        <v>0.26867469879518069</v>
      </c>
      <c r="D1274" s="5">
        <v>2.9000000000000001E-2</v>
      </c>
      <c r="E1274" s="5">
        <v>1.530139103554869E-2</v>
      </c>
      <c r="F1274" s="2" t="s">
        <v>2514</v>
      </c>
      <c r="G1274" s="2" t="s">
        <v>2515</v>
      </c>
      <c r="H1274" s="2" t="s">
        <v>2688</v>
      </c>
      <c r="I1274" s="2" t="s">
        <v>2690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5">
        <v>1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5">
        <v>1</v>
      </c>
    </row>
    <row r="1275" spans="1:28" ht="30" x14ac:dyDescent="0.25">
      <c r="A1275" s="2">
        <v>1274</v>
      </c>
      <c r="B1275" s="5">
        <v>0.20319148936170209</v>
      </c>
      <c r="C1275" s="5">
        <v>0.39879518072289161</v>
      </c>
      <c r="D1275" s="5">
        <v>3.5999999999999997E-2</v>
      </c>
      <c r="E1275" s="5">
        <v>1.0200927357032459E-2</v>
      </c>
      <c r="F1275" s="2" t="s">
        <v>2516</v>
      </c>
      <c r="G1275" s="2" t="s">
        <v>2517</v>
      </c>
      <c r="H1275" s="2" t="s">
        <v>2688</v>
      </c>
      <c r="I1275" s="2" t="s">
        <v>2690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5">
        <v>1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5">
        <v>1</v>
      </c>
    </row>
    <row r="1276" spans="1:28" ht="45" x14ac:dyDescent="0.25">
      <c r="A1276" s="2">
        <v>1275</v>
      </c>
      <c r="B1276" s="5">
        <v>0.18510638297872339</v>
      </c>
      <c r="C1276" s="5">
        <v>0.36144578313253012</v>
      </c>
      <c r="D1276" s="5">
        <v>3.5000000000000003E-2</v>
      </c>
      <c r="E1276" s="5">
        <v>5.4095826893353939E-3</v>
      </c>
      <c r="F1276" s="2" t="s">
        <v>2518</v>
      </c>
      <c r="G1276" s="2" t="s">
        <v>2519</v>
      </c>
      <c r="H1276" s="2" t="s">
        <v>2688</v>
      </c>
      <c r="I1276" s="2" t="s">
        <v>2690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5">
        <v>1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5">
        <v>1</v>
      </c>
    </row>
    <row r="1277" spans="1:28" ht="30" x14ac:dyDescent="0.25">
      <c r="A1277" s="2">
        <v>1276</v>
      </c>
      <c r="B1277" s="5">
        <v>0.18510638297872339</v>
      </c>
      <c r="C1277" s="5">
        <v>0.36144578313253012</v>
      </c>
      <c r="D1277" s="5">
        <v>3.5000000000000003E-2</v>
      </c>
      <c r="E1277" s="5">
        <v>8.6553323029366306E-3</v>
      </c>
      <c r="F1277" s="2" t="s">
        <v>2520</v>
      </c>
      <c r="G1277" s="2" t="s">
        <v>2521</v>
      </c>
      <c r="H1277" s="2" t="s">
        <v>2688</v>
      </c>
      <c r="I1277" s="2" t="s">
        <v>2690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5">
        <v>1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5">
        <v>1</v>
      </c>
    </row>
    <row r="1278" spans="1:28" ht="45" x14ac:dyDescent="0.25">
      <c r="A1278" s="2">
        <v>1277</v>
      </c>
      <c r="B1278" s="5">
        <v>0.38829787234042562</v>
      </c>
      <c r="C1278" s="5">
        <v>0.28554216867469878</v>
      </c>
      <c r="D1278" s="5">
        <v>0.223</v>
      </c>
      <c r="E1278" s="5">
        <v>2.704791344667697E-2</v>
      </c>
      <c r="F1278" s="2" t="s">
        <v>2522</v>
      </c>
      <c r="G1278" s="2" t="s">
        <v>2523</v>
      </c>
      <c r="H1278" s="2" t="s">
        <v>2684</v>
      </c>
      <c r="I1278" s="2" t="s">
        <v>2682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5">
        <v>1</v>
      </c>
      <c r="Q1278" s="2">
        <v>0</v>
      </c>
      <c r="R1278" s="2">
        <v>0</v>
      </c>
      <c r="S1278" s="2">
        <v>0</v>
      </c>
      <c r="T1278" s="2">
        <v>0</v>
      </c>
      <c r="U1278" s="5">
        <v>1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</row>
    <row r="1279" spans="1:28" ht="30" x14ac:dyDescent="0.25">
      <c r="A1279" s="2">
        <v>1278</v>
      </c>
      <c r="B1279" s="5">
        <v>0.49148936170212759</v>
      </c>
      <c r="C1279" s="5">
        <v>0.47108433734939759</v>
      </c>
      <c r="D1279" s="5">
        <v>0.32400000000000001</v>
      </c>
      <c r="E1279" s="5">
        <v>5.4095826893353939E-3</v>
      </c>
      <c r="F1279" s="2" t="s">
        <v>2524</v>
      </c>
      <c r="G1279" s="2" t="s">
        <v>2525</v>
      </c>
      <c r="H1279" s="2" t="s">
        <v>2688</v>
      </c>
      <c r="I1279" s="2" t="s">
        <v>2682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5">
        <v>1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5">
        <v>1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</row>
    <row r="1280" spans="1:28" ht="45" x14ac:dyDescent="0.25">
      <c r="A1280" s="2">
        <v>1279</v>
      </c>
      <c r="B1280" s="5">
        <v>2.553191489361702E-2</v>
      </c>
      <c r="C1280" s="5">
        <v>1.3253012048192771E-2</v>
      </c>
      <c r="D1280" s="5">
        <v>2E-3</v>
      </c>
      <c r="E1280" s="5">
        <v>8.5007727975270481E-3</v>
      </c>
      <c r="F1280" s="2" t="s">
        <v>2526</v>
      </c>
      <c r="G1280" s="2" t="s">
        <v>2527</v>
      </c>
      <c r="H1280" s="2" t="s">
        <v>2683</v>
      </c>
      <c r="I1280" s="2" t="s">
        <v>2682</v>
      </c>
      <c r="J1280" s="2">
        <v>0</v>
      </c>
      <c r="K1280" s="2">
        <v>0</v>
      </c>
      <c r="L1280" s="2">
        <v>0</v>
      </c>
      <c r="M1280" s="5">
        <v>1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5">
        <v>1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</row>
    <row r="1281" spans="1:28" ht="45" x14ac:dyDescent="0.25">
      <c r="A1281" s="2">
        <v>1280</v>
      </c>
      <c r="B1281" s="5">
        <v>0.30319148936170209</v>
      </c>
      <c r="C1281" s="5">
        <v>5.1807228915662647E-2</v>
      </c>
      <c r="D1281" s="5">
        <v>0.25700000000000001</v>
      </c>
      <c r="E1281" s="5">
        <v>1.4683153013910349E-2</v>
      </c>
      <c r="F1281" s="2" t="s">
        <v>2528</v>
      </c>
      <c r="G1281" s="2" t="s">
        <v>2529</v>
      </c>
      <c r="H1281" s="2" t="s">
        <v>2683</v>
      </c>
      <c r="I1281" s="2" t="s">
        <v>2687</v>
      </c>
      <c r="J1281" s="2">
        <v>0</v>
      </c>
      <c r="K1281" s="2">
        <v>0</v>
      </c>
      <c r="L1281" s="2">
        <v>0</v>
      </c>
      <c r="M1281" s="5">
        <v>1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5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</row>
    <row r="1282" spans="1:28" x14ac:dyDescent="0.25">
      <c r="A1282" s="2">
        <v>1281</v>
      </c>
      <c r="B1282" s="5">
        <v>4.1489361702127657E-2</v>
      </c>
      <c r="C1282" s="5">
        <v>2.7710843373493971E-2</v>
      </c>
      <c r="D1282" s="5">
        <v>1.9E-2</v>
      </c>
      <c r="E1282" s="5">
        <v>3.0911901081916542E-3</v>
      </c>
      <c r="F1282" s="2" t="s">
        <v>2530</v>
      </c>
      <c r="G1282" s="2" t="s">
        <v>2531</v>
      </c>
      <c r="H1282" s="2" t="s">
        <v>2683</v>
      </c>
      <c r="I1282" s="2" t="s">
        <v>2682</v>
      </c>
      <c r="J1282" s="2">
        <v>0</v>
      </c>
      <c r="K1282" s="2">
        <v>0</v>
      </c>
      <c r="L1282" s="2">
        <v>0</v>
      </c>
      <c r="M1282" s="5">
        <v>1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5">
        <v>1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</row>
    <row r="1283" spans="1:28" ht="45" x14ac:dyDescent="0.25">
      <c r="A1283" s="2">
        <v>1282</v>
      </c>
      <c r="B1283" s="5">
        <v>5.1063829787234047E-2</v>
      </c>
      <c r="C1283" s="5">
        <v>1.8072289156626509E-2</v>
      </c>
      <c r="D1283" s="5">
        <v>3.0000000000000001E-3</v>
      </c>
      <c r="E1283" s="5">
        <v>1.7465224111282849E-2</v>
      </c>
      <c r="F1283" s="2" t="s">
        <v>2532</v>
      </c>
      <c r="G1283" s="2" t="s">
        <v>2533</v>
      </c>
      <c r="H1283" s="2" t="s">
        <v>2683</v>
      </c>
      <c r="I1283" s="2" t="s">
        <v>2682</v>
      </c>
      <c r="J1283" s="2">
        <v>0</v>
      </c>
      <c r="K1283" s="2">
        <v>0</v>
      </c>
      <c r="L1283" s="2">
        <v>0</v>
      </c>
      <c r="M1283" s="5">
        <v>1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5">
        <v>1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</row>
    <row r="1284" spans="1:28" ht="45" x14ac:dyDescent="0.25">
      <c r="A1284" s="2">
        <v>1283</v>
      </c>
      <c r="B1284" s="5">
        <v>4.7872340425531908E-2</v>
      </c>
      <c r="C1284" s="5">
        <v>2.289156626506024E-2</v>
      </c>
      <c r="D1284" s="5">
        <v>8.0000000000000002E-3</v>
      </c>
      <c r="E1284" s="5">
        <v>1.15919629057187E-2</v>
      </c>
      <c r="F1284" s="2" t="s">
        <v>2534</v>
      </c>
      <c r="G1284" s="2" t="s">
        <v>2535</v>
      </c>
      <c r="H1284" s="2" t="s">
        <v>2683</v>
      </c>
      <c r="I1284" s="2" t="s">
        <v>2682</v>
      </c>
      <c r="J1284" s="2">
        <v>0</v>
      </c>
      <c r="K1284" s="2">
        <v>0</v>
      </c>
      <c r="L1284" s="2">
        <v>0</v>
      </c>
      <c r="M1284" s="5">
        <v>1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5">
        <v>1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</row>
    <row r="1285" spans="1:28" ht="60" x14ac:dyDescent="0.25">
      <c r="A1285" s="2">
        <v>1284</v>
      </c>
      <c r="B1285" s="5">
        <v>2.4468085106382979E-2</v>
      </c>
      <c r="C1285" s="5">
        <v>2.168674698795181E-2</v>
      </c>
      <c r="D1285" s="5">
        <v>1E-3</v>
      </c>
      <c r="E1285" s="5">
        <v>7.573415765069552E-3</v>
      </c>
      <c r="F1285" s="2" t="s">
        <v>2536</v>
      </c>
      <c r="G1285" s="2" t="s">
        <v>2537</v>
      </c>
      <c r="H1285" s="2" t="s">
        <v>2683</v>
      </c>
      <c r="I1285" s="2" t="s">
        <v>2682</v>
      </c>
      <c r="J1285" s="2">
        <v>0</v>
      </c>
      <c r="K1285" s="2">
        <v>0</v>
      </c>
      <c r="L1285" s="2">
        <v>0</v>
      </c>
      <c r="M1285" s="5">
        <v>1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5">
        <v>1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</row>
    <row r="1286" spans="1:28" ht="30" x14ac:dyDescent="0.25">
      <c r="A1286" s="2">
        <v>1285</v>
      </c>
      <c r="B1286" s="5">
        <v>2.9787234042553189E-2</v>
      </c>
      <c r="C1286" s="5">
        <v>1.3253012048192771E-2</v>
      </c>
      <c r="D1286" s="5">
        <v>2E-3</v>
      </c>
      <c r="E1286" s="5">
        <v>8.5007727975270481E-3</v>
      </c>
      <c r="F1286" s="2" t="s">
        <v>2538</v>
      </c>
      <c r="G1286" s="2" t="s">
        <v>2539</v>
      </c>
      <c r="H1286" s="2" t="s">
        <v>2683</v>
      </c>
      <c r="I1286" s="2" t="s">
        <v>2682</v>
      </c>
      <c r="J1286" s="2">
        <v>0</v>
      </c>
      <c r="K1286" s="2">
        <v>0</v>
      </c>
      <c r="L1286" s="2">
        <v>0</v>
      </c>
      <c r="M1286" s="5">
        <v>1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5">
        <v>1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</row>
    <row r="1287" spans="1:28" ht="45" x14ac:dyDescent="0.25">
      <c r="A1287" s="2">
        <v>1286</v>
      </c>
      <c r="B1287" s="5">
        <v>5.5319148936170223E-2</v>
      </c>
      <c r="C1287" s="5">
        <v>2.5301204819277109E-2</v>
      </c>
      <c r="D1287" s="5">
        <v>1.0999999999999999E-2</v>
      </c>
      <c r="E1287" s="5">
        <v>1.329211746522411E-2</v>
      </c>
      <c r="F1287" s="2" t="s">
        <v>2540</v>
      </c>
      <c r="G1287" s="2" t="s">
        <v>2541</v>
      </c>
      <c r="H1287" s="2" t="s">
        <v>2683</v>
      </c>
      <c r="I1287" s="2" t="s">
        <v>2682</v>
      </c>
      <c r="J1287" s="2">
        <v>0</v>
      </c>
      <c r="K1287" s="2">
        <v>0</v>
      </c>
      <c r="L1287" s="2">
        <v>0</v>
      </c>
      <c r="M1287" s="5">
        <v>1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5">
        <v>1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</row>
    <row r="1288" spans="1:28" ht="30" x14ac:dyDescent="0.25">
      <c r="A1288" s="2">
        <v>1287</v>
      </c>
      <c r="B1288" s="5">
        <v>5.5319148936170223E-2</v>
      </c>
      <c r="C1288" s="5">
        <v>1.3253012048192771E-2</v>
      </c>
      <c r="D1288" s="5">
        <v>4.0000000000000001E-3</v>
      </c>
      <c r="E1288" s="5">
        <v>1.7310664605873261E-2</v>
      </c>
      <c r="F1288" s="2" t="s">
        <v>2542</v>
      </c>
      <c r="G1288" s="2" t="s">
        <v>2543</v>
      </c>
      <c r="H1288" s="2" t="s">
        <v>2683</v>
      </c>
      <c r="I1288" s="2" t="s">
        <v>2682</v>
      </c>
      <c r="J1288" s="2">
        <v>0</v>
      </c>
      <c r="K1288" s="2">
        <v>0</v>
      </c>
      <c r="L1288" s="2">
        <v>0</v>
      </c>
      <c r="M1288" s="5">
        <v>1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5">
        <v>1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</row>
    <row r="1289" spans="1:28" ht="30" x14ac:dyDescent="0.25">
      <c r="A1289" s="2">
        <v>1288</v>
      </c>
      <c r="B1289" s="5">
        <v>2.6595744680851061E-2</v>
      </c>
      <c r="C1289" s="5">
        <v>2.5301204819277109E-2</v>
      </c>
      <c r="D1289" s="5">
        <v>1E-3</v>
      </c>
      <c r="E1289" s="5">
        <v>8.1916537867078813E-3</v>
      </c>
      <c r="F1289" s="2" t="s">
        <v>2544</v>
      </c>
      <c r="G1289" s="2" t="s">
        <v>2545</v>
      </c>
      <c r="H1289" s="2" t="s">
        <v>2683</v>
      </c>
      <c r="I1289" s="2" t="s">
        <v>2682</v>
      </c>
      <c r="J1289" s="2">
        <v>0</v>
      </c>
      <c r="K1289" s="2">
        <v>0</v>
      </c>
      <c r="L1289" s="2">
        <v>0</v>
      </c>
      <c r="M1289" s="5">
        <v>1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5">
        <v>1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</row>
    <row r="1290" spans="1:28" ht="45" x14ac:dyDescent="0.25">
      <c r="A1290" s="2">
        <v>1289</v>
      </c>
      <c r="B1290" s="5">
        <v>2.4468085106382979E-2</v>
      </c>
      <c r="C1290" s="5">
        <v>2.168674698795181E-2</v>
      </c>
      <c r="D1290" s="5">
        <v>1E-3</v>
      </c>
      <c r="E1290" s="5">
        <v>7.573415765069552E-3</v>
      </c>
      <c r="F1290" s="2" t="s">
        <v>2546</v>
      </c>
      <c r="G1290" s="2" t="s">
        <v>2547</v>
      </c>
      <c r="H1290" s="2" t="s">
        <v>2683</v>
      </c>
      <c r="I1290" s="2" t="s">
        <v>2682</v>
      </c>
      <c r="J1290" s="2">
        <v>0</v>
      </c>
      <c r="K1290" s="2">
        <v>0</v>
      </c>
      <c r="L1290" s="2">
        <v>0</v>
      </c>
      <c r="M1290" s="5">
        <v>1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5">
        <v>1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</row>
    <row r="1291" spans="1:28" ht="30" x14ac:dyDescent="0.25">
      <c r="A1291" s="2">
        <v>1290</v>
      </c>
      <c r="B1291" s="5">
        <v>6.2765957446808518E-2</v>
      </c>
      <c r="C1291" s="5">
        <v>3.4939759036144581E-2</v>
      </c>
      <c r="D1291" s="5">
        <v>3.0000000000000001E-3</v>
      </c>
      <c r="E1291" s="5">
        <v>2.1483771251931991E-2</v>
      </c>
      <c r="F1291" s="2" t="s">
        <v>2548</v>
      </c>
      <c r="G1291" s="2" t="s">
        <v>2549</v>
      </c>
      <c r="H1291" s="2" t="s">
        <v>2683</v>
      </c>
      <c r="I1291" s="2" t="s">
        <v>2685</v>
      </c>
      <c r="J1291" s="2">
        <v>0</v>
      </c>
      <c r="K1291" s="2">
        <v>0</v>
      </c>
      <c r="L1291" s="2">
        <v>0</v>
      </c>
      <c r="M1291" s="5">
        <v>1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5">
        <v>1</v>
      </c>
      <c r="Y1291" s="2">
        <v>0</v>
      </c>
      <c r="Z1291" s="2">
        <v>0</v>
      </c>
      <c r="AA1291" s="2">
        <v>0</v>
      </c>
      <c r="AB1291" s="2">
        <v>0</v>
      </c>
    </row>
    <row r="1292" spans="1:28" ht="45" x14ac:dyDescent="0.25">
      <c r="A1292" s="2">
        <v>1291</v>
      </c>
      <c r="B1292" s="5">
        <v>0.1276595744680851</v>
      </c>
      <c r="C1292" s="5">
        <v>2.891566265060241E-2</v>
      </c>
      <c r="D1292" s="5">
        <v>4.0000000000000001E-3</v>
      </c>
      <c r="E1292" s="5">
        <v>4.0185471406491501E-2</v>
      </c>
      <c r="F1292" s="2" t="s">
        <v>2550</v>
      </c>
      <c r="G1292" s="2" t="s">
        <v>2551</v>
      </c>
      <c r="H1292" s="2" t="s">
        <v>2683</v>
      </c>
      <c r="I1292" s="2" t="s">
        <v>2691</v>
      </c>
      <c r="J1292" s="2">
        <v>0</v>
      </c>
      <c r="K1292" s="2">
        <v>0</v>
      </c>
      <c r="L1292" s="2">
        <v>0</v>
      </c>
      <c r="M1292" s="5">
        <v>1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5">
        <v>1</v>
      </c>
      <c r="Z1292" s="2">
        <v>0</v>
      </c>
      <c r="AA1292" s="2">
        <v>0</v>
      </c>
      <c r="AB1292" s="2">
        <v>0</v>
      </c>
    </row>
    <row r="1293" spans="1:28" ht="45" x14ac:dyDescent="0.25">
      <c r="A1293" s="2">
        <v>1292</v>
      </c>
      <c r="B1293" s="5">
        <v>3.5106382978723413E-2</v>
      </c>
      <c r="C1293" s="5">
        <v>1.445783132530121E-2</v>
      </c>
      <c r="D1293" s="5">
        <v>1.2999999999999999E-2</v>
      </c>
      <c r="E1293" s="5">
        <v>6.33693972179289E-3</v>
      </c>
      <c r="F1293" s="2" t="s">
        <v>2552</v>
      </c>
      <c r="G1293" s="2" t="s">
        <v>2553</v>
      </c>
      <c r="H1293" s="2" t="s">
        <v>2681</v>
      </c>
      <c r="I1293" s="2" t="s">
        <v>2682</v>
      </c>
      <c r="J1293" s="2">
        <v>0</v>
      </c>
      <c r="K1293" s="2">
        <v>0</v>
      </c>
      <c r="L1293" s="2">
        <v>0</v>
      </c>
      <c r="M1293" s="2">
        <v>0</v>
      </c>
      <c r="N1293" s="5">
        <v>1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5">
        <v>1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</row>
    <row r="1294" spans="1:28" ht="45" x14ac:dyDescent="0.25">
      <c r="A1294" s="2">
        <v>1293</v>
      </c>
      <c r="B1294" s="5">
        <v>0.54893617021276597</v>
      </c>
      <c r="C1294" s="5">
        <v>0.2132530120481928</v>
      </c>
      <c r="D1294" s="5">
        <v>0.495</v>
      </c>
      <c r="E1294" s="2">
        <v>0</v>
      </c>
      <c r="F1294" s="2" t="s">
        <v>2554</v>
      </c>
      <c r="G1294" s="2" t="s">
        <v>2555</v>
      </c>
      <c r="H1294" s="2" t="s">
        <v>2681</v>
      </c>
      <c r="I1294" s="2" t="s">
        <v>2682</v>
      </c>
      <c r="J1294" s="2">
        <v>0</v>
      </c>
      <c r="K1294" s="2">
        <v>0</v>
      </c>
      <c r="L1294" s="2">
        <v>0</v>
      </c>
      <c r="M1294" s="2">
        <v>0</v>
      </c>
      <c r="N1294" s="5">
        <v>1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5">
        <v>1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</row>
    <row r="1295" spans="1:28" ht="45" x14ac:dyDescent="0.25">
      <c r="A1295" s="2">
        <v>1294</v>
      </c>
      <c r="B1295" s="5">
        <v>0.37765957446808512</v>
      </c>
      <c r="C1295" s="5">
        <v>7.4698795180722893E-2</v>
      </c>
      <c r="D1295" s="5">
        <v>1.2E-2</v>
      </c>
      <c r="E1295" s="5">
        <v>0.123338485316847</v>
      </c>
      <c r="F1295" s="2" t="s">
        <v>2556</v>
      </c>
      <c r="G1295" s="2" t="s">
        <v>2557</v>
      </c>
      <c r="H1295" s="2" t="s">
        <v>2681</v>
      </c>
      <c r="I1295" s="2" t="s">
        <v>2682</v>
      </c>
      <c r="J1295" s="2">
        <v>0</v>
      </c>
      <c r="K1295" s="2">
        <v>0</v>
      </c>
      <c r="L1295" s="2">
        <v>0</v>
      </c>
      <c r="M1295" s="2">
        <v>0</v>
      </c>
      <c r="N1295" s="5">
        <v>1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5">
        <v>1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</row>
    <row r="1296" spans="1:28" ht="45" x14ac:dyDescent="0.25">
      <c r="A1296" s="2">
        <v>1295</v>
      </c>
      <c r="B1296" s="5">
        <v>0.37553191489361698</v>
      </c>
      <c r="C1296" s="5">
        <v>2.891566265060241E-2</v>
      </c>
      <c r="D1296" s="5">
        <v>1.0999999999999999E-2</v>
      </c>
      <c r="E1296" s="5">
        <v>0.12890262751159201</v>
      </c>
      <c r="F1296" s="2" t="s">
        <v>2558</v>
      </c>
      <c r="G1296" s="2" t="s">
        <v>2559</v>
      </c>
      <c r="H1296" s="2" t="s">
        <v>2683</v>
      </c>
      <c r="I1296" s="2" t="s">
        <v>2690</v>
      </c>
      <c r="J1296" s="2">
        <v>0</v>
      </c>
      <c r="K1296" s="2">
        <v>0</v>
      </c>
      <c r="L1296" s="2">
        <v>0</v>
      </c>
      <c r="M1296" s="5">
        <v>1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5">
        <v>1</v>
      </c>
    </row>
    <row r="1297" spans="1:28" ht="30" x14ac:dyDescent="0.25">
      <c r="A1297" s="2">
        <v>1296</v>
      </c>
      <c r="B1297" s="5">
        <v>0.42021276595744678</v>
      </c>
      <c r="C1297" s="5">
        <v>3.8554216867469883E-2</v>
      </c>
      <c r="D1297" s="5">
        <v>8.5000000000000006E-2</v>
      </c>
      <c r="E1297" s="5">
        <v>0.11823802163833071</v>
      </c>
      <c r="F1297" s="2" t="s">
        <v>2560</v>
      </c>
      <c r="G1297" s="2" t="s">
        <v>2561</v>
      </c>
      <c r="H1297" s="2" t="s">
        <v>2683</v>
      </c>
      <c r="I1297" s="2" t="s">
        <v>2690</v>
      </c>
      <c r="J1297" s="2">
        <v>0</v>
      </c>
      <c r="K1297" s="2">
        <v>0</v>
      </c>
      <c r="L1297" s="2">
        <v>0</v>
      </c>
      <c r="M1297" s="5">
        <v>1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5">
        <v>1</v>
      </c>
    </row>
    <row r="1298" spans="1:28" ht="45" x14ac:dyDescent="0.25">
      <c r="A1298" s="2">
        <v>1297</v>
      </c>
      <c r="B1298" s="5">
        <v>0.41702127659574473</v>
      </c>
      <c r="C1298" s="5">
        <v>6.5060240963855431E-2</v>
      </c>
      <c r="D1298" s="5">
        <v>0.28499999999999998</v>
      </c>
      <c r="E1298" s="5">
        <v>4.3894899536321481E-2</v>
      </c>
      <c r="F1298" s="2" t="s">
        <v>2562</v>
      </c>
      <c r="G1298" s="2" t="s">
        <v>2563</v>
      </c>
      <c r="H1298" s="2" t="s">
        <v>2683</v>
      </c>
      <c r="I1298" s="2" t="s">
        <v>2687</v>
      </c>
      <c r="J1298" s="2">
        <v>0</v>
      </c>
      <c r="K1298" s="2">
        <v>0</v>
      </c>
      <c r="L1298" s="2">
        <v>0</v>
      </c>
      <c r="M1298" s="5">
        <v>1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5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</row>
    <row r="1299" spans="1:28" ht="45" x14ac:dyDescent="0.25">
      <c r="A1299" s="2">
        <v>1298</v>
      </c>
      <c r="B1299" s="5">
        <v>9.957446808510638E-2</v>
      </c>
      <c r="C1299" s="5">
        <v>5.301204819277109E-2</v>
      </c>
      <c r="D1299" s="5">
        <v>1.7999999999999999E-2</v>
      </c>
      <c r="E1299" s="5">
        <v>2.3338485316846989E-2</v>
      </c>
      <c r="F1299" s="2" t="s">
        <v>2564</v>
      </c>
      <c r="G1299" s="2" t="s">
        <v>2565</v>
      </c>
      <c r="H1299" s="2" t="s">
        <v>2684</v>
      </c>
      <c r="I1299" s="2" t="s">
        <v>2682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5">
        <v>1</v>
      </c>
      <c r="Q1299" s="2">
        <v>0</v>
      </c>
      <c r="R1299" s="2">
        <v>0</v>
      </c>
      <c r="S1299" s="2">
        <v>0</v>
      </c>
      <c r="T1299" s="2">
        <v>0</v>
      </c>
      <c r="U1299" s="5">
        <v>1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</row>
    <row r="1300" spans="1:28" ht="45" x14ac:dyDescent="0.25">
      <c r="A1300" s="2">
        <v>1299</v>
      </c>
      <c r="B1300" s="5">
        <v>2.4468085106382979E-2</v>
      </c>
      <c r="C1300" s="5">
        <v>3.4939759036144581E-2</v>
      </c>
      <c r="D1300" s="5">
        <v>2E-3</v>
      </c>
      <c r="E1300" s="5">
        <v>6.33693972179289E-3</v>
      </c>
      <c r="F1300" s="2" t="s">
        <v>2566</v>
      </c>
      <c r="G1300" s="2" t="s">
        <v>2567</v>
      </c>
      <c r="H1300" s="2" t="s">
        <v>2684</v>
      </c>
      <c r="I1300" s="2" t="s">
        <v>2687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5">
        <v>1</v>
      </c>
      <c r="Q1300" s="2">
        <v>0</v>
      </c>
      <c r="R1300" s="2">
        <v>0</v>
      </c>
      <c r="S1300" s="5">
        <v>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</row>
    <row r="1301" spans="1:28" ht="30" x14ac:dyDescent="0.25">
      <c r="A1301" s="2">
        <v>1300</v>
      </c>
      <c r="B1301" s="5">
        <v>3.7234042553191488E-2</v>
      </c>
      <c r="C1301" s="5">
        <v>6.0240963855421693E-2</v>
      </c>
      <c r="D1301" s="5">
        <v>2E-3</v>
      </c>
      <c r="E1301" s="5">
        <v>8.9644513137557957E-3</v>
      </c>
      <c r="F1301" s="2" t="s">
        <v>2568</v>
      </c>
      <c r="G1301" s="2" t="s">
        <v>2569</v>
      </c>
      <c r="H1301" s="2" t="s">
        <v>2684</v>
      </c>
      <c r="I1301" s="2" t="s">
        <v>2687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5">
        <v>1</v>
      </c>
      <c r="Q1301" s="2">
        <v>0</v>
      </c>
      <c r="R1301" s="2">
        <v>0</v>
      </c>
      <c r="S1301" s="5">
        <v>1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</row>
    <row r="1302" spans="1:28" ht="30" x14ac:dyDescent="0.25">
      <c r="A1302" s="2">
        <v>1301</v>
      </c>
      <c r="B1302" s="5">
        <v>7.1276595744680857E-2</v>
      </c>
      <c r="C1302" s="5">
        <v>0.108433734939759</v>
      </c>
      <c r="D1302" s="5">
        <v>2.5999999999999999E-2</v>
      </c>
      <c r="E1302" s="5">
        <v>9.8918083462132926E-3</v>
      </c>
      <c r="F1302" s="2" t="s">
        <v>2570</v>
      </c>
      <c r="G1302" s="2" t="s">
        <v>2571</v>
      </c>
      <c r="H1302" s="2" t="s">
        <v>2684</v>
      </c>
      <c r="I1302" s="2" t="s">
        <v>2687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5">
        <v>1</v>
      </c>
      <c r="Q1302" s="2">
        <v>0</v>
      </c>
      <c r="R1302" s="2">
        <v>0</v>
      </c>
      <c r="S1302" s="5">
        <v>1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</row>
    <row r="1303" spans="1:28" ht="45" x14ac:dyDescent="0.25">
      <c r="A1303" s="2">
        <v>1302</v>
      </c>
      <c r="B1303" s="5">
        <v>2.9787234042553189E-2</v>
      </c>
      <c r="C1303" s="5">
        <v>3.6144578313253017E-2</v>
      </c>
      <c r="D1303" s="5">
        <v>8.0000000000000002E-3</v>
      </c>
      <c r="E1303" s="5">
        <v>6.1823802163833066E-3</v>
      </c>
      <c r="F1303" s="2" t="s">
        <v>2572</v>
      </c>
      <c r="G1303" s="2" t="s">
        <v>2573</v>
      </c>
      <c r="H1303" s="2" t="s">
        <v>2696</v>
      </c>
      <c r="I1303" s="2" t="s">
        <v>2682</v>
      </c>
      <c r="J1303" s="2">
        <v>0</v>
      </c>
      <c r="K1303" s="5">
        <v>1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5">
        <v>1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</row>
    <row r="1304" spans="1:28" ht="30" x14ac:dyDescent="0.25">
      <c r="A1304" s="2">
        <v>1303</v>
      </c>
      <c r="B1304" s="5">
        <v>2.1276595744680851E-2</v>
      </c>
      <c r="C1304" s="5">
        <v>1.204819277108434E-2</v>
      </c>
      <c r="D1304" s="5">
        <v>2E-3</v>
      </c>
      <c r="E1304" s="5">
        <v>5.4095826893353939E-3</v>
      </c>
      <c r="F1304" s="2" t="s">
        <v>2574</v>
      </c>
      <c r="G1304" s="2" t="s">
        <v>2575</v>
      </c>
      <c r="H1304" s="2" t="s">
        <v>2696</v>
      </c>
      <c r="I1304" s="2" t="s">
        <v>2685</v>
      </c>
      <c r="J1304" s="2">
        <v>0</v>
      </c>
      <c r="K1304" s="5">
        <v>1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5">
        <v>1</v>
      </c>
      <c r="Y1304" s="2">
        <v>0</v>
      </c>
      <c r="Z1304" s="2">
        <v>0</v>
      </c>
      <c r="AA1304" s="2">
        <v>0</v>
      </c>
      <c r="AB1304" s="2">
        <v>0</v>
      </c>
    </row>
    <row r="1305" spans="1:28" ht="30" x14ac:dyDescent="0.25">
      <c r="A1305" s="2">
        <v>1304</v>
      </c>
      <c r="B1305" s="5">
        <v>2.1276595744680851E-2</v>
      </c>
      <c r="C1305" s="5">
        <v>1.204819277108434E-2</v>
      </c>
      <c r="D1305" s="5">
        <v>3.0000000000000001E-3</v>
      </c>
      <c r="E1305" s="5">
        <v>6.4914992272024734E-3</v>
      </c>
      <c r="F1305" s="2" t="s">
        <v>2576</v>
      </c>
      <c r="G1305" s="2" t="s">
        <v>2577</v>
      </c>
      <c r="H1305" s="2" t="s">
        <v>2683</v>
      </c>
      <c r="I1305" s="2" t="s">
        <v>2685</v>
      </c>
      <c r="J1305" s="2">
        <v>0</v>
      </c>
      <c r="K1305" s="2">
        <v>0</v>
      </c>
      <c r="L1305" s="2">
        <v>0</v>
      </c>
      <c r="M1305" s="5">
        <v>1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5">
        <v>1</v>
      </c>
      <c r="Y1305" s="2">
        <v>0</v>
      </c>
      <c r="Z1305" s="2">
        <v>0</v>
      </c>
      <c r="AA1305" s="2">
        <v>0</v>
      </c>
      <c r="AB1305" s="2">
        <v>0</v>
      </c>
    </row>
    <row r="1306" spans="1:28" ht="30" x14ac:dyDescent="0.25">
      <c r="A1306" s="2">
        <v>1305</v>
      </c>
      <c r="B1306" s="5">
        <v>2.553191489361702E-2</v>
      </c>
      <c r="C1306" s="5">
        <v>1.566265060240964E-2</v>
      </c>
      <c r="D1306" s="5">
        <v>5.0000000000000001E-3</v>
      </c>
      <c r="E1306" s="5">
        <v>7.2642967542503869E-3</v>
      </c>
      <c r="F1306" s="2" t="s">
        <v>2578</v>
      </c>
      <c r="G1306" s="2" t="s">
        <v>2579</v>
      </c>
      <c r="H1306" s="2" t="s">
        <v>2683</v>
      </c>
      <c r="I1306" s="2" t="s">
        <v>2685</v>
      </c>
      <c r="J1306" s="2">
        <v>0</v>
      </c>
      <c r="K1306" s="2">
        <v>0</v>
      </c>
      <c r="L1306" s="2">
        <v>0</v>
      </c>
      <c r="M1306" s="5">
        <v>1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5">
        <v>1</v>
      </c>
      <c r="Y1306" s="2">
        <v>0</v>
      </c>
      <c r="Z1306" s="2">
        <v>0</v>
      </c>
      <c r="AA1306" s="2">
        <v>0</v>
      </c>
      <c r="AB1306" s="2">
        <v>0</v>
      </c>
    </row>
    <row r="1307" spans="1:28" ht="45" x14ac:dyDescent="0.25">
      <c r="A1307" s="2">
        <v>1306</v>
      </c>
      <c r="B1307" s="5">
        <v>2.553191489361702E-2</v>
      </c>
      <c r="C1307" s="5">
        <v>2.4096385542168679E-2</v>
      </c>
      <c r="D1307" s="5">
        <v>6.9999999999999993E-3</v>
      </c>
      <c r="E1307" s="5">
        <v>5.100463678516228E-3</v>
      </c>
      <c r="F1307" s="2" t="s">
        <v>2580</v>
      </c>
      <c r="G1307" s="2" t="s">
        <v>2581</v>
      </c>
      <c r="H1307" s="2" t="s">
        <v>2683</v>
      </c>
      <c r="I1307" s="2" t="s">
        <v>2685</v>
      </c>
      <c r="J1307" s="2">
        <v>0</v>
      </c>
      <c r="K1307" s="2">
        <v>0</v>
      </c>
      <c r="L1307" s="2">
        <v>0</v>
      </c>
      <c r="M1307" s="5">
        <v>1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5">
        <v>1</v>
      </c>
      <c r="Y1307" s="2">
        <v>0</v>
      </c>
      <c r="Z1307" s="2">
        <v>0</v>
      </c>
      <c r="AA1307" s="2">
        <v>0</v>
      </c>
      <c r="AB1307" s="2">
        <v>0</v>
      </c>
    </row>
    <row r="1308" spans="1:28" ht="60" x14ac:dyDescent="0.25">
      <c r="A1308" s="2">
        <v>1307</v>
      </c>
      <c r="B1308" s="5">
        <v>0.20106382978723411</v>
      </c>
      <c r="C1308" s="5">
        <v>0.136144578313253</v>
      </c>
      <c r="D1308" s="5">
        <v>0.157</v>
      </c>
      <c r="E1308" s="5">
        <v>9.2735703245749607E-4</v>
      </c>
      <c r="F1308" s="2" t="s">
        <v>2582</v>
      </c>
      <c r="G1308" s="2" t="s">
        <v>2583</v>
      </c>
      <c r="H1308" s="2" t="s">
        <v>2683</v>
      </c>
      <c r="I1308" s="2" t="s">
        <v>2691</v>
      </c>
      <c r="J1308" s="2">
        <v>0</v>
      </c>
      <c r="K1308" s="2">
        <v>0</v>
      </c>
      <c r="L1308" s="2">
        <v>0</v>
      </c>
      <c r="M1308" s="5">
        <v>1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5">
        <v>1</v>
      </c>
      <c r="Z1308" s="2">
        <v>0</v>
      </c>
      <c r="AA1308" s="2">
        <v>0</v>
      </c>
      <c r="AB1308" s="2">
        <v>0</v>
      </c>
    </row>
    <row r="1309" spans="1:28" ht="90" x14ac:dyDescent="0.25">
      <c r="A1309" s="2">
        <v>1308</v>
      </c>
      <c r="B1309" s="5">
        <v>5.1063829787234047E-2</v>
      </c>
      <c r="C1309" s="5">
        <v>1.6867469879518069E-2</v>
      </c>
      <c r="D1309" s="5">
        <v>4.2000000000000003E-2</v>
      </c>
      <c r="E1309" s="5">
        <v>4.0185471406491502E-3</v>
      </c>
      <c r="F1309" s="2" t="s">
        <v>2584</v>
      </c>
      <c r="G1309" s="2" t="s">
        <v>2585</v>
      </c>
      <c r="H1309" s="2" t="s">
        <v>2683</v>
      </c>
      <c r="I1309" s="2" t="s">
        <v>2685</v>
      </c>
      <c r="J1309" s="2">
        <v>0</v>
      </c>
      <c r="K1309" s="2">
        <v>0</v>
      </c>
      <c r="L1309" s="2">
        <v>0</v>
      </c>
      <c r="M1309" s="5">
        <v>1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5">
        <v>1</v>
      </c>
      <c r="Y1309" s="2">
        <v>0</v>
      </c>
      <c r="Z1309" s="2">
        <v>0</v>
      </c>
      <c r="AA1309" s="2">
        <v>0</v>
      </c>
      <c r="AB1309" s="2">
        <v>0</v>
      </c>
    </row>
    <row r="1310" spans="1:28" ht="45" x14ac:dyDescent="0.25">
      <c r="A1310" s="2">
        <v>1309</v>
      </c>
      <c r="B1310" s="5">
        <v>0.1978723404255319</v>
      </c>
      <c r="C1310" s="5">
        <v>2.289156626506024E-2</v>
      </c>
      <c r="D1310" s="5">
        <v>2E-3</v>
      </c>
      <c r="E1310" s="5">
        <v>6.846986089644512E-2</v>
      </c>
      <c r="F1310" s="2" t="s">
        <v>2586</v>
      </c>
      <c r="G1310" s="2" t="s">
        <v>2587</v>
      </c>
      <c r="H1310" s="2" t="s">
        <v>2688</v>
      </c>
      <c r="I1310" s="2" t="s">
        <v>2690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5">
        <v>1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5">
        <v>1</v>
      </c>
    </row>
    <row r="1311" spans="1:28" ht="30" x14ac:dyDescent="0.25">
      <c r="A1311" s="2">
        <v>1310</v>
      </c>
      <c r="B1311" s="5">
        <v>0.1702127659574468</v>
      </c>
      <c r="C1311" s="5">
        <v>4.457831325301205E-2</v>
      </c>
      <c r="D1311" s="5">
        <v>1.2999999999999999E-2</v>
      </c>
      <c r="E1311" s="5">
        <v>8.5471406491499216E-2</v>
      </c>
      <c r="F1311" s="2" t="s">
        <v>2588</v>
      </c>
      <c r="G1311" s="2" t="s">
        <v>2589</v>
      </c>
      <c r="H1311" s="2" t="s">
        <v>2684</v>
      </c>
      <c r="I1311" s="2" t="s">
        <v>2690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5">
        <v>1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5">
        <v>1</v>
      </c>
    </row>
    <row r="1312" spans="1:28" ht="45" x14ac:dyDescent="0.25">
      <c r="A1312" s="2">
        <v>1311</v>
      </c>
      <c r="B1312" s="5">
        <v>0.1063829787234043</v>
      </c>
      <c r="C1312" s="5">
        <v>8.4337349397590362E-3</v>
      </c>
      <c r="D1312" s="5">
        <v>3.0000000000000001E-3</v>
      </c>
      <c r="E1312" s="5">
        <v>3.6785162287480681E-2</v>
      </c>
      <c r="F1312" s="2" t="s">
        <v>2590</v>
      </c>
      <c r="G1312" s="2" t="s">
        <v>2591</v>
      </c>
      <c r="H1312" s="2" t="s">
        <v>2683</v>
      </c>
      <c r="I1312" s="2" t="s">
        <v>2690</v>
      </c>
      <c r="J1312" s="2">
        <v>0</v>
      </c>
      <c r="K1312" s="2">
        <v>0</v>
      </c>
      <c r="L1312" s="2">
        <v>0</v>
      </c>
      <c r="M1312" s="5">
        <v>1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5">
        <v>1</v>
      </c>
    </row>
    <row r="1313" spans="1:28" ht="30" x14ac:dyDescent="0.25">
      <c r="A1313" s="2">
        <v>1312</v>
      </c>
      <c r="B1313" s="5">
        <v>0.12659574468085111</v>
      </c>
      <c r="C1313" s="5">
        <v>6.024096385542169E-3</v>
      </c>
      <c r="D1313" s="5">
        <v>4.0000000000000001E-3</v>
      </c>
      <c r="E1313" s="5">
        <v>3.8794435857805259E-2</v>
      </c>
      <c r="F1313" s="2" t="s">
        <v>2592</v>
      </c>
      <c r="G1313" s="2" t="s">
        <v>2593</v>
      </c>
      <c r="H1313" s="2" t="s">
        <v>2688</v>
      </c>
      <c r="I1313" s="2" t="s">
        <v>2690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5">
        <v>1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5">
        <v>1</v>
      </c>
    </row>
    <row r="1314" spans="1:28" ht="45" x14ac:dyDescent="0.25">
      <c r="A1314" s="2">
        <v>1313</v>
      </c>
      <c r="B1314" s="5">
        <v>8.8297872340425534E-2</v>
      </c>
      <c r="C1314" s="5">
        <v>1.8072289156626509E-2</v>
      </c>
      <c r="D1314" s="5">
        <v>2E-3</v>
      </c>
      <c r="E1314" s="5">
        <v>2.9057187017001551E-2</v>
      </c>
      <c r="F1314" s="2" t="s">
        <v>2594</v>
      </c>
      <c r="G1314" s="2" t="s">
        <v>2595</v>
      </c>
      <c r="H1314" s="2" t="s">
        <v>2688</v>
      </c>
      <c r="I1314" s="2" t="s">
        <v>2690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5">
        <v>1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5">
        <v>1</v>
      </c>
    </row>
    <row r="1315" spans="1:28" ht="30" x14ac:dyDescent="0.25">
      <c r="A1315" s="2">
        <v>1314</v>
      </c>
      <c r="B1315" s="5">
        <v>0.1308510638297872</v>
      </c>
      <c r="C1315" s="5">
        <v>2.168674698795181E-2</v>
      </c>
      <c r="D1315" s="5">
        <v>6.9999999999999993E-3</v>
      </c>
      <c r="E1315" s="5">
        <v>4.312210200927357E-2</v>
      </c>
      <c r="F1315" s="2" t="s">
        <v>2596</v>
      </c>
      <c r="G1315" s="2" t="s">
        <v>2597</v>
      </c>
      <c r="H1315" s="2" t="s">
        <v>2688</v>
      </c>
      <c r="I1315" s="2" t="s">
        <v>2690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5">
        <v>1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5">
        <v>1</v>
      </c>
    </row>
    <row r="1316" spans="1:28" ht="30" x14ac:dyDescent="0.25">
      <c r="A1316" s="2">
        <v>1315</v>
      </c>
      <c r="B1316" s="5">
        <v>0.16063829787234041</v>
      </c>
      <c r="C1316" s="5">
        <v>1.9277108433734941E-2</v>
      </c>
      <c r="D1316" s="5">
        <v>3.0000000000000001E-3</v>
      </c>
      <c r="E1316" s="5">
        <v>5.4714064914992269E-2</v>
      </c>
      <c r="F1316" s="2" t="s">
        <v>2598</v>
      </c>
      <c r="G1316" s="2" t="s">
        <v>1164</v>
      </c>
      <c r="H1316" s="2" t="s">
        <v>2688</v>
      </c>
      <c r="I1316" s="2" t="s">
        <v>2690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5">
        <v>1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5">
        <v>1</v>
      </c>
    </row>
    <row r="1317" spans="1:28" ht="45" x14ac:dyDescent="0.25">
      <c r="A1317" s="2">
        <v>1316</v>
      </c>
      <c r="B1317" s="5">
        <v>0.1308510638297872</v>
      </c>
      <c r="C1317" s="5">
        <v>2.168674698795181E-2</v>
      </c>
      <c r="D1317" s="5">
        <v>6.9999999999999993E-3</v>
      </c>
      <c r="E1317" s="5">
        <v>4.312210200927357E-2</v>
      </c>
      <c r="F1317" s="2" t="s">
        <v>2599</v>
      </c>
      <c r="G1317" s="2" t="s">
        <v>2600</v>
      </c>
      <c r="H1317" s="2" t="s">
        <v>2688</v>
      </c>
      <c r="I1317" s="2" t="s">
        <v>2690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5">
        <v>1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5">
        <v>1</v>
      </c>
    </row>
    <row r="1318" spans="1:28" ht="30" x14ac:dyDescent="0.25">
      <c r="A1318" s="2">
        <v>1317</v>
      </c>
      <c r="B1318" s="5">
        <v>0.1212765957446809</v>
      </c>
      <c r="C1318" s="5">
        <v>1.6867469879518069E-2</v>
      </c>
      <c r="D1318" s="5">
        <v>9.6000000000000002E-2</v>
      </c>
      <c r="E1318" s="5">
        <v>3.956723338485317E-2</v>
      </c>
      <c r="F1318" s="2" t="s">
        <v>2601</v>
      </c>
      <c r="G1318" s="2" t="s">
        <v>2602</v>
      </c>
      <c r="H1318" s="2" t="s">
        <v>2683</v>
      </c>
      <c r="I1318" s="2" t="s">
        <v>2690</v>
      </c>
      <c r="J1318" s="2">
        <v>0</v>
      </c>
      <c r="K1318" s="2">
        <v>0</v>
      </c>
      <c r="L1318" s="2">
        <v>0</v>
      </c>
      <c r="M1318" s="5">
        <v>1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5">
        <v>1</v>
      </c>
    </row>
    <row r="1319" spans="1:28" ht="45" x14ac:dyDescent="0.25">
      <c r="A1319" s="2">
        <v>1318</v>
      </c>
      <c r="B1319" s="5">
        <v>0.19574468085106381</v>
      </c>
      <c r="C1319" s="5">
        <v>1.6867469879518069E-2</v>
      </c>
      <c r="D1319" s="5">
        <v>3.0000000000000001E-3</v>
      </c>
      <c r="E1319" s="5">
        <v>3.4775888717156103E-2</v>
      </c>
      <c r="F1319" s="2" t="s">
        <v>2603</v>
      </c>
      <c r="G1319" s="2" t="s">
        <v>626</v>
      </c>
      <c r="H1319" s="2" t="s">
        <v>2688</v>
      </c>
      <c r="I1319" s="2" t="s">
        <v>2685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5">
        <v>1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5">
        <v>1</v>
      </c>
      <c r="Y1319" s="2">
        <v>0</v>
      </c>
      <c r="Z1319" s="2">
        <v>0</v>
      </c>
      <c r="AA1319" s="2">
        <v>0</v>
      </c>
      <c r="AB1319" s="2">
        <v>0</v>
      </c>
    </row>
    <row r="1320" spans="1:28" ht="45" x14ac:dyDescent="0.25">
      <c r="A1320" s="2">
        <v>1319</v>
      </c>
      <c r="B1320" s="5">
        <v>0.1148936170212766</v>
      </c>
      <c r="C1320" s="5">
        <v>6.024096385542169E-3</v>
      </c>
      <c r="D1320" s="5">
        <v>4.0000000000000001E-3</v>
      </c>
      <c r="E1320" s="5">
        <v>3.956723338485317E-2</v>
      </c>
      <c r="F1320" s="2" t="s">
        <v>2604</v>
      </c>
      <c r="G1320" s="2" t="s">
        <v>2605</v>
      </c>
      <c r="H1320" s="2" t="s">
        <v>2688</v>
      </c>
      <c r="I1320" s="2" t="s">
        <v>2690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5">
        <v>1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5">
        <v>1</v>
      </c>
    </row>
    <row r="1321" spans="1:28" ht="45" x14ac:dyDescent="0.25">
      <c r="A1321" s="2">
        <v>1320</v>
      </c>
      <c r="B1321" s="5">
        <v>0.175531914893617</v>
      </c>
      <c r="C1321" s="5">
        <v>1.084337349397591E-2</v>
      </c>
      <c r="D1321" s="5">
        <v>2E-3</v>
      </c>
      <c r="E1321" s="5">
        <v>6.1514683153013908E-2</v>
      </c>
      <c r="F1321" s="2" t="s">
        <v>2606</v>
      </c>
      <c r="G1321" s="2" t="s">
        <v>2607</v>
      </c>
      <c r="H1321" s="2" t="s">
        <v>2683</v>
      </c>
      <c r="I1321" s="2" t="s">
        <v>2690</v>
      </c>
      <c r="J1321" s="2">
        <v>0</v>
      </c>
      <c r="K1321" s="2">
        <v>0</v>
      </c>
      <c r="L1321" s="2">
        <v>0</v>
      </c>
      <c r="M1321" s="5">
        <v>1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5">
        <v>1</v>
      </c>
    </row>
    <row r="1322" spans="1:28" ht="45" x14ac:dyDescent="0.25">
      <c r="A1322" s="2">
        <v>1321</v>
      </c>
      <c r="B1322" s="5">
        <v>8.723404255319149E-2</v>
      </c>
      <c r="C1322" s="5">
        <v>6.9879518072289162E-2</v>
      </c>
      <c r="D1322" s="5">
        <v>1.2999999999999999E-2</v>
      </c>
      <c r="E1322" s="5">
        <v>1.8083462132921169E-2</v>
      </c>
      <c r="F1322" s="2" t="s">
        <v>2608</v>
      </c>
      <c r="G1322" s="2" t="s">
        <v>2609</v>
      </c>
      <c r="H1322" s="2" t="s">
        <v>2683</v>
      </c>
      <c r="I1322" s="2" t="s">
        <v>2687</v>
      </c>
      <c r="J1322" s="2">
        <v>0</v>
      </c>
      <c r="K1322" s="2">
        <v>0</v>
      </c>
      <c r="L1322" s="2">
        <v>0</v>
      </c>
      <c r="M1322" s="5">
        <v>1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5">
        <v>1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</row>
    <row r="1323" spans="1:28" ht="45" x14ac:dyDescent="0.25">
      <c r="A1323" s="2">
        <v>1322</v>
      </c>
      <c r="B1323" s="5">
        <v>5.9574468085106393E-2</v>
      </c>
      <c r="C1323" s="5">
        <v>0.13734939759036149</v>
      </c>
      <c r="D1323" s="5">
        <v>6.0000000000000001E-3</v>
      </c>
      <c r="E1323" s="5">
        <v>1.8547140649149919E-3</v>
      </c>
      <c r="F1323" s="2" t="s">
        <v>2610</v>
      </c>
      <c r="G1323" s="2" t="s">
        <v>2611</v>
      </c>
      <c r="H1323" s="2" t="s">
        <v>2683</v>
      </c>
      <c r="I1323" s="2" t="s">
        <v>2682</v>
      </c>
      <c r="J1323" s="2">
        <v>0</v>
      </c>
      <c r="K1323" s="2">
        <v>0</v>
      </c>
      <c r="L1323" s="2">
        <v>0</v>
      </c>
      <c r="M1323" s="5">
        <v>1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5">
        <v>1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</row>
    <row r="1324" spans="1:28" ht="60" x14ac:dyDescent="0.25">
      <c r="A1324" s="2">
        <v>1323</v>
      </c>
      <c r="B1324" s="5">
        <v>8.6170212765957446E-2</v>
      </c>
      <c r="C1324" s="5">
        <v>0.1987951807228916</v>
      </c>
      <c r="D1324" s="5">
        <v>3.0000000000000001E-3</v>
      </c>
      <c r="E1324" s="5">
        <v>4.6367851622874804E-3</v>
      </c>
      <c r="F1324" s="2" t="s">
        <v>2612</v>
      </c>
      <c r="G1324" s="2" t="s">
        <v>2613</v>
      </c>
      <c r="H1324" s="2" t="s">
        <v>2688</v>
      </c>
      <c r="I1324" s="2" t="s">
        <v>2682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5">
        <v>1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5">
        <v>1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</row>
    <row r="1325" spans="1:28" ht="30" x14ac:dyDescent="0.25">
      <c r="A1325" s="2">
        <v>1324</v>
      </c>
      <c r="B1325" s="5">
        <v>0.31382978723404248</v>
      </c>
      <c r="C1325" s="5">
        <v>0.75180722891566265</v>
      </c>
      <c r="D1325" s="5">
        <v>2.3E-2</v>
      </c>
      <c r="E1325" s="5">
        <v>2.7820710973724878E-3</v>
      </c>
      <c r="F1325" s="2" t="s">
        <v>2614</v>
      </c>
      <c r="G1325" s="2" t="s">
        <v>2615</v>
      </c>
      <c r="H1325" s="2" t="s">
        <v>2688</v>
      </c>
      <c r="I1325" s="2" t="s">
        <v>2682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5">
        <v>1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5">
        <v>1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</row>
    <row r="1326" spans="1:28" ht="30" x14ac:dyDescent="0.25">
      <c r="A1326" s="2">
        <v>1325</v>
      </c>
      <c r="B1326" s="5">
        <v>0.29574468085106381</v>
      </c>
      <c r="C1326" s="5">
        <v>0.75421686746987959</v>
      </c>
      <c r="D1326" s="5">
        <v>4.0999999999999988E-2</v>
      </c>
      <c r="E1326" s="5">
        <v>3.4003091190108188E-3</v>
      </c>
      <c r="F1326" s="2" t="s">
        <v>2616</v>
      </c>
      <c r="G1326" s="2" t="s">
        <v>2617</v>
      </c>
      <c r="H1326" s="2" t="s">
        <v>2688</v>
      </c>
      <c r="I1326" s="2" t="s">
        <v>2682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5">
        <v>1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5">
        <v>1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</row>
    <row r="1327" spans="1:28" ht="60" x14ac:dyDescent="0.25">
      <c r="A1327" s="2">
        <v>1326</v>
      </c>
      <c r="B1327" s="5">
        <v>0.29042553191489362</v>
      </c>
      <c r="C1327" s="5">
        <v>0.57590361445783134</v>
      </c>
      <c r="D1327" s="5">
        <v>3.7999999999999999E-2</v>
      </c>
      <c r="E1327" s="5">
        <v>1.9319938176197839E-2</v>
      </c>
      <c r="F1327" s="2" t="s">
        <v>2618</v>
      </c>
      <c r="G1327" s="2" t="s">
        <v>2619</v>
      </c>
      <c r="H1327" s="2" t="s">
        <v>2688</v>
      </c>
      <c r="I1327" s="2" t="s">
        <v>2682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5">
        <v>1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5">
        <v>1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</row>
    <row r="1328" spans="1:28" ht="60" x14ac:dyDescent="0.25">
      <c r="A1328" s="2">
        <v>1327</v>
      </c>
      <c r="B1328" s="5">
        <v>9.6808510638297873E-2</v>
      </c>
      <c r="C1328" s="5">
        <v>0.25301204819277112</v>
      </c>
      <c r="D1328" s="5">
        <v>2E-3</v>
      </c>
      <c r="E1328" s="5">
        <v>1.545595054095827E-4</v>
      </c>
      <c r="F1328" s="2" t="s">
        <v>2620</v>
      </c>
      <c r="G1328" s="2" t="s">
        <v>2621</v>
      </c>
      <c r="H1328" s="2" t="s">
        <v>2688</v>
      </c>
      <c r="I1328" s="2" t="s">
        <v>2682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5">
        <v>1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5">
        <v>1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</row>
    <row r="1329" spans="1:28" ht="45" x14ac:dyDescent="0.25">
      <c r="A1329" s="2">
        <v>1328</v>
      </c>
      <c r="B1329" s="5">
        <v>0.4042553191489362</v>
      </c>
      <c r="C1329" s="5">
        <v>0.1433734939759036</v>
      </c>
      <c r="D1329" s="5">
        <v>0.30299999999999999</v>
      </c>
      <c r="E1329" s="5">
        <v>2.302936630602782E-2</v>
      </c>
      <c r="F1329" s="2" t="s">
        <v>2622</v>
      </c>
      <c r="G1329" s="2" t="s">
        <v>2623</v>
      </c>
      <c r="H1329" s="2" t="s">
        <v>2683</v>
      </c>
      <c r="I1329" s="2" t="s">
        <v>2690</v>
      </c>
      <c r="J1329" s="2">
        <v>0</v>
      </c>
      <c r="K1329" s="2">
        <v>0</v>
      </c>
      <c r="L1329" s="2">
        <v>0</v>
      </c>
      <c r="M1329" s="5">
        <v>1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5">
        <v>1</v>
      </c>
    </row>
    <row r="1330" spans="1:28" ht="45" x14ac:dyDescent="0.25">
      <c r="A1330" s="2">
        <v>1329</v>
      </c>
      <c r="B1330" s="5">
        <v>0.25638297872340432</v>
      </c>
      <c r="C1330" s="5">
        <v>6.9879518072289162E-2</v>
      </c>
      <c r="D1330" s="5">
        <v>0.216</v>
      </c>
      <c r="E1330" s="5">
        <v>8.9644513137557957E-3</v>
      </c>
      <c r="F1330" s="2" t="s">
        <v>2624</v>
      </c>
      <c r="G1330" s="2" t="s">
        <v>2625</v>
      </c>
      <c r="H1330" s="2" t="s">
        <v>2683</v>
      </c>
      <c r="I1330" s="2" t="s">
        <v>2690</v>
      </c>
      <c r="J1330" s="2">
        <v>0</v>
      </c>
      <c r="K1330" s="2">
        <v>0</v>
      </c>
      <c r="L1330" s="2">
        <v>0</v>
      </c>
      <c r="M1330" s="5">
        <v>1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5">
        <v>1</v>
      </c>
    </row>
    <row r="1331" spans="1:28" ht="75" x14ac:dyDescent="0.25">
      <c r="A1331" s="2">
        <v>1330</v>
      </c>
      <c r="B1331" s="5">
        <v>0.1276595744680851</v>
      </c>
      <c r="C1331" s="5">
        <v>3.3734939759036138E-2</v>
      </c>
      <c r="D1331" s="5">
        <v>5.0000000000000001E-3</v>
      </c>
      <c r="E1331" s="5">
        <v>0.12720247295208659</v>
      </c>
      <c r="F1331" s="2" t="s">
        <v>2626</v>
      </c>
      <c r="G1331" s="2" t="s">
        <v>2627</v>
      </c>
      <c r="H1331" s="2" t="s">
        <v>2688</v>
      </c>
      <c r="I1331" s="2" t="s">
        <v>2690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5">
        <v>1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5">
        <v>1</v>
      </c>
    </row>
    <row r="1332" spans="1:28" ht="30" x14ac:dyDescent="0.25">
      <c r="A1332" s="2">
        <v>1331</v>
      </c>
      <c r="B1332" s="5">
        <v>3.617021276595745E-2</v>
      </c>
      <c r="C1332" s="5">
        <v>2.891566265060241E-2</v>
      </c>
      <c r="D1332" s="5">
        <v>3.0000000000000001E-3</v>
      </c>
      <c r="E1332" s="5">
        <v>8.5007727975270481E-3</v>
      </c>
      <c r="F1332" s="2" t="s">
        <v>2628</v>
      </c>
      <c r="G1332" s="2" t="s">
        <v>2629</v>
      </c>
      <c r="H1332" s="2" t="s">
        <v>2688</v>
      </c>
      <c r="I1332" s="2" t="s">
        <v>2682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5">
        <v>1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5">
        <v>1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</row>
    <row r="1333" spans="1:28" ht="30" x14ac:dyDescent="0.25">
      <c r="A1333" s="2">
        <v>1332</v>
      </c>
      <c r="B1333" s="5">
        <v>0.13829787234042551</v>
      </c>
      <c r="C1333" s="5">
        <v>0.16867469879518071</v>
      </c>
      <c r="D1333" s="5">
        <v>7.2000000000000008E-2</v>
      </c>
      <c r="E1333" s="5">
        <v>2.3183925811437402E-3</v>
      </c>
      <c r="F1333" s="2" t="s">
        <v>2630</v>
      </c>
      <c r="G1333" s="2" t="s">
        <v>2631</v>
      </c>
      <c r="H1333" s="2" t="s">
        <v>2688</v>
      </c>
      <c r="I1333" s="2" t="s">
        <v>2689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5">
        <v>1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5">
        <v>1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</row>
    <row r="1334" spans="1:28" ht="90" x14ac:dyDescent="0.25">
      <c r="A1334" s="2">
        <v>1333</v>
      </c>
      <c r="B1334" s="5">
        <v>0.1074468085106383</v>
      </c>
      <c r="C1334" s="5">
        <v>2.4096385542168679E-2</v>
      </c>
      <c r="D1334" s="5">
        <v>2E-3</v>
      </c>
      <c r="E1334" s="5">
        <v>3.060278207109737E-2</v>
      </c>
      <c r="F1334" s="2" t="s">
        <v>2632</v>
      </c>
      <c r="G1334" s="2" t="s">
        <v>2633</v>
      </c>
      <c r="H1334" s="2" t="s">
        <v>2688</v>
      </c>
      <c r="I1334" s="2" t="s">
        <v>2690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5">
        <v>1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5">
        <v>1</v>
      </c>
    </row>
    <row r="1335" spans="1:28" ht="30" x14ac:dyDescent="0.25">
      <c r="A1335" s="2">
        <v>1334</v>
      </c>
      <c r="B1335" s="5">
        <v>0.38617021276595748</v>
      </c>
      <c r="C1335" s="5">
        <v>0.10481927710843369</v>
      </c>
      <c r="D1335" s="5">
        <v>4.0000000000000001E-3</v>
      </c>
      <c r="E1335" s="5">
        <v>0.1216383307573416</v>
      </c>
      <c r="F1335" s="2" t="s">
        <v>2634</v>
      </c>
      <c r="G1335" s="2" t="s">
        <v>2635</v>
      </c>
      <c r="H1335" s="2" t="s">
        <v>2683</v>
      </c>
      <c r="I1335" s="2" t="s">
        <v>2691</v>
      </c>
      <c r="J1335" s="2">
        <v>0</v>
      </c>
      <c r="K1335" s="2">
        <v>0</v>
      </c>
      <c r="L1335" s="2">
        <v>0</v>
      </c>
      <c r="M1335" s="5">
        <v>1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5">
        <v>1</v>
      </c>
      <c r="Z1335" s="2">
        <v>0</v>
      </c>
      <c r="AA1335" s="2">
        <v>0</v>
      </c>
      <c r="AB1335" s="2">
        <v>0</v>
      </c>
    </row>
    <row r="1336" spans="1:28" ht="45" x14ac:dyDescent="0.25">
      <c r="A1336" s="2">
        <v>1335</v>
      </c>
      <c r="B1336" s="5">
        <v>0.32234042553191489</v>
      </c>
      <c r="C1336" s="5">
        <v>7.5903614457831323E-2</v>
      </c>
      <c r="D1336" s="5">
        <v>2.7E-2</v>
      </c>
      <c r="E1336" s="5">
        <v>9.7836166924265833E-2</v>
      </c>
      <c r="F1336" s="2" t="s">
        <v>2636</v>
      </c>
      <c r="G1336" s="2" t="s">
        <v>2637</v>
      </c>
      <c r="H1336" s="2" t="s">
        <v>2683</v>
      </c>
      <c r="I1336" s="2" t="s">
        <v>2691</v>
      </c>
      <c r="J1336" s="2">
        <v>0</v>
      </c>
      <c r="K1336" s="2">
        <v>0</v>
      </c>
      <c r="L1336" s="2">
        <v>0</v>
      </c>
      <c r="M1336" s="5">
        <v>1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5">
        <v>1</v>
      </c>
      <c r="Z1336" s="2">
        <v>0</v>
      </c>
      <c r="AA1336" s="2">
        <v>0</v>
      </c>
      <c r="AB1336" s="2">
        <v>0</v>
      </c>
    </row>
    <row r="1337" spans="1:28" ht="45" x14ac:dyDescent="0.25">
      <c r="A1337" s="2">
        <v>1336</v>
      </c>
      <c r="B1337" s="5">
        <v>4.7872340425531908E-2</v>
      </c>
      <c r="C1337" s="5">
        <v>9.6385542168674707E-3</v>
      </c>
      <c r="D1337" s="5">
        <v>9.0000000000000011E-3</v>
      </c>
      <c r="E1337" s="5">
        <v>1.2519319938176199E-2</v>
      </c>
      <c r="F1337" s="2" t="s">
        <v>2638</v>
      </c>
      <c r="G1337" s="2" t="s">
        <v>2639</v>
      </c>
      <c r="H1337" s="2" t="s">
        <v>2683</v>
      </c>
      <c r="I1337" s="2" t="s">
        <v>2682</v>
      </c>
      <c r="J1337" s="2">
        <v>0</v>
      </c>
      <c r="K1337" s="2">
        <v>0</v>
      </c>
      <c r="L1337" s="2">
        <v>0</v>
      </c>
      <c r="M1337" s="5">
        <v>1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5">
        <v>1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</row>
    <row r="1338" spans="1:28" ht="60" x14ac:dyDescent="0.25">
      <c r="A1338" s="2">
        <v>1337</v>
      </c>
      <c r="B1338" s="5">
        <v>0.45106382978723403</v>
      </c>
      <c r="C1338" s="5">
        <v>1.566265060240964E-2</v>
      </c>
      <c r="D1338" s="5">
        <v>0.107</v>
      </c>
      <c r="E1338" s="5">
        <v>0.1247295208655332</v>
      </c>
      <c r="F1338" s="2" t="s">
        <v>2640</v>
      </c>
      <c r="G1338" s="2" t="s">
        <v>2641</v>
      </c>
      <c r="H1338" s="2" t="s">
        <v>2684</v>
      </c>
      <c r="I1338" s="2" t="s">
        <v>2691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5">
        <v>1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5">
        <v>1</v>
      </c>
      <c r="Z1338" s="2">
        <v>0</v>
      </c>
      <c r="AA1338" s="2">
        <v>0</v>
      </c>
      <c r="AB1338" s="2">
        <v>0</v>
      </c>
    </row>
    <row r="1339" spans="1:28" ht="45" x14ac:dyDescent="0.25">
      <c r="A1339" s="2">
        <v>1338</v>
      </c>
      <c r="B1339" s="5">
        <v>0.60425531914893615</v>
      </c>
      <c r="C1339" s="5">
        <v>0.2325301204819277</v>
      </c>
      <c r="D1339" s="5">
        <v>0.51100000000000001</v>
      </c>
      <c r="E1339" s="5">
        <v>2.7975270479134472E-2</v>
      </c>
      <c r="F1339" s="2" t="s">
        <v>2642</v>
      </c>
      <c r="G1339" s="2" t="s">
        <v>2643</v>
      </c>
      <c r="H1339" s="2" t="s">
        <v>2684</v>
      </c>
      <c r="I1339" s="2" t="s">
        <v>2687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5">
        <v>1</v>
      </c>
      <c r="Q1339" s="2">
        <v>0</v>
      </c>
      <c r="R1339" s="2">
        <v>0</v>
      </c>
      <c r="S1339" s="5">
        <v>1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</row>
    <row r="1340" spans="1:28" ht="30" x14ac:dyDescent="0.25">
      <c r="A1340" s="2">
        <v>1339</v>
      </c>
      <c r="B1340" s="5">
        <v>0.37765957446808512</v>
      </c>
      <c r="C1340" s="5">
        <v>3.8554216867469883E-2</v>
      </c>
      <c r="D1340" s="5">
        <v>0.151</v>
      </c>
      <c r="E1340" s="5">
        <v>7.9443585780525502E-2</v>
      </c>
      <c r="F1340" s="2" t="s">
        <v>2644</v>
      </c>
      <c r="G1340" s="2" t="s">
        <v>2645</v>
      </c>
      <c r="H1340" s="2" t="s">
        <v>2688</v>
      </c>
      <c r="I1340" s="2" t="s">
        <v>2691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5">
        <v>1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5">
        <v>1</v>
      </c>
      <c r="Z1340" s="2">
        <v>0</v>
      </c>
      <c r="AA1340" s="2">
        <v>0</v>
      </c>
      <c r="AB1340" s="2">
        <v>0</v>
      </c>
    </row>
    <row r="1341" spans="1:28" ht="60" x14ac:dyDescent="0.25">
      <c r="A1341" s="2">
        <v>1340</v>
      </c>
      <c r="B1341" s="5">
        <v>0.15212765957446811</v>
      </c>
      <c r="C1341" s="5">
        <v>3.7349397590361447E-2</v>
      </c>
      <c r="D1341" s="5">
        <v>7.8E-2</v>
      </c>
      <c r="E1341" s="5">
        <v>2.3183925811437401E-2</v>
      </c>
      <c r="F1341" s="2" t="s">
        <v>2646</v>
      </c>
      <c r="G1341" s="2" t="s">
        <v>2647</v>
      </c>
      <c r="H1341" s="2" t="s">
        <v>2688</v>
      </c>
      <c r="I1341" s="2" t="s">
        <v>2690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5">
        <v>1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5">
        <v>1</v>
      </c>
    </row>
    <row r="1342" spans="1:28" ht="30" x14ac:dyDescent="0.25">
      <c r="A1342" s="2">
        <v>1341</v>
      </c>
      <c r="B1342" s="5">
        <v>0.48085106382978732</v>
      </c>
      <c r="C1342" s="5">
        <v>0.1746987951807229</v>
      </c>
      <c r="D1342" s="5">
        <v>0.42299999999999999</v>
      </c>
      <c r="E1342" s="5">
        <v>3.5548686244204009E-3</v>
      </c>
      <c r="F1342" s="2" t="s">
        <v>2648</v>
      </c>
      <c r="G1342" s="2" t="s">
        <v>2649</v>
      </c>
      <c r="H1342" s="2" t="s">
        <v>2688</v>
      </c>
      <c r="I1342" s="2" t="s">
        <v>2689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5">
        <v>1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5">
        <v>1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</row>
    <row r="1343" spans="1:28" ht="45" x14ac:dyDescent="0.25">
      <c r="A1343" s="2">
        <v>1342</v>
      </c>
      <c r="B1343" s="5">
        <v>4.4680851063829789E-2</v>
      </c>
      <c r="C1343" s="5">
        <v>1.445783132530121E-2</v>
      </c>
      <c r="D1343" s="5">
        <v>6.0000000000000001E-3</v>
      </c>
      <c r="E1343" s="5">
        <v>1.437403400309119E-2</v>
      </c>
      <c r="F1343" s="2" t="s">
        <v>2650</v>
      </c>
      <c r="G1343" s="2" t="s">
        <v>2651</v>
      </c>
      <c r="H1343" s="2" t="s">
        <v>2688</v>
      </c>
      <c r="I1343" s="2" t="s">
        <v>2685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5">
        <v>1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5">
        <v>1</v>
      </c>
      <c r="Y1343" s="2">
        <v>0</v>
      </c>
      <c r="Z1343" s="2">
        <v>0</v>
      </c>
      <c r="AA1343" s="2">
        <v>0</v>
      </c>
      <c r="AB1343" s="2">
        <v>0</v>
      </c>
    </row>
    <row r="1344" spans="1:28" ht="45" x14ac:dyDescent="0.25">
      <c r="A1344" s="2">
        <v>1343</v>
      </c>
      <c r="B1344" s="5">
        <v>3.9361702127659583E-2</v>
      </c>
      <c r="C1344" s="5">
        <v>1.204819277108434E-2</v>
      </c>
      <c r="D1344" s="5">
        <v>6.0000000000000001E-3</v>
      </c>
      <c r="E1344" s="5">
        <v>1.2828438948995361E-2</v>
      </c>
      <c r="F1344" s="2" t="s">
        <v>2652</v>
      </c>
      <c r="G1344" s="2" t="s">
        <v>2653</v>
      </c>
      <c r="H1344" s="2" t="s">
        <v>2683</v>
      </c>
      <c r="I1344" s="2" t="s">
        <v>2685</v>
      </c>
      <c r="J1344" s="2">
        <v>0</v>
      </c>
      <c r="K1344" s="2">
        <v>0</v>
      </c>
      <c r="L1344" s="2">
        <v>0</v>
      </c>
      <c r="M1344" s="5">
        <v>1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5">
        <v>1</v>
      </c>
      <c r="Y1344" s="2">
        <v>0</v>
      </c>
      <c r="Z1344" s="2">
        <v>0</v>
      </c>
      <c r="AA1344" s="2">
        <v>0</v>
      </c>
      <c r="AB1344" s="2">
        <v>0</v>
      </c>
    </row>
    <row r="1345" spans="1:28" ht="45" x14ac:dyDescent="0.25">
      <c r="A1345" s="2">
        <v>1344</v>
      </c>
      <c r="B1345" s="5">
        <v>2.9787234042553189E-2</v>
      </c>
      <c r="C1345" s="5">
        <v>8.4337349397590362E-3</v>
      </c>
      <c r="D1345" s="5">
        <v>5.0000000000000001E-3</v>
      </c>
      <c r="E1345" s="5">
        <v>9.7372488408037083E-3</v>
      </c>
      <c r="F1345" s="2" t="s">
        <v>2654</v>
      </c>
      <c r="G1345" s="2" t="s">
        <v>2655</v>
      </c>
      <c r="H1345" s="2" t="s">
        <v>2683</v>
      </c>
      <c r="I1345" s="2" t="s">
        <v>2685</v>
      </c>
      <c r="J1345" s="2">
        <v>0</v>
      </c>
      <c r="K1345" s="2">
        <v>0</v>
      </c>
      <c r="L1345" s="2">
        <v>0</v>
      </c>
      <c r="M1345" s="5">
        <v>1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5">
        <v>1</v>
      </c>
      <c r="Y1345" s="2">
        <v>0</v>
      </c>
      <c r="Z1345" s="2">
        <v>0</v>
      </c>
      <c r="AA1345" s="2">
        <v>0</v>
      </c>
      <c r="AB1345" s="2">
        <v>0</v>
      </c>
    </row>
    <row r="1346" spans="1:28" ht="30" x14ac:dyDescent="0.25">
      <c r="A1346" s="2">
        <v>1345</v>
      </c>
      <c r="B1346" s="5">
        <v>0.27021276595744681</v>
      </c>
      <c r="C1346" s="5">
        <v>3.6144578313253017E-2</v>
      </c>
      <c r="D1346" s="5">
        <v>1.0999999999999999E-2</v>
      </c>
      <c r="E1346" s="5">
        <v>8.9799072642967548E-2</v>
      </c>
      <c r="F1346" s="2" t="s">
        <v>2656</v>
      </c>
      <c r="G1346" s="2" t="s">
        <v>2657</v>
      </c>
      <c r="H1346" s="2" t="s">
        <v>2683</v>
      </c>
      <c r="I1346" s="2" t="s">
        <v>2691</v>
      </c>
      <c r="J1346" s="2">
        <v>0</v>
      </c>
      <c r="K1346" s="2">
        <v>0</v>
      </c>
      <c r="L1346" s="2">
        <v>0</v>
      </c>
      <c r="M1346" s="5">
        <v>1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5">
        <v>1</v>
      </c>
      <c r="Z1346" s="2">
        <v>0</v>
      </c>
      <c r="AA1346" s="2">
        <v>0</v>
      </c>
      <c r="AB1346" s="2">
        <v>0</v>
      </c>
    </row>
    <row r="1347" spans="1:28" ht="45" x14ac:dyDescent="0.25">
      <c r="A1347" s="2">
        <v>1346</v>
      </c>
      <c r="B1347" s="5">
        <v>5.5319148936170223E-2</v>
      </c>
      <c r="C1347" s="5">
        <v>3.9759036144578312E-2</v>
      </c>
      <c r="D1347" s="5">
        <v>2.5000000000000001E-2</v>
      </c>
      <c r="E1347" s="5">
        <v>6.1823802163833066E-3</v>
      </c>
      <c r="F1347" s="2" t="s">
        <v>2658</v>
      </c>
      <c r="G1347" s="2" t="s">
        <v>2659</v>
      </c>
      <c r="H1347" s="2" t="s">
        <v>2697</v>
      </c>
      <c r="I1347" s="2" t="s">
        <v>2693</v>
      </c>
      <c r="J1347" s="2">
        <v>0</v>
      </c>
      <c r="K1347" s="2">
        <v>0</v>
      </c>
      <c r="L1347" s="5">
        <v>1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5">
        <v>1</v>
      </c>
      <c r="AA1347" s="2">
        <v>0</v>
      </c>
      <c r="AB1347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33"/>
  <sheetViews>
    <sheetView topLeftCell="A2" workbookViewId="0"/>
  </sheetViews>
  <sheetFormatPr defaultRowHeight="15" x14ac:dyDescent="0.25"/>
  <sheetData>
    <row r="1" spans="1:28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2660</v>
      </c>
      <c r="I1" s="6" t="s">
        <v>2661</v>
      </c>
      <c r="J1" s="6" t="s">
        <v>2662</v>
      </c>
      <c r="K1" s="6" t="s">
        <v>2663</v>
      </c>
      <c r="L1" s="6" t="s">
        <v>2664</v>
      </c>
      <c r="M1" s="6" t="s">
        <v>2665</v>
      </c>
      <c r="N1" s="6" t="s">
        <v>2666</v>
      </c>
      <c r="O1" s="6" t="s">
        <v>2667</v>
      </c>
      <c r="P1" s="6" t="s">
        <v>2668</v>
      </c>
      <c r="Q1" s="6" t="s">
        <v>2669</v>
      </c>
      <c r="R1" s="6" t="s">
        <v>2670</v>
      </c>
      <c r="S1" s="6" t="s">
        <v>2671</v>
      </c>
      <c r="T1" s="6" t="s">
        <v>2672</v>
      </c>
      <c r="U1" s="6" t="s">
        <v>2673</v>
      </c>
      <c r="V1" s="6" t="s">
        <v>2674</v>
      </c>
      <c r="W1" s="6" t="s">
        <v>2675</v>
      </c>
      <c r="X1" s="6" t="s">
        <v>2676</v>
      </c>
      <c r="Y1" s="6" t="s">
        <v>2677</v>
      </c>
      <c r="Z1" s="6" t="s">
        <v>2678</v>
      </c>
      <c r="AA1" s="6" t="s">
        <v>2679</v>
      </c>
      <c r="AB1" s="6" t="s">
        <v>2680</v>
      </c>
    </row>
    <row r="2" spans="1:28" ht="285" x14ac:dyDescent="0.25">
      <c r="A2" s="5">
        <v>4</v>
      </c>
      <c r="B2" s="5">
        <v>4.7872340425531908E-2</v>
      </c>
      <c r="C2" s="5">
        <v>1.3253012048192771E-2</v>
      </c>
      <c r="D2" s="5">
        <v>4.0000000000000001E-3</v>
      </c>
      <c r="E2" s="5">
        <v>1.6692426584234931E-2</v>
      </c>
      <c r="F2" s="7" t="s">
        <v>13</v>
      </c>
      <c r="G2" s="7" t="s">
        <v>14</v>
      </c>
      <c r="H2" s="7" t="s">
        <v>2684</v>
      </c>
      <c r="I2" s="7" t="s">
        <v>2685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1</v>
      </c>
      <c r="Y2" s="5">
        <v>0</v>
      </c>
      <c r="Z2" s="5">
        <v>0</v>
      </c>
      <c r="AA2" s="5">
        <v>0</v>
      </c>
      <c r="AB2" s="5">
        <v>0</v>
      </c>
    </row>
    <row r="3" spans="1:28" ht="120" x14ac:dyDescent="0.25">
      <c r="A3" s="5">
        <v>5</v>
      </c>
      <c r="B3" s="5">
        <v>3.9361702127659583E-2</v>
      </c>
      <c r="C3" s="5">
        <v>5.301204819277109E-2</v>
      </c>
      <c r="D3" s="5">
        <v>5.0000000000000001E-3</v>
      </c>
      <c r="E3" s="5">
        <v>5.8732612055641424E-3</v>
      </c>
      <c r="F3" s="7" t="s">
        <v>15</v>
      </c>
      <c r="G3" s="7" t="s">
        <v>16</v>
      </c>
      <c r="H3" s="7" t="s">
        <v>2684</v>
      </c>
      <c r="I3" s="7" t="s">
        <v>2685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  <c r="Y3" s="5">
        <v>0</v>
      </c>
      <c r="Z3" s="5">
        <v>0</v>
      </c>
      <c r="AA3" s="5">
        <v>0</v>
      </c>
      <c r="AB3" s="5">
        <v>0</v>
      </c>
    </row>
    <row r="4" spans="1:28" ht="150" x14ac:dyDescent="0.25">
      <c r="A4" s="5">
        <v>6</v>
      </c>
      <c r="B4" s="5">
        <v>9.0425531914893623E-2</v>
      </c>
      <c r="C4" s="5">
        <v>1.084337349397591E-2</v>
      </c>
      <c r="D4" s="5">
        <v>6.5000000000000002E-2</v>
      </c>
      <c r="E4" s="5">
        <v>1.1901081916537871E-2</v>
      </c>
      <c r="F4" s="7" t="s">
        <v>17</v>
      </c>
      <c r="G4" s="7" t="s">
        <v>18</v>
      </c>
      <c r="H4" s="7" t="s">
        <v>2683</v>
      </c>
      <c r="I4" s="7" t="s">
        <v>2686</v>
      </c>
      <c r="J4" s="5">
        <v>0</v>
      </c>
      <c r="K4" s="5">
        <v>0</v>
      </c>
      <c r="L4" s="5">
        <v>0</v>
      </c>
      <c r="M4" s="5">
        <v>1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ht="270" x14ac:dyDescent="0.25">
      <c r="A5" s="5">
        <v>7</v>
      </c>
      <c r="B5" s="5">
        <v>0.10212765957446809</v>
      </c>
      <c r="C5" s="5">
        <v>4.457831325301205E-2</v>
      </c>
      <c r="D5" s="5">
        <v>6.0000000000000001E-3</v>
      </c>
      <c r="E5" s="5">
        <v>2.952086553323029E-2</v>
      </c>
      <c r="F5" s="7" t="s">
        <v>19</v>
      </c>
      <c r="G5" s="7" t="s">
        <v>20</v>
      </c>
      <c r="H5" s="7" t="s">
        <v>2683</v>
      </c>
      <c r="I5" s="7" t="s">
        <v>2687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</row>
    <row r="6" spans="1:28" ht="135" x14ac:dyDescent="0.25">
      <c r="A6" s="5">
        <v>8</v>
      </c>
      <c r="B6" s="5">
        <v>0.44042553191489359</v>
      </c>
      <c r="C6" s="5">
        <v>0.32048192771084338</v>
      </c>
      <c r="D6" s="5">
        <v>0.183</v>
      </c>
      <c r="E6" s="5">
        <v>6.383307573415764E-2</v>
      </c>
      <c r="F6" s="7" t="s">
        <v>21</v>
      </c>
      <c r="G6" s="7" t="s">
        <v>22</v>
      </c>
      <c r="H6" s="7" t="s">
        <v>2683</v>
      </c>
      <c r="I6" s="7" t="s">
        <v>2687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</row>
    <row r="7" spans="1:28" ht="195" x14ac:dyDescent="0.25">
      <c r="A7" s="5">
        <v>10</v>
      </c>
      <c r="B7" s="5">
        <v>7.1276595744680857E-2</v>
      </c>
      <c r="C7" s="5">
        <v>6.0240963855421693E-2</v>
      </c>
      <c r="D7" s="5">
        <v>2.1000000000000001E-2</v>
      </c>
      <c r="E7" s="5">
        <v>1.2519319938176199E-2</v>
      </c>
      <c r="F7" s="7" t="s">
        <v>25</v>
      </c>
      <c r="G7" s="7" t="s">
        <v>26</v>
      </c>
      <c r="H7" s="7" t="s">
        <v>2683</v>
      </c>
      <c r="I7" s="7" t="s">
        <v>2687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8" spans="1:28" ht="270" x14ac:dyDescent="0.25">
      <c r="A8" s="5">
        <v>11</v>
      </c>
      <c r="B8" s="5">
        <v>0.19574468085106381</v>
      </c>
      <c r="C8" s="5">
        <v>0.22650602409638559</v>
      </c>
      <c r="D8" s="5">
        <v>0.14000000000000001</v>
      </c>
      <c r="E8" s="5">
        <v>0</v>
      </c>
      <c r="F8" s="7" t="s">
        <v>27</v>
      </c>
      <c r="G8" s="7" t="s">
        <v>28</v>
      </c>
      <c r="H8" s="7" t="s">
        <v>2688</v>
      </c>
      <c r="I8" s="7" t="s">
        <v>2689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</row>
    <row r="9" spans="1:28" ht="240" x14ac:dyDescent="0.25">
      <c r="A9" s="5">
        <v>12</v>
      </c>
      <c r="B9" s="5">
        <v>0.18510638297872339</v>
      </c>
      <c r="C9" s="5">
        <v>0.236144578313253</v>
      </c>
      <c r="D9" s="5">
        <v>0.1</v>
      </c>
      <c r="E9" s="5">
        <v>0</v>
      </c>
      <c r="F9" s="7" t="s">
        <v>29</v>
      </c>
      <c r="G9" s="7" t="s">
        <v>30</v>
      </c>
      <c r="H9" s="7" t="s">
        <v>2688</v>
      </c>
      <c r="I9" s="7" t="s">
        <v>2689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</row>
    <row r="10" spans="1:28" ht="270" x14ac:dyDescent="0.25">
      <c r="A10" s="5">
        <v>13</v>
      </c>
      <c r="B10" s="5">
        <v>0.2021276595744681</v>
      </c>
      <c r="C10" s="5">
        <v>0.2301204819277109</v>
      </c>
      <c r="D10" s="5">
        <v>0.12</v>
      </c>
      <c r="E10" s="5">
        <v>0</v>
      </c>
      <c r="F10" s="7" t="s">
        <v>31</v>
      </c>
      <c r="G10" s="7" t="s">
        <v>32</v>
      </c>
      <c r="H10" s="7" t="s">
        <v>2688</v>
      </c>
      <c r="I10" s="7" t="s">
        <v>2689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</row>
    <row r="11" spans="1:28" ht="135" x14ac:dyDescent="0.25">
      <c r="A11" s="5">
        <v>15</v>
      </c>
      <c r="B11" s="5">
        <v>2.6595744680851061E-2</v>
      </c>
      <c r="C11" s="5">
        <v>1.9277108433734941E-2</v>
      </c>
      <c r="D11" s="5">
        <v>2E-3</v>
      </c>
      <c r="E11" s="5">
        <v>8.1916537867078813E-3</v>
      </c>
      <c r="F11" s="7" t="s">
        <v>35</v>
      </c>
      <c r="G11" s="7" t="s">
        <v>36</v>
      </c>
      <c r="H11" s="7" t="s">
        <v>2684</v>
      </c>
      <c r="I11" s="7" t="s">
        <v>2685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  <c r="Y11" s="5">
        <v>0</v>
      </c>
      <c r="Z11" s="5">
        <v>0</v>
      </c>
      <c r="AA11" s="5">
        <v>0</v>
      </c>
      <c r="AB11" s="5">
        <v>0</v>
      </c>
    </row>
    <row r="12" spans="1:28" ht="120" x14ac:dyDescent="0.25">
      <c r="A12" s="5">
        <v>16</v>
      </c>
      <c r="B12" s="5">
        <v>3.1914893617021267E-2</v>
      </c>
      <c r="C12" s="5">
        <v>6.024096385542169E-3</v>
      </c>
      <c r="D12" s="5">
        <v>2E-3</v>
      </c>
      <c r="E12" s="5">
        <v>1.0510046367851619E-2</v>
      </c>
      <c r="F12" s="7" t="s">
        <v>37</v>
      </c>
      <c r="G12" s="7" t="s">
        <v>38</v>
      </c>
      <c r="H12" s="7" t="s">
        <v>2688</v>
      </c>
      <c r="I12" s="7" t="s">
        <v>2686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</row>
    <row r="13" spans="1:28" ht="180" x14ac:dyDescent="0.25">
      <c r="A13" s="5">
        <v>18</v>
      </c>
      <c r="B13" s="5">
        <v>0.13404255319148939</v>
      </c>
      <c r="C13" s="5">
        <v>4.0963855421686748E-2</v>
      </c>
      <c r="D13" s="5">
        <v>7.9000000000000001E-2</v>
      </c>
      <c r="E13" s="5">
        <v>1.591962905718702E-2</v>
      </c>
      <c r="F13" s="7" t="s">
        <v>41</v>
      </c>
      <c r="G13" s="7" t="s">
        <v>42</v>
      </c>
      <c r="H13" s="7" t="s">
        <v>2684</v>
      </c>
      <c r="I13" s="7" t="s">
        <v>2685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  <c r="Y13" s="5">
        <v>0</v>
      </c>
      <c r="Z13" s="5">
        <v>0</v>
      </c>
      <c r="AA13" s="5">
        <v>0</v>
      </c>
      <c r="AB13" s="5">
        <v>0</v>
      </c>
    </row>
    <row r="14" spans="1:28" ht="240" x14ac:dyDescent="0.25">
      <c r="A14" s="5">
        <v>19</v>
      </c>
      <c r="B14" s="5">
        <v>6.1702127659574467E-2</v>
      </c>
      <c r="C14" s="5">
        <v>3.6144578313253009E-3</v>
      </c>
      <c r="D14" s="5">
        <v>4.0000000000000001E-3</v>
      </c>
      <c r="E14" s="5">
        <v>2.302936630602782E-2</v>
      </c>
      <c r="F14" s="7" t="s">
        <v>43</v>
      </c>
      <c r="G14" s="7" t="s">
        <v>44</v>
      </c>
      <c r="H14" s="7" t="s">
        <v>2684</v>
      </c>
      <c r="I14" s="7" t="s">
        <v>2686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</row>
    <row r="15" spans="1:28" ht="135" x14ac:dyDescent="0.25">
      <c r="A15" s="5">
        <v>20</v>
      </c>
      <c r="B15" s="5">
        <v>6.063829787234043E-2</v>
      </c>
      <c r="C15" s="5">
        <v>6.024096385542169E-3</v>
      </c>
      <c r="D15" s="5">
        <v>4.0000000000000001E-3</v>
      </c>
      <c r="E15" s="5">
        <v>1.9783616692426589E-2</v>
      </c>
      <c r="F15" s="7" t="s">
        <v>45</v>
      </c>
      <c r="G15" s="7" t="s">
        <v>46</v>
      </c>
      <c r="H15" s="7" t="s">
        <v>2684</v>
      </c>
      <c r="I15" s="7" t="s">
        <v>2686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</row>
    <row r="16" spans="1:28" ht="135" x14ac:dyDescent="0.25">
      <c r="A16" s="5">
        <v>22</v>
      </c>
      <c r="B16" s="5">
        <v>0.1202127659574468</v>
      </c>
      <c r="C16" s="5">
        <v>1.084337349397591E-2</v>
      </c>
      <c r="D16" s="5">
        <v>7.2000000000000008E-2</v>
      </c>
      <c r="E16" s="5">
        <v>1.7310664605873261E-2</v>
      </c>
      <c r="F16" s="7" t="s">
        <v>49</v>
      </c>
      <c r="G16" s="7" t="s">
        <v>50</v>
      </c>
      <c r="H16" s="7" t="s">
        <v>2683</v>
      </c>
      <c r="I16" s="7" t="s">
        <v>2685</v>
      </c>
      <c r="J16" s="5">
        <v>0</v>
      </c>
      <c r="K16" s="5">
        <v>0</v>
      </c>
      <c r="L16" s="5">
        <v>0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  <c r="Y16" s="5">
        <v>0</v>
      </c>
      <c r="Z16" s="5">
        <v>0</v>
      </c>
      <c r="AA16" s="5">
        <v>0</v>
      </c>
      <c r="AB16" s="5">
        <v>0</v>
      </c>
    </row>
    <row r="17" spans="1:28" ht="270" x14ac:dyDescent="0.25">
      <c r="A17" s="5">
        <v>23</v>
      </c>
      <c r="B17" s="5">
        <v>0.1085106382978723</v>
      </c>
      <c r="C17" s="5">
        <v>1.204819277108434E-2</v>
      </c>
      <c r="D17" s="5">
        <v>2E-3</v>
      </c>
      <c r="E17" s="5">
        <v>3.7248840803709431E-2</v>
      </c>
      <c r="F17" s="7" t="s">
        <v>51</v>
      </c>
      <c r="G17" s="7" t="s">
        <v>52</v>
      </c>
      <c r="H17" s="7" t="s">
        <v>2688</v>
      </c>
      <c r="I17" s="7" t="s">
        <v>2690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1</v>
      </c>
    </row>
    <row r="18" spans="1:28" ht="195" x14ac:dyDescent="0.25">
      <c r="A18" s="5">
        <v>29</v>
      </c>
      <c r="B18" s="5">
        <v>0.1042553191489362</v>
      </c>
      <c r="C18" s="5">
        <v>4.6987951807228923E-2</v>
      </c>
      <c r="D18" s="5">
        <v>2.5999999999999999E-2</v>
      </c>
      <c r="E18" s="5">
        <v>2.2874806800618239E-2</v>
      </c>
      <c r="F18" s="7" t="s">
        <v>63</v>
      </c>
      <c r="G18" s="7" t="s">
        <v>64</v>
      </c>
      <c r="H18" s="7" t="s">
        <v>2681</v>
      </c>
      <c r="I18" s="7" t="s">
        <v>2685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  <c r="Y18" s="5">
        <v>0</v>
      </c>
      <c r="Z18" s="5">
        <v>0</v>
      </c>
      <c r="AA18" s="5">
        <v>0</v>
      </c>
      <c r="AB18" s="5">
        <v>0</v>
      </c>
    </row>
    <row r="19" spans="1:28" ht="210" x14ac:dyDescent="0.25">
      <c r="A19" s="5">
        <v>30</v>
      </c>
      <c r="B19" s="5">
        <v>0.32127659574468093</v>
      </c>
      <c r="C19" s="5">
        <v>0.21927710843373491</v>
      </c>
      <c r="D19" s="5">
        <v>0.25</v>
      </c>
      <c r="E19" s="5">
        <v>0</v>
      </c>
      <c r="F19" s="7" t="s">
        <v>65</v>
      </c>
      <c r="G19" s="7" t="s">
        <v>66</v>
      </c>
      <c r="H19" s="7" t="s">
        <v>2688</v>
      </c>
      <c r="I19" s="7" t="s">
        <v>2689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</row>
    <row r="20" spans="1:28" ht="180" x14ac:dyDescent="0.25">
      <c r="A20" s="5">
        <v>33</v>
      </c>
      <c r="B20" s="5">
        <v>7.9787234042553196E-2</v>
      </c>
      <c r="C20" s="5">
        <v>0.16626506024096391</v>
      </c>
      <c r="D20" s="5">
        <v>1.9E-2</v>
      </c>
      <c r="E20" s="5">
        <v>1.081916537867079E-3</v>
      </c>
      <c r="F20" s="7" t="s">
        <v>71</v>
      </c>
      <c r="G20" s="7" t="s">
        <v>72</v>
      </c>
      <c r="H20" s="7" t="s">
        <v>2688</v>
      </c>
      <c r="I20" s="7" t="s">
        <v>2689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</row>
    <row r="21" spans="1:28" ht="225" x14ac:dyDescent="0.25">
      <c r="A21" s="5">
        <v>46</v>
      </c>
      <c r="B21" s="5">
        <v>0.27765957446808509</v>
      </c>
      <c r="C21" s="5">
        <v>0.33012048192771082</v>
      </c>
      <c r="D21" s="5">
        <v>0.161</v>
      </c>
      <c r="E21" s="5">
        <v>2.4729520865533232E-3</v>
      </c>
      <c r="F21" s="7" t="s">
        <v>97</v>
      </c>
      <c r="G21" s="7" t="s">
        <v>98</v>
      </c>
      <c r="H21" s="7" t="s">
        <v>2688</v>
      </c>
      <c r="I21" s="7" t="s">
        <v>2689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</row>
    <row r="22" spans="1:28" ht="150" x14ac:dyDescent="0.25">
      <c r="A22" s="5">
        <v>56</v>
      </c>
      <c r="B22" s="5">
        <v>0.47872340425531917</v>
      </c>
      <c r="C22" s="5">
        <v>3.8554216867469883E-2</v>
      </c>
      <c r="D22" s="5">
        <v>0.13900000000000001</v>
      </c>
      <c r="E22" s="5">
        <v>0.1207109737248841</v>
      </c>
      <c r="F22" s="7" t="s">
        <v>117</v>
      </c>
      <c r="G22" s="7" t="s">
        <v>118</v>
      </c>
      <c r="H22" s="7" t="s">
        <v>2688</v>
      </c>
      <c r="I22" s="7" t="s">
        <v>2686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</row>
    <row r="23" spans="1:28" ht="225" x14ac:dyDescent="0.25">
      <c r="A23" s="5">
        <v>57</v>
      </c>
      <c r="B23" s="5">
        <v>0.48085106382978732</v>
      </c>
      <c r="C23" s="5">
        <v>1.566265060240964E-2</v>
      </c>
      <c r="D23" s="5">
        <v>0.13800000000000001</v>
      </c>
      <c r="E23" s="5">
        <v>0.1245749613601236</v>
      </c>
      <c r="F23" s="7" t="s">
        <v>119</v>
      </c>
      <c r="G23" s="7" t="s">
        <v>120</v>
      </c>
      <c r="H23" s="7" t="s">
        <v>2688</v>
      </c>
      <c r="I23" s="7" t="s">
        <v>2686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</row>
    <row r="24" spans="1:28" ht="210" x14ac:dyDescent="0.25">
      <c r="A24" s="5">
        <v>58</v>
      </c>
      <c r="B24" s="5">
        <v>0.56276595744680857</v>
      </c>
      <c r="C24" s="5">
        <v>3.8554216867469883E-2</v>
      </c>
      <c r="D24" s="5">
        <v>0.29099999999999998</v>
      </c>
      <c r="E24" s="5">
        <v>9.8299845440494596E-2</v>
      </c>
      <c r="F24" s="7" t="s">
        <v>121</v>
      </c>
      <c r="G24" s="7" t="s">
        <v>122</v>
      </c>
      <c r="H24" s="7" t="s">
        <v>2688</v>
      </c>
      <c r="I24" s="7" t="s">
        <v>2687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</row>
    <row r="25" spans="1:28" ht="330" x14ac:dyDescent="0.25">
      <c r="A25" s="5">
        <v>59</v>
      </c>
      <c r="B25" s="5">
        <v>0.55638297872340425</v>
      </c>
      <c r="C25" s="5">
        <v>3.8554216867469883E-2</v>
      </c>
      <c r="D25" s="5">
        <v>0.28199999999999997</v>
      </c>
      <c r="E25" s="5">
        <v>9.9227202472952095E-2</v>
      </c>
      <c r="F25" s="7" t="s">
        <v>123</v>
      </c>
      <c r="G25" s="7" t="s">
        <v>124</v>
      </c>
      <c r="H25" s="7" t="s">
        <v>2688</v>
      </c>
      <c r="I25" s="7" t="s">
        <v>2687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</row>
    <row r="26" spans="1:28" ht="285" x14ac:dyDescent="0.25">
      <c r="A26" s="5">
        <v>60</v>
      </c>
      <c r="B26" s="5">
        <v>0.44255319148936167</v>
      </c>
      <c r="C26" s="5">
        <v>7.8313253012048195E-2</v>
      </c>
      <c r="D26" s="5">
        <v>9.4E-2</v>
      </c>
      <c r="E26" s="5">
        <v>0.1179289026275116</v>
      </c>
      <c r="F26" s="7" t="s">
        <v>125</v>
      </c>
      <c r="G26" s="7" t="s">
        <v>126</v>
      </c>
      <c r="H26" s="7" t="s">
        <v>2688</v>
      </c>
      <c r="I26" s="7" t="s">
        <v>2690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1</v>
      </c>
    </row>
    <row r="27" spans="1:28" ht="210" x14ac:dyDescent="0.25">
      <c r="A27" s="5">
        <v>61</v>
      </c>
      <c r="B27" s="5">
        <v>0.40638297872340429</v>
      </c>
      <c r="C27" s="5">
        <v>3.6144578313253009E-3</v>
      </c>
      <c r="D27" s="5">
        <v>3.5000000000000003E-2</v>
      </c>
      <c r="E27" s="5">
        <v>0.13477588871715609</v>
      </c>
      <c r="F27" s="7" t="s">
        <v>127</v>
      </c>
      <c r="G27" s="7" t="s">
        <v>128</v>
      </c>
      <c r="H27" s="7" t="s">
        <v>2688</v>
      </c>
      <c r="I27" s="7" t="s">
        <v>2690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1</v>
      </c>
    </row>
    <row r="28" spans="1:28" ht="165" x14ac:dyDescent="0.25">
      <c r="A28" s="5">
        <v>65</v>
      </c>
      <c r="B28" s="5">
        <v>2.8723404255319149E-2</v>
      </c>
      <c r="C28" s="5">
        <v>2.4096385542168679E-2</v>
      </c>
      <c r="D28" s="5">
        <v>2E-3</v>
      </c>
      <c r="E28" s="5">
        <v>6.4914992272024734E-3</v>
      </c>
      <c r="F28" s="7" t="s">
        <v>135</v>
      </c>
      <c r="G28" s="7" t="s">
        <v>136</v>
      </c>
      <c r="H28" s="7" t="s">
        <v>2683</v>
      </c>
      <c r="I28" s="7" t="s">
        <v>2685</v>
      </c>
      <c r="J28" s="5">
        <v>0</v>
      </c>
      <c r="K28" s="5">
        <v>0</v>
      </c>
      <c r="L28" s="5">
        <v>0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</row>
    <row r="29" spans="1:28" ht="225" x14ac:dyDescent="0.25">
      <c r="A29" s="5">
        <v>66</v>
      </c>
      <c r="B29" s="5">
        <v>0.2978723404255319</v>
      </c>
      <c r="C29" s="5">
        <v>9.8795180722891562E-2</v>
      </c>
      <c r="D29" s="5">
        <v>0.10199999999999999</v>
      </c>
      <c r="E29" s="5">
        <v>6.0278207109737247E-2</v>
      </c>
      <c r="F29" s="7" t="s">
        <v>137</v>
      </c>
      <c r="G29" s="7" t="s">
        <v>138</v>
      </c>
      <c r="H29" s="7" t="s">
        <v>2684</v>
      </c>
      <c r="I29" s="7" t="s">
        <v>2691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1</v>
      </c>
      <c r="Z29" s="5">
        <v>0</v>
      </c>
      <c r="AA29" s="5">
        <v>0</v>
      </c>
      <c r="AB29" s="5">
        <v>0</v>
      </c>
    </row>
    <row r="30" spans="1:28" ht="300" x14ac:dyDescent="0.25">
      <c r="A30" s="5">
        <v>68</v>
      </c>
      <c r="B30" s="5">
        <v>0.2021276595744681</v>
      </c>
      <c r="C30" s="5">
        <v>3.9759036144578312E-2</v>
      </c>
      <c r="D30" s="5">
        <v>3.0000000000000001E-3</v>
      </c>
      <c r="E30" s="5">
        <v>6.7233384853168474E-2</v>
      </c>
      <c r="F30" s="7" t="s">
        <v>141</v>
      </c>
      <c r="G30" s="7" t="s">
        <v>142</v>
      </c>
      <c r="H30" s="7" t="s">
        <v>2683</v>
      </c>
      <c r="I30" s="7" t="s">
        <v>2691</v>
      </c>
      <c r="J30" s="5">
        <v>0</v>
      </c>
      <c r="K30" s="5">
        <v>0</v>
      </c>
      <c r="L30" s="5">
        <v>0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1</v>
      </c>
      <c r="Z30" s="5">
        <v>0</v>
      </c>
      <c r="AA30" s="5">
        <v>0</v>
      </c>
      <c r="AB30" s="5">
        <v>0</v>
      </c>
    </row>
    <row r="31" spans="1:28" ht="165" x14ac:dyDescent="0.25">
      <c r="A31" s="5">
        <v>71</v>
      </c>
      <c r="B31" s="5">
        <v>0.11382978723404261</v>
      </c>
      <c r="C31" s="5">
        <v>2.6506024096385541E-2</v>
      </c>
      <c r="D31" s="5">
        <v>2.1999999999999999E-2</v>
      </c>
      <c r="E31" s="5">
        <v>3.0293663060278211E-2</v>
      </c>
      <c r="F31" s="7" t="s">
        <v>147</v>
      </c>
      <c r="G31" s="7" t="s">
        <v>148</v>
      </c>
      <c r="H31" s="7" t="s">
        <v>2683</v>
      </c>
      <c r="I31" s="7" t="s">
        <v>2691</v>
      </c>
      <c r="J31" s="5">
        <v>0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1</v>
      </c>
      <c r="Z31" s="5">
        <v>0</v>
      </c>
      <c r="AA31" s="5">
        <v>0</v>
      </c>
      <c r="AB31" s="5">
        <v>0</v>
      </c>
    </row>
    <row r="32" spans="1:28" ht="120" x14ac:dyDescent="0.25">
      <c r="A32" s="5">
        <v>72</v>
      </c>
      <c r="B32" s="5">
        <v>8.085106382978724E-2</v>
      </c>
      <c r="C32" s="5">
        <v>1.3253012048192771E-2</v>
      </c>
      <c r="D32" s="5">
        <v>9.0000000000000011E-3</v>
      </c>
      <c r="E32" s="5">
        <v>2.472952086553323E-2</v>
      </c>
      <c r="F32" s="7" t="s">
        <v>149</v>
      </c>
      <c r="G32" s="7" t="s">
        <v>150</v>
      </c>
      <c r="H32" s="7" t="s">
        <v>2688</v>
      </c>
      <c r="I32" s="7" t="s">
        <v>2690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1</v>
      </c>
    </row>
    <row r="33" spans="1:28" ht="150" x14ac:dyDescent="0.25">
      <c r="A33" s="5">
        <v>73</v>
      </c>
      <c r="B33" s="5">
        <v>0.1170212765957447</v>
      </c>
      <c r="C33" s="5">
        <v>1.6867469879518069E-2</v>
      </c>
      <c r="D33" s="5">
        <v>1.0999999999999999E-2</v>
      </c>
      <c r="E33" s="5">
        <v>3.6166924265842337E-2</v>
      </c>
      <c r="F33" s="7" t="s">
        <v>151</v>
      </c>
      <c r="G33" s="7" t="s">
        <v>152</v>
      </c>
      <c r="H33" s="7" t="s">
        <v>2688</v>
      </c>
      <c r="I33" s="7" t="s">
        <v>2686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</row>
    <row r="34" spans="1:28" ht="225" x14ac:dyDescent="0.25">
      <c r="A34" s="5">
        <v>75</v>
      </c>
      <c r="B34" s="5">
        <v>9.4680851063829785E-2</v>
      </c>
      <c r="C34" s="5">
        <v>1.3253012048192771E-2</v>
      </c>
      <c r="D34" s="5">
        <v>1E-3</v>
      </c>
      <c r="E34" s="5">
        <v>3.2457496136012363E-2</v>
      </c>
      <c r="F34" s="7" t="s">
        <v>155</v>
      </c>
      <c r="G34" s="7" t="s">
        <v>156</v>
      </c>
      <c r="H34" s="7" t="s">
        <v>2688</v>
      </c>
      <c r="I34" s="7" t="s">
        <v>2686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1</v>
      </c>
      <c r="P34" s="5">
        <v>0</v>
      </c>
      <c r="Q34" s="5">
        <v>1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</row>
    <row r="35" spans="1:28" ht="150" x14ac:dyDescent="0.25">
      <c r="A35" s="5">
        <v>76</v>
      </c>
      <c r="B35" s="5">
        <v>0.19361702127659569</v>
      </c>
      <c r="C35" s="5">
        <v>2.891566265060241E-2</v>
      </c>
      <c r="D35" s="5">
        <v>4.0000000000000001E-3</v>
      </c>
      <c r="E35" s="5">
        <v>6.5224111282843902E-2</v>
      </c>
      <c r="F35" s="7" t="s">
        <v>157</v>
      </c>
      <c r="G35" s="7" t="s">
        <v>158</v>
      </c>
      <c r="H35" s="7" t="s">
        <v>2688</v>
      </c>
      <c r="I35" s="7" t="s">
        <v>2690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1</v>
      </c>
    </row>
    <row r="36" spans="1:28" ht="240" x14ac:dyDescent="0.25">
      <c r="A36" s="5">
        <v>77</v>
      </c>
      <c r="B36" s="5">
        <v>4.7872340425531908E-2</v>
      </c>
      <c r="C36" s="5">
        <v>1.6867469879518069E-2</v>
      </c>
      <c r="D36" s="5">
        <v>2E-3</v>
      </c>
      <c r="E36" s="5">
        <v>1.591962905718702E-2</v>
      </c>
      <c r="F36" s="7" t="s">
        <v>159</v>
      </c>
      <c r="G36" s="7" t="s">
        <v>160</v>
      </c>
      <c r="H36" s="7" t="s">
        <v>2683</v>
      </c>
      <c r="I36" s="7" t="s">
        <v>2692</v>
      </c>
      <c r="J36" s="5">
        <v>0</v>
      </c>
      <c r="K36" s="5">
        <v>0</v>
      </c>
      <c r="L36" s="5">
        <v>0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</row>
    <row r="37" spans="1:28" ht="165" x14ac:dyDescent="0.25">
      <c r="A37" s="5">
        <v>78</v>
      </c>
      <c r="B37" s="5">
        <v>4.1489361702127657E-2</v>
      </c>
      <c r="C37" s="5">
        <v>1.8072289156626509E-2</v>
      </c>
      <c r="D37" s="5">
        <v>3.0000000000000001E-3</v>
      </c>
      <c r="E37" s="5">
        <v>3.0911901081916539E-4</v>
      </c>
      <c r="F37" s="7" t="s">
        <v>161</v>
      </c>
      <c r="G37" s="7" t="s">
        <v>162</v>
      </c>
      <c r="H37" s="7" t="s">
        <v>2683</v>
      </c>
      <c r="I37" s="7" t="s">
        <v>2692</v>
      </c>
      <c r="J37" s="5">
        <v>0</v>
      </c>
      <c r="K37" s="5">
        <v>0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</row>
    <row r="38" spans="1:28" ht="255" x14ac:dyDescent="0.25">
      <c r="A38" s="5">
        <v>79</v>
      </c>
      <c r="B38" s="5">
        <v>0.10106382978723399</v>
      </c>
      <c r="C38" s="5">
        <v>5.4216867469879519E-2</v>
      </c>
      <c r="D38" s="5">
        <v>2E-3</v>
      </c>
      <c r="E38" s="5">
        <v>3.5703245749613602E-2</v>
      </c>
      <c r="F38" s="7" t="s">
        <v>163</v>
      </c>
      <c r="G38" s="7" t="s">
        <v>164</v>
      </c>
      <c r="H38" s="7" t="s">
        <v>2683</v>
      </c>
      <c r="I38" s="7" t="s">
        <v>2692</v>
      </c>
      <c r="J38" s="5">
        <v>0</v>
      </c>
      <c r="K38" s="5">
        <v>0</v>
      </c>
      <c r="L38" s="5">
        <v>0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</row>
    <row r="39" spans="1:28" ht="285" x14ac:dyDescent="0.25">
      <c r="A39" s="5">
        <v>81</v>
      </c>
      <c r="B39" s="5">
        <v>5.4255319148936172E-2</v>
      </c>
      <c r="C39" s="5">
        <v>5.5421686746987948E-2</v>
      </c>
      <c r="D39" s="5">
        <v>5.0000000000000001E-3</v>
      </c>
      <c r="E39" s="5">
        <v>1.5455950540958271E-2</v>
      </c>
      <c r="F39" s="7" t="s">
        <v>167</v>
      </c>
      <c r="G39" s="7" t="s">
        <v>168</v>
      </c>
      <c r="H39" s="7" t="s">
        <v>2683</v>
      </c>
      <c r="I39" s="7" t="s">
        <v>2685</v>
      </c>
      <c r="J39" s="5">
        <v>0</v>
      </c>
      <c r="K39" s="5">
        <v>0</v>
      </c>
      <c r="L39" s="5">
        <v>0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  <c r="Y39" s="5">
        <v>0</v>
      </c>
      <c r="Z39" s="5">
        <v>0</v>
      </c>
      <c r="AA39" s="5">
        <v>0</v>
      </c>
      <c r="AB39" s="5">
        <v>0</v>
      </c>
    </row>
    <row r="40" spans="1:28" ht="210" x14ac:dyDescent="0.25">
      <c r="A40" s="5">
        <v>82</v>
      </c>
      <c r="B40" s="5">
        <v>4.3617021276595752E-2</v>
      </c>
      <c r="C40" s="5">
        <v>2.6506024096385541E-2</v>
      </c>
      <c r="D40" s="5">
        <v>8.0000000000000002E-3</v>
      </c>
      <c r="E40" s="5">
        <v>9.7372488408037083E-3</v>
      </c>
      <c r="F40" s="7" t="s">
        <v>169</v>
      </c>
      <c r="G40" s="7" t="s">
        <v>170</v>
      </c>
      <c r="H40" s="7" t="s">
        <v>2683</v>
      </c>
      <c r="I40" s="7" t="s">
        <v>2685</v>
      </c>
      <c r="J40" s="5">
        <v>0</v>
      </c>
      <c r="K40" s="5">
        <v>0</v>
      </c>
      <c r="L40" s="5">
        <v>0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  <c r="Y40" s="5">
        <v>0</v>
      </c>
      <c r="Z40" s="5">
        <v>0</v>
      </c>
      <c r="AA40" s="5">
        <v>0</v>
      </c>
      <c r="AB40" s="5">
        <v>0</v>
      </c>
    </row>
    <row r="41" spans="1:28" ht="150" x14ac:dyDescent="0.25">
      <c r="A41" s="5">
        <v>83</v>
      </c>
      <c r="B41" s="5">
        <v>2.4468085106382979E-2</v>
      </c>
      <c r="C41" s="5">
        <v>1.445783132530121E-2</v>
      </c>
      <c r="D41" s="5">
        <v>6.0000000000000001E-3</v>
      </c>
      <c r="E41" s="5">
        <v>5.7187017001545598E-3</v>
      </c>
      <c r="F41" s="7" t="s">
        <v>171</v>
      </c>
      <c r="G41" s="7" t="s">
        <v>172</v>
      </c>
      <c r="H41" s="7" t="s">
        <v>2683</v>
      </c>
      <c r="I41" s="7" t="s">
        <v>2685</v>
      </c>
      <c r="J41" s="5">
        <v>0</v>
      </c>
      <c r="K41" s="5">
        <v>0</v>
      </c>
      <c r="L41" s="5">
        <v>0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</row>
    <row r="42" spans="1:28" ht="150" x14ac:dyDescent="0.25">
      <c r="A42" s="5">
        <v>84</v>
      </c>
      <c r="B42" s="5">
        <v>3.8297872340425532E-2</v>
      </c>
      <c r="C42" s="5">
        <v>4.2168674698795178E-2</v>
      </c>
      <c r="D42" s="5">
        <v>5.0000000000000001E-3</v>
      </c>
      <c r="E42" s="5">
        <v>1.004636785162288E-2</v>
      </c>
      <c r="F42" s="7" t="s">
        <v>173</v>
      </c>
      <c r="G42" s="7" t="s">
        <v>174</v>
      </c>
      <c r="H42" s="7" t="s">
        <v>2683</v>
      </c>
      <c r="I42" s="7" t="s">
        <v>2685</v>
      </c>
      <c r="J42" s="5">
        <v>0</v>
      </c>
      <c r="K42" s="5">
        <v>0</v>
      </c>
      <c r="L42" s="5">
        <v>0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  <c r="Y42" s="5">
        <v>0</v>
      </c>
      <c r="Z42" s="5">
        <v>0</v>
      </c>
      <c r="AA42" s="5">
        <v>0</v>
      </c>
      <c r="AB42" s="5">
        <v>0</v>
      </c>
    </row>
    <row r="43" spans="1:28" ht="225" x14ac:dyDescent="0.25">
      <c r="A43" s="5">
        <v>85</v>
      </c>
      <c r="B43" s="5">
        <v>0.1085106382978723</v>
      </c>
      <c r="C43" s="5">
        <v>4.457831325301205E-2</v>
      </c>
      <c r="D43" s="5">
        <v>6.7000000000000004E-2</v>
      </c>
      <c r="E43" s="5">
        <v>1.066460587326121E-2</v>
      </c>
      <c r="F43" s="7" t="s">
        <v>175</v>
      </c>
      <c r="G43" s="7" t="s">
        <v>176</v>
      </c>
      <c r="H43" s="7" t="s">
        <v>2683</v>
      </c>
      <c r="I43" s="7" t="s">
        <v>2685</v>
      </c>
      <c r="J43" s="5">
        <v>0</v>
      </c>
      <c r="K43" s="5">
        <v>0</v>
      </c>
      <c r="L43" s="5">
        <v>0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</row>
    <row r="44" spans="1:28" ht="330" x14ac:dyDescent="0.25">
      <c r="A44" s="5">
        <v>86</v>
      </c>
      <c r="B44" s="5">
        <v>5.1063829787234047E-2</v>
      </c>
      <c r="C44" s="5">
        <v>1.6867469879518069E-2</v>
      </c>
      <c r="D44" s="5">
        <v>4.2000000000000003E-2</v>
      </c>
      <c r="E44" s="5">
        <v>4.0185471406491502E-3</v>
      </c>
      <c r="F44" s="7" t="s">
        <v>177</v>
      </c>
      <c r="G44" s="7" t="s">
        <v>178</v>
      </c>
      <c r="H44" s="7" t="s">
        <v>2683</v>
      </c>
      <c r="I44" s="7" t="s">
        <v>2685</v>
      </c>
      <c r="J44" s="5">
        <v>0</v>
      </c>
      <c r="K44" s="5">
        <v>0</v>
      </c>
      <c r="L44" s="5">
        <v>0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  <c r="Y44" s="5">
        <v>0</v>
      </c>
      <c r="Z44" s="5">
        <v>0</v>
      </c>
      <c r="AA44" s="5">
        <v>0</v>
      </c>
      <c r="AB44" s="5">
        <v>0</v>
      </c>
    </row>
    <row r="45" spans="1:28" ht="240" x14ac:dyDescent="0.25">
      <c r="A45" s="5">
        <v>87</v>
      </c>
      <c r="B45" s="5">
        <v>0.34680851063829787</v>
      </c>
      <c r="C45" s="5">
        <v>0.19277108433734941</v>
      </c>
      <c r="D45" s="5">
        <v>0.28599999999999998</v>
      </c>
      <c r="E45" s="5">
        <v>0</v>
      </c>
      <c r="F45" s="7" t="s">
        <v>179</v>
      </c>
      <c r="G45" s="7" t="s">
        <v>180</v>
      </c>
      <c r="H45" s="7" t="s">
        <v>2688</v>
      </c>
      <c r="I45" s="7" t="s">
        <v>2689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</row>
    <row r="46" spans="1:28" ht="120" x14ac:dyDescent="0.25">
      <c r="A46" s="5">
        <v>88</v>
      </c>
      <c r="B46" s="5">
        <v>0.32234042553191489</v>
      </c>
      <c r="C46" s="5">
        <v>0.136144578313253</v>
      </c>
      <c r="D46" s="5">
        <v>0.27</v>
      </c>
      <c r="E46" s="5">
        <v>5.7187017001545598E-3</v>
      </c>
      <c r="F46" s="7" t="s">
        <v>181</v>
      </c>
      <c r="G46" s="7" t="s">
        <v>182</v>
      </c>
      <c r="H46" s="7" t="s">
        <v>2688</v>
      </c>
      <c r="I46" s="7" t="s">
        <v>2689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1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</row>
    <row r="47" spans="1:28" ht="255" x14ac:dyDescent="0.25">
      <c r="A47" s="5">
        <v>96</v>
      </c>
      <c r="B47" s="5">
        <v>0.13936170212765961</v>
      </c>
      <c r="C47" s="5">
        <v>0.2433734939759036</v>
      </c>
      <c r="D47" s="5">
        <v>4.2999999999999997E-2</v>
      </c>
      <c r="E47" s="5">
        <v>4.3276661514683153E-3</v>
      </c>
      <c r="F47" s="7" t="s">
        <v>197</v>
      </c>
      <c r="G47" s="7" t="s">
        <v>198</v>
      </c>
      <c r="H47" s="7" t="s">
        <v>2688</v>
      </c>
      <c r="I47" s="7" t="s">
        <v>2689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</row>
    <row r="48" spans="1:28" ht="409.5" x14ac:dyDescent="0.25">
      <c r="A48" s="5">
        <v>97</v>
      </c>
      <c r="B48" s="5">
        <v>3.8297872340425532E-2</v>
      </c>
      <c r="C48" s="5">
        <v>4.8192771084337354E-3</v>
      </c>
      <c r="D48" s="5">
        <v>4.0000000000000001E-3</v>
      </c>
      <c r="E48" s="5">
        <v>1.360123647604328E-2</v>
      </c>
      <c r="F48" s="7" t="s">
        <v>199</v>
      </c>
      <c r="G48" s="7" t="s">
        <v>200</v>
      </c>
      <c r="H48" s="7" t="s">
        <v>2684</v>
      </c>
      <c r="I48" s="7" t="s">
        <v>2686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</row>
    <row r="49" spans="1:28" ht="150" x14ac:dyDescent="0.25">
      <c r="A49" s="5">
        <v>102</v>
      </c>
      <c r="B49" s="5">
        <v>5.8510638297872342E-2</v>
      </c>
      <c r="C49" s="5">
        <v>1.6867469879518069E-2</v>
      </c>
      <c r="D49" s="5">
        <v>2E-3</v>
      </c>
      <c r="E49" s="5">
        <v>1.9783616692426589E-2</v>
      </c>
      <c r="F49" s="7" t="s">
        <v>209</v>
      </c>
      <c r="G49" s="7" t="s">
        <v>210</v>
      </c>
      <c r="H49" s="7" t="s">
        <v>2684</v>
      </c>
      <c r="I49" s="7" t="s">
        <v>2690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1</v>
      </c>
    </row>
    <row r="50" spans="1:28" ht="135" x14ac:dyDescent="0.25">
      <c r="A50" s="5">
        <v>103</v>
      </c>
      <c r="B50" s="5">
        <v>0.1042553191489362</v>
      </c>
      <c r="C50" s="5">
        <v>1.9277108433734941E-2</v>
      </c>
      <c r="D50" s="5">
        <v>6.9999999999999993E-3</v>
      </c>
      <c r="E50" s="5">
        <v>3.2302936630602783E-2</v>
      </c>
      <c r="F50" s="7" t="s">
        <v>211</v>
      </c>
      <c r="G50" s="7" t="s">
        <v>212</v>
      </c>
      <c r="H50" s="7" t="s">
        <v>2688</v>
      </c>
      <c r="I50" s="7" t="s">
        <v>2690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1</v>
      </c>
    </row>
    <row r="51" spans="1:28" ht="240" x14ac:dyDescent="0.25">
      <c r="A51" s="5">
        <v>105</v>
      </c>
      <c r="B51" s="5">
        <v>0.37234042553191488</v>
      </c>
      <c r="C51" s="5">
        <v>3.2530120481927723E-2</v>
      </c>
      <c r="D51" s="5">
        <v>1.0999999999999999E-2</v>
      </c>
      <c r="E51" s="5">
        <v>0.12720247295208659</v>
      </c>
      <c r="F51" s="7" t="s">
        <v>215</v>
      </c>
      <c r="G51" s="7" t="s">
        <v>216</v>
      </c>
      <c r="H51" s="7" t="s">
        <v>2688</v>
      </c>
      <c r="I51" s="7" t="s">
        <v>2691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1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1</v>
      </c>
      <c r="Z51" s="5">
        <v>0</v>
      </c>
      <c r="AA51" s="5">
        <v>0</v>
      </c>
      <c r="AB51" s="5">
        <v>0</v>
      </c>
    </row>
    <row r="52" spans="1:28" ht="165" x14ac:dyDescent="0.25">
      <c r="A52" s="5">
        <v>106</v>
      </c>
      <c r="B52" s="5">
        <v>0.38723404255319149</v>
      </c>
      <c r="C52" s="5">
        <v>4.0963855421686748E-2</v>
      </c>
      <c r="D52" s="5">
        <v>6.9999999999999993E-3</v>
      </c>
      <c r="E52" s="5">
        <v>0.13338485316846979</v>
      </c>
      <c r="F52" s="7" t="s">
        <v>217</v>
      </c>
      <c r="G52" s="7" t="s">
        <v>218</v>
      </c>
      <c r="H52" s="7" t="s">
        <v>2688</v>
      </c>
      <c r="I52" s="7" t="s">
        <v>2691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1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1</v>
      </c>
      <c r="Z52" s="5">
        <v>0</v>
      </c>
      <c r="AA52" s="5">
        <v>0</v>
      </c>
      <c r="AB52" s="5">
        <v>0</v>
      </c>
    </row>
    <row r="53" spans="1:28" ht="225" x14ac:dyDescent="0.25">
      <c r="A53" s="5">
        <v>107</v>
      </c>
      <c r="B53" s="5">
        <v>0.38297872340425532</v>
      </c>
      <c r="C53" s="5">
        <v>8.1927710843373497E-2</v>
      </c>
      <c r="D53" s="5">
        <v>6.9999999999999993E-3</v>
      </c>
      <c r="E53" s="5">
        <v>0.1219474497681607</v>
      </c>
      <c r="F53" s="7" t="s">
        <v>219</v>
      </c>
      <c r="G53" s="7" t="s">
        <v>220</v>
      </c>
      <c r="H53" s="7" t="s">
        <v>2688</v>
      </c>
      <c r="I53" s="7" t="s">
        <v>2691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1</v>
      </c>
      <c r="Z53" s="5">
        <v>0</v>
      </c>
      <c r="AA53" s="5">
        <v>0</v>
      </c>
      <c r="AB53" s="5">
        <v>0</v>
      </c>
    </row>
    <row r="54" spans="1:28" ht="150" x14ac:dyDescent="0.25">
      <c r="A54" s="5">
        <v>108</v>
      </c>
      <c r="B54" s="5">
        <v>0.1893617021276596</v>
      </c>
      <c r="C54" s="5">
        <v>2.5301204819277109E-2</v>
      </c>
      <c r="D54" s="5">
        <v>1E-3</v>
      </c>
      <c r="E54" s="5">
        <v>6.2751159196290568E-2</v>
      </c>
      <c r="F54" s="7" t="s">
        <v>221</v>
      </c>
      <c r="G54" s="7" t="s">
        <v>222</v>
      </c>
      <c r="H54" s="7" t="s">
        <v>2683</v>
      </c>
      <c r="I54" s="7" t="s">
        <v>2691</v>
      </c>
      <c r="J54" s="5">
        <v>0</v>
      </c>
      <c r="K54" s="5">
        <v>0</v>
      </c>
      <c r="L54" s="5">
        <v>0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1</v>
      </c>
      <c r="Z54" s="5">
        <v>0</v>
      </c>
      <c r="AA54" s="5">
        <v>0</v>
      </c>
      <c r="AB54" s="5">
        <v>0</v>
      </c>
    </row>
    <row r="55" spans="1:28" ht="135" x14ac:dyDescent="0.25">
      <c r="A55" s="5">
        <v>109</v>
      </c>
      <c r="B55" s="5">
        <v>0.37978723404255321</v>
      </c>
      <c r="C55" s="5">
        <v>0.10120481927710839</v>
      </c>
      <c r="D55" s="5">
        <v>1.7000000000000001E-2</v>
      </c>
      <c r="E55" s="5">
        <v>0.11916537867078821</v>
      </c>
      <c r="F55" s="7" t="s">
        <v>223</v>
      </c>
      <c r="G55" s="7" t="s">
        <v>224</v>
      </c>
      <c r="H55" s="7" t="s">
        <v>2688</v>
      </c>
      <c r="I55" s="7" t="s">
        <v>2691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1</v>
      </c>
      <c r="Z55" s="5">
        <v>0</v>
      </c>
      <c r="AA55" s="5">
        <v>0</v>
      </c>
      <c r="AB55" s="5">
        <v>0</v>
      </c>
    </row>
    <row r="56" spans="1:28" ht="210" x14ac:dyDescent="0.25">
      <c r="A56" s="5">
        <v>110</v>
      </c>
      <c r="B56" s="5">
        <v>0.39255319148936169</v>
      </c>
      <c r="C56" s="5">
        <v>0.1144578313253012</v>
      </c>
      <c r="D56" s="5">
        <v>1.4E-2</v>
      </c>
      <c r="E56" s="5">
        <v>0.11916537867078821</v>
      </c>
      <c r="F56" s="7" t="s">
        <v>225</v>
      </c>
      <c r="G56" s="7" t="s">
        <v>226</v>
      </c>
      <c r="H56" s="7" t="s">
        <v>2688</v>
      </c>
      <c r="I56" s="7" t="s">
        <v>2691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1</v>
      </c>
      <c r="Z56" s="5">
        <v>0</v>
      </c>
      <c r="AA56" s="5">
        <v>0</v>
      </c>
      <c r="AB56" s="5">
        <v>0</v>
      </c>
    </row>
    <row r="57" spans="1:28" ht="135" x14ac:dyDescent="0.25">
      <c r="A57" s="5">
        <v>111</v>
      </c>
      <c r="B57" s="5">
        <v>0.37978723404255321</v>
      </c>
      <c r="C57" s="5">
        <v>0.10120481927710839</v>
      </c>
      <c r="D57" s="5">
        <v>1.7000000000000001E-2</v>
      </c>
      <c r="E57" s="5">
        <v>0.11916537867078821</v>
      </c>
      <c r="F57" s="7" t="s">
        <v>227</v>
      </c>
      <c r="G57" s="7" t="s">
        <v>228</v>
      </c>
      <c r="H57" s="7" t="s">
        <v>2688</v>
      </c>
      <c r="I57" s="7" t="s">
        <v>2691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1</v>
      </c>
      <c r="Z57" s="5">
        <v>0</v>
      </c>
      <c r="AA57" s="5">
        <v>0</v>
      </c>
      <c r="AB57" s="5">
        <v>0</v>
      </c>
    </row>
    <row r="58" spans="1:28" ht="120" x14ac:dyDescent="0.25">
      <c r="A58" s="5">
        <v>112</v>
      </c>
      <c r="B58" s="5">
        <v>0.37340425531914889</v>
      </c>
      <c r="C58" s="5">
        <v>9.6385542168674704E-2</v>
      </c>
      <c r="D58" s="5">
        <v>1.2999999999999999E-2</v>
      </c>
      <c r="E58" s="5">
        <v>0.1188562596599691</v>
      </c>
      <c r="F58" s="7" t="s">
        <v>229</v>
      </c>
      <c r="G58" s="7" t="s">
        <v>230</v>
      </c>
      <c r="H58" s="7" t="s">
        <v>2688</v>
      </c>
      <c r="I58" s="7" t="s">
        <v>2691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1</v>
      </c>
      <c r="Z58" s="5">
        <v>0</v>
      </c>
      <c r="AA58" s="5">
        <v>0</v>
      </c>
      <c r="AB58" s="5">
        <v>0</v>
      </c>
    </row>
    <row r="59" spans="1:28" ht="195" x14ac:dyDescent="0.25">
      <c r="A59" s="5">
        <v>113</v>
      </c>
      <c r="B59" s="5">
        <v>0.38085106382978717</v>
      </c>
      <c r="C59" s="5">
        <v>6.6265060240963861E-2</v>
      </c>
      <c r="D59" s="5">
        <v>1E-3</v>
      </c>
      <c r="E59" s="5">
        <v>0.12782071097372491</v>
      </c>
      <c r="F59" s="7" t="s">
        <v>231</v>
      </c>
      <c r="G59" s="7" t="s">
        <v>232</v>
      </c>
      <c r="H59" s="7" t="s">
        <v>2688</v>
      </c>
      <c r="I59" s="7" t="s">
        <v>2691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1</v>
      </c>
      <c r="Z59" s="5">
        <v>0</v>
      </c>
      <c r="AA59" s="5">
        <v>0</v>
      </c>
      <c r="AB59" s="5">
        <v>0</v>
      </c>
    </row>
    <row r="60" spans="1:28" ht="225" x14ac:dyDescent="0.25">
      <c r="A60" s="5">
        <v>114</v>
      </c>
      <c r="B60" s="5">
        <v>0.32659574468085112</v>
      </c>
      <c r="C60" s="5">
        <v>5.7831325301204821E-2</v>
      </c>
      <c r="D60" s="5">
        <v>1E-3</v>
      </c>
      <c r="E60" s="5">
        <v>0.1109737248840804</v>
      </c>
      <c r="F60" s="7" t="s">
        <v>233</v>
      </c>
      <c r="G60" s="7" t="s">
        <v>234</v>
      </c>
      <c r="H60" s="7" t="s">
        <v>2688</v>
      </c>
      <c r="I60" s="7" t="s">
        <v>2691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1</v>
      </c>
      <c r="Z60" s="5">
        <v>0</v>
      </c>
      <c r="AA60" s="5">
        <v>0</v>
      </c>
      <c r="AB60" s="5">
        <v>0</v>
      </c>
    </row>
    <row r="61" spans="1:28" ht="165" x14ac:dyDescent="0.25">
      <c r="A61" s="5">
        <v>115</v>
      </c>
      <c r="B61" s="5">
        <v>0.37872340425531908</v>
      </c>
      <c r="C61" s="5">
        <v>8.4337349397590369E-2</v>
      </c>
      <c r="D61" s="5">
        <v>6.9999999999999993E-3</v>
      </c>
      <c r="E61" s="5">
        <v>0.12055641421947449</v>
      </c>
      <c r="F61" s="7" t="s">
        <v>235</v>
      </c>
      <c r="G61" s="7" t="s">
        <v>236</v>
      </c>
      <c r="H61" s="7" t="s">
        <v>2683</v>
      </c>
      <c r="I61" s="7" t="s">
        <v>2691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1</v>
      </c>
      <c r="Z61" s="5">
        <v>0</v>
      </c>
      <c r="AA61" s="5">
        <v>0</v>
      </c>
      <c r="AB61" s="5">
        <v>0</v>
      </c>
    </row>
    <row r="62" spans="1:28" ht="225" x14ac:dyDescent="0.25">
      <c r="A62" s="5">
        <v>117</v>
      </c>
      <c r="B62" s="5">
        <v>0.1765957446808511</v>
      </c>
      <c r="C62" s="5">
        <v>4.5783132530120479E-2</v>
      </c>
      <c r="D62" s="5">
        <v>0.01</v>
      </c>
      <c r="E62" s="5">
        <v>5.316846986089644E-2</v>
      </c>
      <c r="F62" s="7" t="s">
        <v>239</v>
      </c>
      <c r="G62" s="7" t="s">
        <v>240</v>
      </c>
      <c r="H62" s="7" t="s">
        <v>2683</v>
      </c>
      <c r="I62" s="7" t="s">
        <v>2691</v>
      </c>
      <c r="J62" s="5">
        <v>0</v>
      </c>
      <c r="K62" s="5">
        <v>0</v>
      </c>
      <c r="L62" s="5">
        <v>0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1</v>
      </c>
      <c r="Z62" s="5">
        <v>0</v>
      </c>
      <c r="AA62" s="5">
        <v>0</v>
      </c>
      <c r="AB62" s="5">
        <v>0</v>
      </c>
    </row>
    <row r="63" spans="1:28" ht="165" x14ac:dyDescent="0.25">
      <c r="A63" s="5">
        <v>118</v>
      </c>
      <c r="B63" s="5">
        <v>0.38297872340425532</v>
      </c>
      <c r="C63" s="5">
        <v>9.6385542168674704E-2</v>
      </c>
      <c r="D63" s="5">
        <v>2.3E-2</v>
      </c>
      <c r="E63" s="5">
        <v>0.1151468315301391</v>
      </c>
      <c r="F63" s="7" t="s">
        <v>241</v>
      </c>
      <c r="G63" s="7" t="s">
        <v>242</v>
      </c>
      <c r="H63" s="7" t="s">
        <v>2683</v>
      </c>
      <c r="I63" s="7" t="s">
        <v>2691</v>
      </c>
      <c r="J63" s="5">
        <v>0</v>
      </c>
      <c r="K63" s="5">
        <v>0</v>
      </c>
      <c r="L63" s="5">
        <v>0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1</v>
      </c>
      <c r="Z63" s="5">
        <v>0</v>
      </c>
      <c r="AA63" s="5">
        <v>0</v>
      </c>
      <c r="AB63" s="5">
        <v>0</v>
      </c>
    </row>
    <row r="64" spans="1:28" ht="165" x14ac:dyDescent="0.25">
      <c r="A64" s="5">
        <v>119</v>
      </c>
      <c r="B64" s="5">
        <v>0.38297872340425532</v>
      </c>
      <c r="C64" s="5">
        <v>9.6385542168674704E-2</v>
      </c>
      <c r="D64" s="5">
        <v>2.3E-2</v>
      </c>
      <c r="E64" s="5">
        <v>0.1151468315301391</v>
      </c>
      <c r="F64" s="7" t="s">
        <v>243</v>
      </c>
      <c r="G64" s="7" t="s">
        <v>236</v>
      </c>
      <c r="H64" s="7" t="s">
        <v>2683</v>
      </c>
      <c r="I64" s="7" t="s">
        <v>2691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1</v>
      </c>
      <c r="Z64" s="5">
        <v>0</v>
      </c>
      <c r="AA64" s="5">
        <v>0</v>
      </c>
      <c r="AB64" s="5">
        <v>0</v>
      </c>
    </row>
    <row r="65" spans="1:28" ht="409.5" x14ac:dyDescent="0.25">
      <c r="A65" s="5">
        <v>120</v>
      </c>
      <c r="B65" s="5">
        <v>0.3851063829787234</v>
      </c>
      <c r="C65" s="5">
        <v>8.0722891566265068E-2</v>
      </c>
      <c r="D65" s="5">
        <v>6.9999999999999993E-3</v>
      </c>
      <c r="E65" s="5">
        <v>0.1227202472952087</v>
      </c>
      <c r="F65" s="7" t="s">
        <v>244</v>
      </c>
      <c r="G65" s="7" t="s">
        <v>245</v>
      </c>
      <c r="H65" s="7" t="s">
        <v>2683</v>
      </c>
      <c r="I65" s="7" t="s">
        <v>2691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1</v>
      </c>
      <c r="Z65" s="5">
        <v>0</v>
      </c>
      <c r="AA65" s="5">
        <v>0</v>
      </c>
      <c r="AB65" s="5">
        <v>0</v>
      </c>
    </row>
    <row r="66" spans="1:28" ht="195" x14ac:dyDescent="0.25">
      <c r="A66" s="5">
        <v>122</v>
      </c>
      <c r="B66" s="5">
        <v>0.18297872340425531</v>
      </c>
      <c r="C66" s="5">
        <v>3.6144578313253017E-2</v>
      </c>
      <c r="D66" s="5">
        <v>5.0000000000000001E-3</v>
      </c>
      <c r="E66" s="5">
        <v>5.7959814528593508E-2</v>
      </c>
      <c r="F66" s="7" t="s">
        <v>248</v>
      </c>
      <c r="G66" s="7" t="s">
        <v>249</v>
      </c>
      <c r="H66" s="7" t="s">
        <v>2683</v>
      </c>
      <c r="I66" s="7" t="s">
        <v>2691</v>
      </c>
      <c r="J66" s="5">
        <v>0</v>
      </c>
      <c r="K66" s="5">
        <v>0</v>
      </c>
      <c r="L66" s="5">
        <v>0</v>
      </c>
      <c r="M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1</v>
      </c>
      <c r="Z66" s="5">
        <v>0</v>
      </c>
      <c r="AA66" s="5">
        <v>0</v>
      </c>
      <c r="AB66" s="5">
        <v>0</v>
      </c>
    </row>
    <row r="67" spans="1:28" ht="225" x14ac:dyDescent="0.25">
      <c r="A67" s="5">
        <v>123</v>
      </c>
      <c r="B67" s="5">
        <v>0.38404255319148939</v>
      </c>
      <c r="C67" s="5">
        <v>8.91566265060241E-2</v>
      </c>
      <c r="D67" s="5">
        <v>8.0000000000000002E-3</v>
      </c>
      <c r="E67" s="5">
        <v>0.1211746522411128</v>
      </c>
      <c r="F67" s="7" t="s">
        <v>250</v>
      </c>
      <c r="G67" s="7" t="s">
        <v>251</v>
      </c>
      <c r="H67" s="7" t="s">
        <v>2683</v>
      </c>
      <c r="I67" s="7" t="s">
        <v>2691</v>
      </c>
      <c r="J67" s="5">
        <v>0</v>
      </c>
      <c r="K67" s="5">
        <v>0</v>
      </c>
      <c r="L67" s="5">
        <v>0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1</v>
      </c>
      <c r="Z67" s="5">
        <v>0</v>
      </c>
      <c r="AA67" s="5">
        <v>0</v>
      </c>
      <c r="AB67" s="5">
        <v>0</v>
      </c>
    </row>
    <row r="68" spans="1:28" ht="105" x14ac:dyDescent="0.25">
      <c r="A68" s="5">
        <v>124</v>
      </c>
      <c r="B68" s="5">
        <v>0.38404255319148939</v>
      </c>
      <c r="C68" s="5">
        <v>8.91566265060241E-2</v>
      </c>
      <c r="D68" s="5">
        <v>8.0000000000000002E-3</v>
      </c>
      <c r="E68" s="5">
        <v>0.1211746522411128</v>
      </c>
      <c r="F68" s="7" t="s">
        <v>252</v>
      </c>
      <c r="G68" s="7" t="s">
        <v>253</v>
      </c>
      <c r="H68" s="7" t="s">
        <v>2683</v>
      </c>
      <c r="I68" s="7" t="s">
        <v>2691</v>
      </c>
      <c r="J68" s="5">
        <v>0</v>
      </c>
      <c r="K68" s="5">
        <v>0</v>
      </c>
      <c r="L68" s="5">
        <v>0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1</v>
      </c>
      <c r="Z68" s="5">
        <v>0</v>
      </c>
      <c r="AA68" s="5">
        <v>0</v>
      </c>
      <c r="AB68" s="5">
        <v>0</v>
      </c>
    </row>
    <row r="69" spans="1:28" ht="120" x14ac:dyDescent="0.25">
      <c r="A69" s="5">
        <v>125</v>
      </c>
      <c r="B69" s="5">
        <v>0.4</v>
      </c>
      <c r="C69" s="5">
        <v>9.036144578313253E-2</v>
      </c>
      <c r="D69" s="5">
        <v>3.7999999999999999E-2</v>
      </c>
      <c r="E69" s="5">
        <v>0.12055641421947449</v>
      </c>
      <c r="F69" s="7" t="s">
        <v>254</v>
      </c>
      <c r="G69" s="7" t="s">
        <v>255</v>
      </c>
      <c r="H69" s="7" t="s">
        <v>2688</v>
      </c>
      <c r="I69" s="7" t="s">
        <v>2692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1</v>
      </c>
      <c r="P69" s="5">
        <v>0</v>
      </c>
      <c r="Q69" s="5">
        <v>0</v>
      </c>
      <c r="R69" s="5">
        <v>1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</row>
    <row r="70" spans="1:28" ht="135" x14ac:dyDescent="0.25">
      <c r="A70" s="5">
        <v>126</v>
      </c>
      <c r="B70" s="5">
        <v>0.36063829787234042</v>
      </c>
      <c r="C70" s="5">
        <v>9.2771084337349402E-2</v>
      </c>
      <c r="D70" s="5">
        <v>4.3999999999999997E-2</v>
      </c>
      <c r="E70" s="5">
        <v>0.1128284389489954</v>
      </c>
      <c r="F70" s="7" t="s">
        <v>256</v>
      </c>
      <c r="G70" s="7" t="s">
        <v>257</v>
      </c>
      <c r="H70" s="7" t="s">
        <v>2688</v>
      </c>
      <c r="I70" s="7" t="s">
        <v>2691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1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1</v>
      </c>
      <c r="Z70" s="5">
        <v>0</v>
      </c>
      <c r="AA70" s="5">
        <v>0</v>
      </c>
      <c r="AB70" s="5">
        <v>0</v>
      </c>
    </row>
    <row r="71" spans="1:28" ht="120" x14ac:dyDescent="0.25">
      <c r="A71" s="5">
        <v>127</v>
      </c>
      <c r="B71" s="5">
        <v>0.3851063829787234</v>
      </c>
      <c r="C71" s="5">
        <v>9.2771084337349402E-2</v>
      </c>
      <c r="D71" s="5">
        <v>4.3999999999999997E-2</v>
      </c>
      <c r="E71" s="5">
        <v>0.1128284389489954</v>
      </c>
      <c r="F71" s="7" t="s">
        <v>258</v>
      </c>
      <c r="G71" s="7" t="s">
        <v>259</v>
      </c>
      <c r="H71" s="7" t="s">
        <v>2688</v>
      </c>
      <c r="I71" s="7" t="s">
        <v>2691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1</v>
      </c>
      <c r="Z71" s="5">
        <v>0</v>
      </c>
      <c r="AA71" s="5">
        <v>0</v>
      </c>
      <c r="AB71" s="5">
        <v>0</v>
      </c>
    </row>
    <row r="72" spans="1:28" ht="225" x14ac:dyDescent="0.25">
      <c r="A72" s="5">
        <v>128</v>
      </c>
      <c r="B72" s="5">
        <v>0.3819148936170213</v>
      </c>
      <c r="C72" s="5">
        <v>9.036144578313253E-2</v>
      </c>
      <c r="D72" s="5">
        <v>9.0000000000000011E-3</v>
      </c>
      <c r="E72" s="5">
        <v>0.1199381761978362</v>
      </c>
      <c r="F72" s="7" t="s">
        <v>260</v>
      </c>
      <c r="G72" s="7" t="s">
        <v>261</v>
      </c>
      <c r="H72" s="7" t="s">
        <v>2688</v>
      </c>
      <c r="I72" s="7" t="s">
        <v>2691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1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1</v>
      </c>
      <c r="Z72" s="5">
        <v>0</v>
      </c>
      <c r="AA72" s="5">
        <v>0</v>
      </c>
      <c r="AB72" s="5">
        <v>0</v>
      </c>
    </row>
    <row r="73" spans="1:28" ht="120" x14ac:dyDescent="0.25">
      <c r="A73" s="5">
        <v>129</v>
      </c>
      <c r="B73" s="5">
        <v>0.38723404255319149</v>
      </c>
      <c r="C73" s="5">
        <v>8.1927710843373497E-2</v>
      </c>
      <c r="D73" s="5">
        <v>6.0000000000000001E-3</v>
      </c>
      <c r="E73" s="5">
        <v>0.1238021638330757</v>
      </c>
      <c r="F73" s="7" t="s">
        <v>262</v>
      </c>
      <c r="G73" s="7" t="s">
        <v>263</v>
      </c>
      <c r="H73" s="7" t="s">
        <v>2688</v>
      </c>
      <c r="I73" s="7" t="s">
        <v>2691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1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1</v>
      </c>
      <c r="Z73" s="5">
        <v>0</v>
      </c>
      <c r="AA73" s="5">
        <v>0</v>
      </c>
      <c r="AB73" s="5">
        <v>0</v>
      </c>
    </row>
    <row r="74" spans="1:28" ht="315" x14ac:dyDescent="0.25">
      <c r="A74" s="5">
        <v>130</v>
      </c>
      <c r="B74" s="5">
        <v>0.37553191489361698</v>
      </c>
      <c r="C74" s="5">
        <v>8.1927710843373497E-2</v>
      </c>
      <c r="D74" s="5">
        <v>6.0000000000000001E-3</v>
      </c>
      <c r="E74" s="5">
        <v>0.12364760432766619</v>
      </c>
      <c r="F74" s="7" t="s">
        <v>264</v>
      </c>
      <c r="G74" s="7" t="s">
        <v>265</v>
      </c>
      <c r="H74" s="7" t="s">
        <v>2688</v>
      </c>
      <c r="I74" s="7" t="s">
        <v>2691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1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1</v>
      </c>
      <c r="Z74" s="5">
        <v>0</v>
      </c>
      <c r="AA74" s="5">
        <v>0</v>
      </c>
      <c r="AB74" s="5">
        <v>0</v>
      </c>
    </row>
    <row r="75" spans="1:28" ht="180" x14ac:dyDescent="0.25">
      <c r="A75" s="5">
        <v>131</v>
      </c>
      <c r="B75" s="5">
        <v>0.35638297872340419</v>
      </c>
      <c r="C75" s="5">
        <v>8.91566265060241E-2</v>
      </c>
      <c r="D75" s="5">
        <v>1.9E-2</v>
      </c>
      <c r="E75" s="5">
        <v>0.117774343122102</v>
      </c>
      <c r="F75" s="7" t="s">
        <v>266</v>
      </c>
      <c r="G75" s="7" t="s">
        <v>267</v>
      </c>
      <c r="H75" s="7" t="s">
        <v>2688</v>
      </c>
      <c r="I75" s="7" t="s">
        <v>2691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1</v>
      </c>
      <c r="Z75" s="5">
        <v>0</v>
      </c>
      <c r="AA75" s="5">
        <v>0</v>
      </c>
      <c r="AB75" s="5">
        <v>0</v>
      </c>
    </row>
    <row r="76" spans="1:28" ht="360" x14ac:dyDescent="0.25">
      <c r="A76" s="5">
        <v>132</v>
      </c>
      <c r="B76" s="5">
        <v>0.38617021276595748</v>
      </c>
      <c r="C76" s="5">
        <v>9.1566265060240959E-2</v>
      </c>
      <c r="D76" s="5">
        <v>1.0999999999999999E-2</v>
      </c>
      <c r="E76" s="5">
        <v>0.1210200927357032</v>
      </c>
      <c r="F76" s="7" t="s">
        <v>268</v>
      </c>
      <c r="G76" s="7" t="s">
        <v>269</v>
      </c>
      <c r="H76" s="7" t="s">
        <v>2688</v>
      </c>
      <c r="I76" s="7" t="s">
        <v>2691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1</v>
      </c>
      <c r="Z76" s="5">
        <v>0</v>
      </c>
      <c r="AA76" s="5">
        <v>0</v>
      </c>
      <c r="AB76" s="5">
        <v>0</v>
      </c>
    </row>
    <row r="77" spans="1:28" ht="210" x14ac:dyDescent="0.25">
      <c r="A77" s="5">
        <v>133</v>
      </c>
      <c r="B77" s="5">
        <v>0.36595744680851072</v>
      </c>
      <c r="C77" s="5">
        <v>1.3253012048192771E-2</v>
      </c>
      <c r="D77" s="5">
        <v>2E-3</v>
      </c>
      <c r="E77" s="5">
        <v>4.3740340030911901E-2</v>
      </c>
      <c r="F77" s="7" t="s">
        <v>270</v>
      </c>
      <c r="G77" s="7" t="s">
        <v>271</v>
      </c>
      <c r="H77" s="7" t="s">
        <v>2688</v>
      </c>
      <c r="I77" s="7" t="s">
        <v>2691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1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1</v>
      </c>
      <c r="Z77" s="5">
        <v>0</v>
      </c>
      <c r="AA77" s="5">
        <v>0</v>
      </c>
      <c r="AB77" s="5">
        <v>0</v>
      </c>
    </row>
    <row r="78" spans="1:28" ht="120" x14ac:dyDescent="0.25">
      <c r="A78" s="5">
        <v>134</v>
      </c>
      <c r="B78" s="5">
        <v>0.37659574468085111</v>
      </c>
      <c r="C78" s="5">
        <v>9.3975903614457831E-2</v>
      </c>
      <c r="D78" s="5">
        <v>4.0000000000000001E-3</v>
      </c>
      <c r="E78" s="5">
        <v>0.12349304482225661</v>
      </c>
      <c r="F78" s="7" t="s">
        <v>272</v>
      </c>
      <c r="G78" s="7" t="s">
        <v>273</v>
      </c>
      <c r="H78" s="7" t="s">
        <v>2688</v>
      </c>
      <c r="I78" s="7" t="s">
        <v>2691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1</v>
      </c>
      <c r="Z78" s="5">
        <v>0</v>
      </c>
      <c r="AA78" s="5">
        <v>0</v>
      </c>
      <c r="AB78" s="5">
        <v>0</v>
      </c>
    </row>
    <row r="79" spans="1:28" ht="255" x14ac:dyDescent="0.25">
      <c r="A79" s="5">
        <v>135</v>
      </c>
      <c r="B79" s="5">
        <v>0.37446808510638302</v>
      </c>
      <c r="C79" s="5">
        <v>8.7951807228915671E-2</v>
      </c>
      <c r="D79" s="5">
        <v>9.0000000000000011E-3</v>
      </c>
      <c r="E79" s="5">
        <v>0.117774343122102</v>
      </c>
      <c r="F79" s="7" t="s">
        <v>274</v>
      </c>
      <c r="G79" s="7" t="s">
        <v>275</v>
      </c>
      <c r="H79" s="7" t="s">
        <v>2688</v>
      </c>
      <c r="I79" s="7" t="s">
        <v>2691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1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1</v>
      </c>
      <c r="Z79" s="5">
        <v>0</v>
      </c>
      <c r="AA79" s="5">
        <v>0</v>
      </c>
      <c r="AB79" s="5">
        <v>0</v>
      </c>
    </row>
    <row r="80" spans="1:28" ht="150" x14ac:dyDescent="0.25">
      <c r="A80" s="5">
        <v>137</v>
      </c>
      <c r="B80" s="5">
        <v>0.38297872340425532</v>
      </c>
      <c r="C80" s="5">
        <v>5.6626506024096392E-2</v>
      </c>
      <c r="D80" s="5">
        <v>1E-3</v>
      </c>
      <c r="E80" s="5">
        <v>0.12689335394126741</v>
      </c>
      <c r="F80" s="7" t="s">
        <v>278</v>
      </c>
      <c r="G80" s="7" t="s">
        <v>279</v>
      </c>
      <c r="H80" s="7" t="s">
        <v>2683</v>
      </c>
      <c r="I80" s="7" t="s">
        <v>2691</v>
      </c>
      <c r="J80" s="5">
        <v>0</v>
      </c>
      <c r="K80" s="5">
        <v>0</v>
      </c>
      <c r="L80" s="5">
        <v>0</v>
      </c>
      <c r="M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1</v>
      </c>
      <c r="Z80" s="5">
        <v>0</v>
      </c>
      <c r="AA80" s="5">
        <v>0</v>
      </c>
      <c r="AB80" s="5">
        <v>0</v>
      </c>
    </row>
    <row r="81" spans="1:28" ht="195" x14ac:dyDescent="0.25">
      <c r="A81" s="5">
        <v>140</v>
      </c>
      <c r="B81" s="5">
        <v>0.37659574468085111</v>
      </c>
      <c r="C81" s="5">
        <v>6.024096385542169E-3</v>
      </c>
      <c r="D81" s="5">
        <v>3.0000000000000001E-3</v>
      </c>
      <c r="E81" s="5">
        <v>0.1350850077279753</v>
      </c>
      <c r="F81" s="7" t="s">
        <v>284</v>
      </c>
      <c r="G81" s="7" t="s">
        <v>285</v>
      </c>
      <c r="H81" s="7" t="s">
        <v>2683</v>
      </c>
      <c r="I81" s="7" t="s">
        <v>2691</v>
      </c>
      <c r="J81" s="5">
        <v>0</v>
      </c>
      <c r="K81" s="5">
        <v>0</v>
      </c>
      <c r="L81" s="5">
        <v>0</v>
      </c>
      <c r="M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1</v>
      </c>
      <c r="Z81" s="5">
        <v>0</v>
      </c>
      <c r="AA81" s="5">
        <v>0</v>
      </c>
      <c r="AB81" s="5">
        <v>0</v>
      </c>
    </row>
    <row r="82" spans="1:28" ht="240" x14ac:dyDescent="0.25">
      <c r="A82" s="5">
        <v>141</v>
      </c>
      <c r="B82" s="5">
        <v>0.37021276595744679</v>
      </c>
      <c r="C82" s="5">
        <v>5.6626506024096392E-2</v>
      </c>
      <c r="D82" s="5">
        <v>1E-3</v>
      </c>
      <c r="E82" s="5">
        <v>0.12689335394126741</v>
      </c>
      <c r="F82" s="7" t="s">
        <v>286</v>
      </c>
      <c r="G82" s="7" t="s">
        <v>287</v>
      </c>
      <c r="H82" s="7" t="s">
        <v>2683</v>
      </c>
      <c r="I82" s="7" t="s">
        <v>2691</v>
      </c>
      <c r="J82" s="5">
        <v>0</v>
      </c>
      <c r="K82" s="5">
        <v>0</v>
      </c>
      <c r="L82" s="5">
        <v>0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1</v>
      </c>
      <c r="Z82" s="5">
        <v>0</v>
      </c>
      <c r="AA82" s="5">
        <v>0</v>
      </c>
      <c r="AB82" s="5">
        <v>0</v>
      </c>
    </row>
    <row r="83" spans="1:28" ht="285" x14ac:dyDescent="0.25">
      <c r="A83" s="5">
        <v>142</v>
      </c>
      <c r="B83" s="5">
        <v>0.59787234042553195</v>
      </c>
      <c r="C83" s="5">
        <v>0.25542168674698801</v>
      </c>
      <c r="D83" s="5">
        <v>0.49600000000000011</v>
      </c>
      <c r="E83" s="5">
        <v>3.6476043276661513E-2</v>
      </c>
      <c r="F83" s="7" t="s">
        <v>288</v>
      </c>
      <c r="G83" s="7" t="s">
        <v>289</v>
      </c>
      <c r="H83" s="7" t="s">
        <v>2688</v>
      </c>
      <c r="I83" s="7" t="s">
        <v>2690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1</v>
      </c>
    </row>
    <row r="84" spans="1:28" ht="240" x14ac:dyDescent="0.25">
      <c r="A84" s="5">
        <v>144</v>
      </c>
      <c r="B84" s="5">
        <v>0.27872340425531922</v>
      </c>
      <c r="C84" s="5">
        <v>2.7710843373493971E-2</v>
      </c>
      <c r="D84" s="5">
        <v>5.4000000000000013E-2</v>
      </c>
      <c r="E84" s="5">
        <v>7.8979907264296753E-2</v>
      </c>
      <c r="F84" s="7" t="s">
        <v>292</v>
      </c>
      <c r="G84" s="7" t="s">
        <v>293</v>
      </c>
      <c r="H84" s="7" t="s">
        <v>2683</v>
      </c>
      <c r="I84" s="7" t="s">
        <v>2690</v>
      </c>
      <c r="J84" s="5">
        <v>0</v>
      </c>
      <c r="K84" s="5">
        <v>0</v>
      </c>
      <c r="L84" s="5">
        <v>0</v>
      </c>
      <c r="M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1</v>
      </c>
    </row>
    <row r="85" spans="1:28" ht="150" x14ac:dyDescent="0.25">
      <c r="A85" s="5">
        <v>145</v>
      </c>
      <c r="B85" s="5">
        <v>0.2117021276595745</v>
      </c>
      <c r="C85" s="5">
        <v>2.5301204819277109E-2</v>
      </c>
      <c r="D85" s="5">
        <v>1.4999999999999999E-2</v>
      </c>
      <c r="E85" s="5">
        <v>6.8624420401854708E-2</v>
      </c>
      <c r="F85" s="7" t="s">
        <v>294</v>
      </c>
      <c r="G85" s="7" t="s">
        <v>295</v>
      </c>
      <c r="H85" s="7" t="s">
        <v>2683</v>
      </c>
      <c r="I85" s="7" t="s">
        <v>2691</v>
      </c>
      <c r="J85" s="5">
        <v>0</v>
      </c>
      <c r="K85" s="5">
        <v>0</v>
      </c>
      <c r="L85" s="5">
        <v>0</v>
      </c>
      <c r="M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1</v>
      </c>
      <c r="Z85" s="5">
        <v>0</v>
      </c>
      <c r="AA85" s="5">
        <v>0</v>
      </c>
      <c r="AB85" s="5">
        <v>0</v>
      </c>
    </row>
    <row r="86" spans="1:28" ht="180" x14ac:dyDescent="0.25">
      <c r="A86" s="5">
        <v>146</v>
      </c>
      <c r="B86" s="5">
        <v>0.24010638297872339</v>
      </c>
      <c r="C86" s="5">
        <v>3.6144578313253017E-2</v>
      </c>
      <c r="D86" s="5">
        <v>3.0000000000000001E-3</v>
      </c>
      <c r="E86" s="5">
        <v>8.1761978361669235E-2</v>
      </c>
      <c r="F86" s="7" t="s">
        <v>296</v>
      </c>
      <c r="G86" s="7" t="s">
        <v>297</v>
      </c>
      <c r="H86" s="7" t="s">
        <v>2683</v>
      </c>
      <c r="I86" s="7" t="s">
        <v>2691</v>
      </c>
      <c r="J86" s="5">
        <v>0</v>
      </c>
      <c r="K86" s="5">
        <v>0</v>
      </c>
      <c r="L86" s="5">
        <v>0</v>
      </c>
      <c r="M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1</v>
      </c>
      <c r="Z86" s="5">
        <v>0</v>
      </c>
      <c r="AA86" s="5">
        <v>0</v>
      </c>
      <c r="AB86" s="5">
        <v>0</v>
      </c>
    </row>
    <row r="87" spans="1:28" ht="255" x14ac:dyDescent="0.25">
      <c r="A87" s="5">
        <v>148</v>
      </c>
      <c r="B87" s="5">
        <v>0.48723404255319153</v>
      </c>
      <c r="C87" s="5">
        <v>8.313253012048194E-2</v>
      </c>
      <c r="D87" s="5">
        <v>0.14399999999999999</v>
      </c>
      <c r="E87" s="5">
        <v>0.1160741885625966</v>
      </c>
      <c r="F87" s="7" t="s">
        <v>300</v>
      </c>
      <c r="G87" s="7" t="s">
        <v>301</v>
      </c>
      <c r="H87" s="7" t="s">
        <v>2684</v>
      </c>
      <c r="I87" s="7" t="s">
        <v>2691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1</v>
      </c>
      <c r="Z87" s="5">
        <v>0</v>
      </c>
      <c r="AA87" s="5">
        <v>0</v>
      </c>
      <c r="AB87" s="5">
        <v>0</v>
      </c>
    </row>
    <row r="88" spans="1:28" ht="180" x14ac:dyDescent="0.25">
      <c r="A88" s="5">
        <v>151</v>
      </c>
      <c r="B88" s="5">
        <v>4.5744680851063833E-2</v>
      </c>
      <c r="C88" s="5">
        <v>3.1325301204819279E-2</v>
      </c>
      <c r="D88" s="5">
        <v>0</v>
      </c>
      <c r="E88" s="5">
        <v>1.7928902627511591E-2</v>
      </c>
      <c r="F88" s="7" t="s">
        <v>306</v>
      </c>
      <c r="G88" s="7" t="s">
        <v>307</v>
      </c>
      <c r="H88" s="7" t="s">
        <v>2683</v>
      </c>
      <c r="I88" s="7" t="s">
        <v>2686</v>
      </c>
      <c r="J88" s="5">
        <v>0</v>
      </c>
      <c r="K88" s="5">
        <v>0</v>
      </c>
      <c r="L88" s="5">
        <v>0</v>
      </c>
      <c r="M88" s="5">
        <v>1</v>
      </c>
      <c r="N88" s="5">
        <v>0</v>
      </c>
      <c r="O88" s="5">
        <v>0</v>
      </c>
      <c r="P88" s="5">
        <v>0</v>
      </c>
      <c r="Q88" s="5">
        <v>1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</row>
    <row r="89" spans="1:28" ht="240" x14ac:dyDescent="0.25">
      <c r="A89" s="5">
        <v>152</v>
      </c>
      <c r="B89" s="5">
        <v>0.26063829787234039</v>
      </c>
      <c r="C89" s="5">
        <v>4.0963855421686748E-2</v>
      </c>
      <c r="D89" s="5">
        <v>0</v>
      </c>
      <c r="E89" s="5">
        <v>0.1023183925811437</v>
      </c>
      <c r="F89" s="7" t="s">
        <v>308</v>
      </c>
      <c r="G89" s="7" t="s">
        <v>309</v>
      </c>
      <c r="H89" s="7" t="s">
        <v>2683</v>
      </c>
      <c r="I89" s="7" t="s">
        <v>2686</v>
      </c>
      <c r="J89" s="5">
        <v>0</v>
      </c>
      <c r="K89" s="5">
        <v>0</v>
      </c>
      <c r="L89" s="5">
        <v>0</v>
      </c>
      <c r="M89" s="5">
        <v>1</v>
      </c>
      <c r="N89" s="5">
        <v>0</v>
      </c>
      <c r="O89" s="5">
        <v>0</v>
      </c>
      <c r="P89" s="5">
        <v>0</v>
      </c>
      <c r="Q89" s="5">
        <v>1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</row>
    <row r="90" spans="1:28" ht="120" x14ac:dyDescent="0.25">
      <c r="A90" s="5">
        <v>153</v>
      </c>
      <c r="B90" s="5">
        <v>0.12659574468085111</v>
      </c>
      <c r="C90" s="5">
        <v>5.301204819277109E-2</v>
      </c>
      <c r="D90" s="5">
        <v>3.5000000000000003E-2</v>
      </c>
      <c r="E90" s="5">
        <v>2.828438948995363E-2</v>
      </c>
      <c r="F90" s="7" t="s">
        <v>310</v>
      </c>
      <c r="G90" s="7" t="s">
        <v>311</v>
      </c>
      <c r="H90" s="7" t="s">
        <v>2688</v>
      </c>
      <c r="I90" s="7" t="s">
        <v>2687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1</v>
      </c>
      <c r="P90" s="5">
        <v>0</v>
      </c>
      <c r="Q90" s="5">
        <v>0</v>
      </c>
      <c r="R90" s="5">
        <v>0</v>
      </c>
      <c r="S90" s="5">
        <v>1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</row>
    <row r="91" spans="1:28" ht="135" x14ac:dyDescent="0.25">
      <c r="A91" s="5">
        <v>156</v>
      </c>
      <c r="B91" s="5">
        <v>0.1978723404255319</v>
      </c>
      <c r="C91" s="5">
        <v>0.14096385542168671</v>
      </c>
      <c r="D91" s="5">
        <v>9.6999999999999989E-2</v>
      </c>
      <c r="E91" s="5">
        <v>2.009273570324575E-2</v>
      </c>
      <c r="F91" s="7" t="s">
        <v>316</v>
      </c>
      <c r="G91" s="7" t="s">
        <v>317</v>
      </c>
      <c r="H91" s="7" t="s">
        <v>2683</v>
      </c>
      <c r="I91" s="7" t="s">
        <v>2687</v>
      </c>
      <c r="J91" s="5">
        <v>0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</row>
    <row r="92" spans="1:28" ht="135" x14ac:dyDescent="0.25">
      <c r="A92" s="5">
        <v>157</v>
      </c>
      <c r="B92" s="5">
        <v>0.26489361702127662</v>
      </c>
      <c r="C92" s="5">
        <v>4.0963855421686748E-2</v>
      </c>
      <c r="D92" s="5">
        <v>4.0000000000000001E-3</v>
      </c>
      <c r="E92" s="5">
        <v>8.964451313755796E-2</v>
      </c>
      <c r="F92" s="7" t="s">
        <v>318</v>
      </c>
      <c r="G92" s="7" t="s">
        <v>319</v>
      </c>
      <c r="H92" s="7" t="s">
        <v>2688</v>
      </c>
      <c r="I92" s="7" t="s">
        <v>2691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1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1</v>
      </c>
      <c r="Z92" s="5">
        <v>0</v>
      </c>
      <c r="AA92" s="5">
        <v>0</v>
      </c>
      <c r="AB92" s="5">
        <v>0</v>
      </c>
    </row>
    <row r="93" spans="1:28" ht="135" x14ac:dyDescent="0.25">
      <c r="A93" s="5">
        <v>160</v>
      </c>
      <c r="B93" s="5">
        <v>2.4468085106382979E-2</v>
      </c>
      <c r="C93" s="5">
        <v>9.6385542168674707E-3</v>
      </c>
      <c r="D93" s="5">
        <v>2E-3</v>
      </c>
      <c r="E93" s="5">
        <v>8.0370942812983005E-3</v>
      </c>
      <c r="F93" s="7" t="s">
        <v>324</v>
      </c>
      <c r="G93" s="7" t="s">
        <v>325</v>
      </c>
      <c r="H93" s="7" t="s">
        <v>2683</v>
      </c>
      <c r="I93" s="7" t="s">
        <v>2686</v>
      </c>
      <c r="J93" s="5">
        <v>0</v>
      </c>
      <c r="K93" s="5">
        <v>0</v>
      </c>
      <c r="L93" s="5">
        <v>0</v>
      </c>
      <c r="M93" s="5">
        <v>1</v>
      </c>
      <c r="N93" s="5">
        <v>0</v>
      </c>
      <c r="O93" s="5">
        <v>0</v>
      </c>
      <c r="P93" s="5">
        <v>0</v>
      </c>
      <c r="Q93" s="5">
        <v>1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</row>
    <row r="94" spans="1:28" ht="210" x14ac:dyDescent="0.25">
      <c r="A94" s="5">
        <v>161</v>
      </c>
      <c r="B94" s="5">
        <v>0.1170212765957447</v>
      </c>
      <c r="C94" s="5">
        <v>1.6867469879518069E-2</v>
      </c>
      <c r="D94" s="5">
        <v>2.1000000000000001E-2</v>
      </c>
      <c r="E94" s="5">
        <v>3.3075734157650687E-2</v>
      </c>
      <c r="F94" s="7" t="s">
        <v>326</v>
      </c>
      <c r="G94" s="7" t="s">
        <v>327</v>
      </c>
      <c r="H94" s="7" t="s">
        <v>2684</v>
      </c>
      <c r="I94" s="7" t="s">
        <v>2686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1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</row>
    <row r="95" spans="1:28" ht="120" x14ac:dyDescent="0.25">
      <c r="A95" s="5">
        <v>162</v>
      </c>
      <c r="B95" s="5">
        <v>4.042553191489362E-2</v>
      </c>
      <c r="C95" s="5">
        <v>1.8072289156626509E-2</v>
      </c>
      <c r="D95" s="5">
        <v>2E-3</v>
      </c>
      <c r="E95" s="5">
        <v>1.15919629057187E-2</v>
      </c>
      <c r="F95" s="7" t="s">
        <v>328</v>
      </c>
      <c r="G95" s="7" t="s">
        <v>329</v>
      </c>
      <c r="H95" s="7" t="s">
        <v>2683</v>
      </c>
      <c r="I95" s="7" t="s">
        <v>2685</v>
      </c>
      <c r="J95" s="5">
        <v>0</v>
      </c>
      <c r="K95" s="5">
        <v>0</v>
      </c>
      <c r="L95" s="5">
        <v>0</v>
      </c>
      <c r="M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  <c r="Y95" s="5">
        <v>0</v>
      </c>
      <c r="Z95" s="5">
        <v>0</v>
      </c>
      <c r="AA95" s="5">
        <v>0</v>
      </c>
      <c r="AB95" s="5">
        <v>0</v>
      </c>
    </row>
    <row r="96" spans="1:28" ht="225" x14ac:dyDescent="0.25">
      <c r="A96" s="5">
        <v>163</v>
      </c>
      <c r="B96" s="5">
        <v>0.28085106382978731</v>
      </c>
      <c r="C96" s="5">
        <v>4.8192771084337352E-2</v>
      </c>
      <c r="D96" s="5">
        <v>1.0999999999999999E-2</v>
      </c>
      <c r="E96" s="5">
        <v>9.2117465224111281E-2</v>
      </c>
      <c r="F96" s="7" t="s">
        <v>330</v>
      </c>
      <c r="G96" s="7" t="s">
        <v>331</v>
      </c>
      <c r="H96" s="7" t="s">
        <v>2684</v>
      </c>
      <c r="I96" s="7" t="s">
        <v>2686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1</v>
      </c>
      <c r="Q96" s="5">
        <v>1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</row>
    <row r="97" spans="1:28" ht="345" x14ac:dyDescent="0.25">
      <c r="A97" s="5">
        <v>164</v>
      </c>
      <c r="B97" s="5">
        <v>4.1489361702127657E-2</v>
      </c>
      <c r="C97" s="5">
        <v>8.4337349397590362E-3</v>
      </c>
      <c r="D97" s="5">
        <v>2E-3</v>
      </c>
      <c r="E97" s="5">
        <v>1.499227202472952E-2</v>
      </c>
      <c r="F97" s="7" t="s">
        <v>332</v>
      </c>
      <c r="G97" s="7" t="s">
        <v>333</v>
      </c>
      <c r="H97" s="7" t="s">
        <v>2683</v>
      </c>
      <c r="I97" s="7" t="s">
        <v>2693</v>
      </c>
      <c r="J97" s="5">
        <v>0</v>
      </c>
      <c r="K97" s="5">
        <v>0</v>
      </c>
      <c r="L97" s="5">
        <v>0</v>
      </c>
      <c r="M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1</v>
      </c>
      <c r="AA97" s="5">
        <v>0</v>
      </c>
      <c r="AB97" s="5">
        <v>0</v>
      </c>
    </row>
    <row r="98" spans="1:28" ht="165" x14ac:dyDescent="0.25">
      <c r="A98" s="5">
        <v>165</v>
      </c>
      <c r="B98" s="5">
        <v>9.2553191489361697E-2</v>
      </c>
      <c r="C98" s="5">
        <v>3.1325301204819279E-2</v>
      </c>
      <c r="D98" s="5">
        <v>2.7E-2</v>
      </c>
      <c r="E98" s="5">
        <v>2.0247295208655331E-2</v>
      </c>
      <c r="F98" s="7" t="s">
        <v>334</v>
      </c>
      <c r="G98" s="7" t="s">
        <v>335</v>
      </c>
      <c r="H98" s="7" t="s">
        <v>2688</v>
      </c>
      <c r="I98" s="7" t="s">
        <v>2686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</v>
      </c>
      <c r="P98" s="5">
        <v>0</v>
      </c>
      <c r="Q98" s="5">
        <v>1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</row>
    <row r="99" spans="1:28" ht="300" x14ac:dyDescent="0.25">
      <c r="A99" s="5">
        <v>166</v>
      </c>
      <c r="B99" s="5">
        <v>7.5531914893617019E-2</v>
      </c>
      <c r="C99" s="5">
        <v>2.0481927710843371E-2</v>
      </c>
      <c r="D99" s="5">
        <v>3.1E-2</v>
      </c>
      <c r="E99" s="5">
        <v>1.4064914992272019E-2</v>
      </c>
      <c r="F99" s="7" t="s">
        <v>336</v>
      </c>
      <c r="G99" s="7" t="s">
        <v>337</v>
      </c>
      <c r="H99" s="7" t="s">
        <v>2683</v>
      </c>
      <c r="I99" s="7" t="s">
        <v>2686</v>
      </c>
      <c r="J99" s="5">
        <v>0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  <c r="Q99" s="5">
        <v>1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</row>
    <row r="100" spans="1:28" ht="120" x14ac:dyDescent="0.25">
      <c r="A100" s="5">
        <v>167</v>
      </c>
      <c r="B100" s="5">
        <v>5.9574468085106393E-2</v>
      </c>
      <c r="C100" s="5">
        <v>9.6385542168674707E-3</v>
      </c>
      <c r="D100" s="5">
        <v>0.01</v>
      </c>
      <c r="E100" s="5">
        <v>1.6846986089644508E-2</v>
      </c>
      <c r="F100" s="7" t="s">
        <v>338</v>
      </c>
      <c r="G100" s="7" t="s">
        <v>339</v>
      </c>
      <c r="H100" s="7" t="s">
        <v>2683</v>
      </c>
      <c r="I100" s="7" t="s">
        <v>2686</v>
      </c>
      <c r="J100" s="5">
        <v>0</v>
      </c>
      <c r="K100" s="5">
        <v>0</v>
      </c>
      <c r="L100" s="5">
        <v>0</v>
      </c>
      <c r="M100" s="5">
        <v>1</v>
      </c>
      <c r="N100" s="5">
        <v>0</v>
      </c>
      <c r="O100" s="5">
        <v>0</v>
      </c>
      <c r="P100" s="5">
        <v>0</v>
      </c>
      <c r="Q100" s="5">
        <v>1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</row>
    <row r="101" spans="1:28" ht="270" x14ac:dyDescent="0.25">
      <c r="A101" s="5">
        <v>168</v>
      </c>
      <c r="B101" s="5">
        <v>5.8510638297872342E-2</v>
      </c>
      <c r="C101" s="5">
        <v>1.445783132530121E-2</v>
      </c>
      <c r="D101" s="5">
        <v>1E-3</v>
      </c>
      <c r="E101" s="5">
        <v>1.885625965996909E-2</v>
      </c>
      <c r="F101" s="7" t="s">
        <v>340</v>
      </c>
      <c r="G101" s="7" t="s">
        <v>341</v>
      </c>
      <c r="H101" s="7" t="s">
        <v>2683</v>
      </c>
      <c r="I101" s="7" t="s">
        <v>2686</v>
      </c>
      <c r="J101" s="5">
        <v>0</v>
      </c>
      <c r="K101" s="5">
        <v>0</v>
      </c>
      <c r="L101" s="5">
        <v>0</v>
      </c>
      <c r="M101" s="5">
        <v>1</v>
      </c>
      <c r="N101" s="5">
        <v>0</v>
      </c>
      <c r="O101" s="5">
        <v>0</v>
      </c>
      <c r="P101" s="5">
        <v>0</v>
      </c>
      <c r="Q101" s="5">
        <v>1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</row>
    <row r="102" spans="1:28" ht="315" x14ac:dyDescent="0.25">
      <c r="A102" s="5">
        <v>169</v>
      </c>
      <c r="B102" s="5">
        <v>0.1074468085106383</v>
      </c>
      <c r="C102" s="5">
        <v>2.0481927710843371E-2</v>
      </c>
      <c r="D102" s="5">
        <v>6.0000000000000001E-3</v>
      </c>
      <c r="E102" s="5">
        <v>3.8948995363214833E-2</v>
      </c>
      <c r="F102" s="7" t="s">
        <v>342</v>
      </c>
      <c r="G102" s="7" t="s">
        <v>343</v>
      </c>
      <c r="H102" s="7" t="s">
        <v>2683</v>
      </c>
      <c r="I102" s="7" t="s">
        <v>2686</v>
      </c>
      <c r="J102" s="5">
        <v>0</v>
      </c>
      <c r="K102" s="5">
        <v>0</v>
      </c>
      <c r="L102" s="5">
        <v>0</v>
      </c>
      <c r="M102" s="5">
        <v>1</v>
      </c>
      <c r="N102" s="5">
        <v>0</v>
      </c>
      <c r="O102" s="5">
        <v>0</v>
      </c>
      <c r="P102" s="5">
        <v>0</v>
      </c>
      <c r="Q102" s="5">
        <v>1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</row>
    <row r="103" spans="1:28" ht="210" x14ac:dyDescent="0.25">
      <c r="A103" s="5">
        <v>170</v>
      </c>
      <c r="B103" s="5">
        <v>8.2978723404255314E-2</v>
      </c>
      <c r="C103" s="5">
        <v>7.2289156626506026E-3</v>
      </c>
      <c r="D103" s="5">
        <v>3.0000000000000001E-3</v>
      </c>
      <c r="E103" s="5">
        <v>2.8129829984544049E-2</v>
      </c>
      <c r="F103" s="7" t="s">
        <v>344</v>
      </c>
      <c r="G103" s="7" t="s">
        <v>345</v>
      </c>
      <c r="H103" s="7" t="s">
        <v>2688</v>
      </c>
      <c r="I103" s="7" t="s">
        <v>2686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1</v>
      </c>
      <c r="P103" s="5">
        <v>0</v>
      </c>
      <c r="Q103" s="5">
        <v>1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</row>
    <row r="104" spans="1:28" ht="120" x14ac:dyDescent="0.25">
      <c r="A104" s="5">
        <v>171</v>
      </c>
      <c r="B104" s="5">
        <v>0.1202127659574468</v>
      </c>
      <c r="C104" s="5">
        <v>9.6385542168674707E-3</v>
      </c>
      <c r="D104" s="5">
        <v>3.0000000000000001E-3</v>
      </c>
      <c r="E104" s="5">
        <v>4.1421947449768161E-2</v>
      </c>
      <c r="F104" s="7" t="s">
        <v>346</v>
      </c>
      <c r="G104" s="7" t="s">
        <v>347</v>
      </c>
      <c r="H104" s="7" t="s">
        <v>2688</v>
      </c>
      <c r="I104" s="7" t="s">
        <v>2686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1</v>
      </c>
      <c r="P104" s="5">
        <v>0</v>
      </c>
      <c r="Q104" s="5">
        <v>1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</row>
    <row r="105" spans="1:28" ht="240" x14ac:dyDescent="0.25">
      <c r="A105" s="5">
        <v>172</v>
      </c>
      <c r="B105" s="5">
        <v>3.085106382978723E-2</v>
      </c>
      <c r="C105" s="5">
        <v>2.5301204819277109E-2</v>
      </c>
      <c r="D105" s="5">
        <v>6.9999999999999993E-3</v>
      </c>
      <c r="E105" s="5">
        <v>5.5641421947449756E-3</v>
      </c>
      <c r="F105" s="7" t="s">
        <v>348</v>
      </c>
      <c r="G105" s="7" t="s">
        <v>349</v>
      </c>
      <c r="H105" s="7" t="s">
        <v>2688</v>
      </c>
      <c r="I105" s="7" t="s">
        <v>2686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1</v>
      </c>
      <c r="P105" s="5">
        <v>0</v>
      </c>
      <c r="Q105" s="5">
        <v>1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</row>
    <row r="106" spans="1:28" ht="165" x14ac:dyDescent="0.25">
      <c r="A106" s="5">
        <v>173</v>
      </c>
      <c r="B106" s="5">
        <v>7.1276595744680857E-2</v>
      </c>
      <c r="C106" s="5">
        <v>4.8192771084337354E-3</v>
      </c>
      <c r="D106" s="5">
        <v>2E-3</v>
      </c>
      <c r="E106" s="5">
        <v>2.4574961360123649E-2</v>
      </c>
      <c r="F106" s="7" t="s">
        <v>350</v>
      </c>
      <c r="G106" s="7" t="s">
        <v>351</v>
      </c>
      <c r="H106" s="7" t="s">
        <v>2683</v>
      </c>
      <c r="I106" s="7" t="s">
        <v>2686</v>
      </c>
      <c r="J106" s="5">
        <v>0</v>
      </c>
      <c r="K106" s="5">
        <v>0</v>
      </c>
      <c r="L106" s="5">
        <v>0</v>
      </c>
      <c r="M106" s="5">
        <v>1</v>
      </c>
      <c r="N106" s="5">
        <v>0</v>
      </c>
      <c r="O106" s="5">
        <v>0</v>
      </c>
      <c r="P106" s="5">
        <v>0</v>
      </c>
      <c r="Q106" s="5">
        <v>1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</row>
    <row r="107" spans="1:28" ht="210" x14ac:dyDescent="0.25">
      <c r="A107" s="5">
        <v>175</v>
      </c>
      <c r="B107" s="5">
        <v>6.3829787234042548E-2</v>
      </c>
      <c r="C107" s="5">
        <v>1.204819277108434E-2</v>
      </c>
      <c r="D107" s="5">
        <v>0.6</v>
      </c>
      <c r="E107" s="5">
        <v>2.009273570324575E-2</v>
      </c>
      <c r="F107" s="7" t="s">
        <v>354</v>
      </c>
      <c r="G107" s="7" t="s">
        <v>355</v>
      </c>
      <c r="H107" s="7" t="s">
        <v>2683</v>
      </c>
      <c r="I107" s="7" t="s">
        <v>2691</v>
      </c>
      <c r="J107" s="5">
        <v>0</v>
      </c>
      <c r="K107" s="5">
        <v>0</v>
      </c>
      <c r="L107" s="5">
        <v>0</v>
      </c>
      <c r="M107" s="5">
        <v>1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1</v>
      </c>
      <c r="Z107" s="5">
        <v>0</v>
      </c>
      <c r="AA107" s="5">
        <v>0</v>
      </c>
      <c r="AB107" s="5">
        <v>0</v>
      </c>
    </row>
    <row r="108" spans="1:28" ht="210" x14ac:dyDescent="0.25">
      <c r="A108" s="5">
        <v>176</v>
      </c>
      <c r="B108" s="5">
        <v>0.17765957446808511</v>
      </c>
      <c r="C108" s="5">
        <v>2.4096385542168681E-3</v>
      </c>
      <c r="D108" s="5">
        <v>0.04</v>
      </c>
      <c r="E108" s="5">
        <v>5.1004636785162288E-2</v>
      </c>
      <c r="F108" s="7" t="s">
        <v>356</v>
      </c>
      <c r="G108" s="7" t="s">
        <v>357</v>
      </c>
      <c r="H108" s="7" t="s">
        <v>2683</v>
      </c>
      <c r="I108" s="7" t="s">
        <v>2691</v>
      </c>
      <c r="J108" s="5">
        <v>0</v>
      </c>
      <c r="K108" s="5">
        <v>0</v>
      </c>
      <c r="L108" s="5">
        <v>0</v>
      </c>
      <c r="M108" s="5">
        <v>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1</v>
      </c>
      <c r="Z108" s="5">
        <v>0</v>
      </c>
      <c r="AA108" s="5">
        <v>0</v>
      </c>
      <c r="AB108" s="5">
        <v>0</v>
      </c>
    </row>
    <row r="109" spans="1:28" ht="240" x14ac:dyDescent="0.25">
      <c r="A109" s="5">
        <v>177</v>
      </c>
      <c r="B109" s="5">
        <v>0.1659574468085106</v>
      </c>
      <c r="C109" s="5">
        <v>2.7710843373493971E-2</v>
      </c>
      <c r="D109" s="5">
        <v>2E-3</v>
      </c>
      <c r="E109" s="5">
        <v>2.41112828438949E-2</v>
      </c>
      <c r="F109" s="7" t="s">
        <v>358</v>
      </c>
      <c r="G109" s="7" t="s">
        <v>359</v>
      </c>
      <c r="H109" s="7" t="s">
        <v>2683</v>
      </c>
      <c r="I109" s="7" t="s">
        <v>2691</v>
      </c>
      <c r="J109" s="5">
        <v>0</v>
      </c>
      <c r="K109" s="5">
        <v>0</v>
      </c>
      <c r="L109" s="5">
        <v>0</v>
      </c>
      <c r="M109" s="5">
        <v>1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1</v>
      </c>
      <c r="Z109" s="5">
        <v>0</v>
      </c>
      <c r="AA109" s="5">
        <v>0</v>
      </c>
      <c r="AB109" s="5">
        <v>0</v>
      </c>
    </row>
    <row r="110" spans="1:28" ht="300" x14ac:dyDescent="0.25">
      <c r="A110" s="5">
        <v>184</v>
      </c>
      <c r="B110" s="5">
        <v>4.7872340425531908E-2</v>
      </c>
      <c r="C110" s="5">
        <v>3.1325301204819279E-2</v>
      </c>
      <c r="D110" s="5">
        <v>3.0000000000000001E-3</v>
      </c>
      <c r="E110" s="5">
        <v>1.2519319938176199E-2</v>
      </c>
      <c r="F110" s="7" t="s">
        <v>372</v>
      </c>
      <c r="G110" s="7" t="s">
        <v>373</v>
      </c>
      <c r="H110" s="7" t="s">
        <v>2683</v>
      </c>
      <c r="I110" s="7" t="s">
        <v>2686</v>
      </c>
      <c r="J110" s="5">
        <v>0</v>
      </c>
      <c r="K110" s="5">
        <v>0</v>
      </c>
      <c r="L110" s="5">
        <v>0</v>
      </c>
      <c r="M110" s="5">
        <v>1</v>
      </c>
      <c r="N110" s="5">
        <v>0</v>
      </c>
      <c r="O110" s="5">
        <v>0</v>
      </c>
      <c r="P110" s="5">
        <v>0</v>
      </c>
      <c r="Q110" s="5">
        <v>1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</row>
    <row r="111" spans="1:28" ht="225" x14ac:dyDescent="0.25">
      <c r="A111" s="5">
        <v>186</v>
      </c>
      <c r="B111" s="5">
        <v>0.35425531914893621</v>
      </c>
      <c r="C111" s="5">
        <v>0.3530120481927711</v>
      </c>
      <c r="D111" s="5">
        <v>3.3000000000000002E-2</v>
      </c>
      <c r="E111" s="5">
        <v>7.7279752704791344E-2</v>
      </c>
      <c r="F111" s="7" t="s">
        <v>376</v>
      </c>
      <c r="G111" s="7" t="s">
        <v>377</v>
      </c>
      <c r="H111" s="7" t="s">
        <v>2688</v>
      </c>
      <c r="I111" s="7" t="s">
        <v>2687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1</v>
      </c>
      <c r="P111" s="5">
        <v>0</v>
      </c>
      <c r="Q111" s="5">
        <v>0</v>
      </c>
      <c r="R111" s="5">
        <v>0</v>
      </c>
      <c r="S111" s="5">
        <v>1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</row>
    <row r="112" spans="1:28" ht="210" x14ac:dyDescent="0.25">
      <c r="A112" s="5">
        <v>187</v>
      </c>
      <c r="B112" s="5">
        <v>0.35744680851063831</v>
      </c>
      <c r="C112" s="5">
        <v>0.45060240963855419</v>
      </c>
      <c r="D112" s="5">
        <v>0.13</v>
      </c>
      <c r="E112" s="5">
        <v>4.714064914992272E-2</v>
      </c>
      <c r="F112" s="7" t="s">
        <v>378</v>
      </c>
      <c r="G112" s="7" t="s">
        <v>379</v>
      </c>
      <c r="H112" s="7" t="s">
        <v>2688</v>
      </c>
      <c r="I112" s="7" t="s">
        <v>2687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1</v>
      </c>
      <c r="P112" s="5">
        <v>0</v>
      </c>
      <c r="Q112" s="5">
        <v>0</v>
      </c>
      <c r="R112" s="5">
        <v>0</v>
      </c>
      <c r="S112" s="5">
        <v>1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</row>
    <row r="113" spans="1:28" ht="210" x14ac:dyDescent="0.25">
      <c r="A113" s="5">
        <v>188</v>
      </c>
      <c r="B113" s="5">
        <v>0.39148936170212773</v>
      </c>
      <c r="C113" s="5">
        <v>0.27710843373493982</v>
      </c>
      <c r="D113" s="5">
        <v>0.15</v>
      </c>
      <c r="E113" s="5">
        <v>6.1823802163833083E-2</v>
      </c>
      <c r="F113" s="7" t="s">
        <v>380</v>
      </c>
      <c r="G113" s="7" t="s">
        <v>381</v>
      </c>
      <c r="H113" s="7" t="s">
        <v>2688</v>
      </c>
      <c r="I113" s="7" t="s">
        <v>2686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1</v>
      </c>
      <c r="P113" s="5">
        <v>0</v>
      </c>
      <c r="Q113" s="5">
        <v>1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</row>
    <row r="114" spans="1:28" ht="270" x14ac:dyDescent="0.25">
      <c r="A114" s="5">
        <v>190</v>
      </c>
      <c r="B114" s="5">
        <v>0.15</v>
      </c>
      <c r="C114" s="5">
        <v>5.301204819277109E-2</v>
      </c>
      <c r="D114" s="5">
        <v>0.10199999999999999</v>
      </c>
      <c r="E114" s="5">
        <v>1.236476043276661E-2</v>
      </c>
      <c r="F114" s="7" t="s">
        <v>384</v>
      </c>
      <c r="G114" s="7" t="s">
        <v>385</v>
      </c>
      <c r="H114" s="7" t="s">
        <v>2683</v>
      </c>
      <c r="I114" s="7" t="s">
        <v>2685</v>
      </c>
      <c r="J114" s="5">
        <v>0</v>
      </c>
      <c r="K114" s="5">
        <v>0</v>
      </c>
      <c r="L114" s="5">
        <v>0</v>
      </c>
      <c r="M114" s="5">
        <v>1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1</v>
      </c>
      <c r="Y114" s="5">
        <v>0</v>
      </c>
      <c r="Z114" s="5">
        <v>0</v>
      </c>
      <c r="AA114" s="5">
        <v>0</v>
      </c>
      <c r="AB114" s="5">
        <v>0</v>
      </c>
    </row>
    <row r="115" spans="1:28" ht="135" x14ac:dyDescent="0.25">
      <c r="A115" s="5">
        <v>200</v>
      </c>
      <c r="B115" s="5">
        <v>0.34361702127659582</v>
      </c>
      <c r="C115" s="5">
        <v>5.9036144578313257E-2</v>
      </c>
      <c r="D115" s="5">
        <v>0.115</v>
      </c>
      <c r="E115" s="5">
        <v>7.7434312210200931E-2</v>
      </c>
      <c r="F115" s="7" t="s">
        <v>404</v>
      </c>
      <c r="G115" s="7" t="s">
        <v>405</v>
      </c>
      <c r="H115" s="7" t="s">
        <v>2683</v>
      </c>
      <c r="I115" s="7" t="s">
        <v>2691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1</v>
      </c>
      <c r="Z115" s="5">
        <v>0</v>
      </c>
      <c r="AA115" s="5">
        <v>0</v>
      </c>
      <c r="AB115" s="5">
        <v>0</v>
      </c>
    </row>
    <row r="116" spans="1:28" ht="120" x14ac:dyDescent="0.25">
      <c r="A116" s="5">
        <v>202</v>
      </c>
      <c r="B116" s="5">
        <v>0.38936170212765958</v>
      </c>
      <c r="C116" s="5">
        <v>0.13253012048192769</v>
      </c>
      <c r="D116" s="5">
        <v>3.3000000000000002E-2</v>
      </c>
      <c r="E116" s="5">
        <v>0.1128284389489954</v>
      </c>
      <c r="F116" s="7" t="s">
        <v>408</v>
      </c>
      <c r="G116" s="7" t="s">
        <v>409</v>
      </c>
      <c r="H116" s="7" t="s">
        <v>2688</v>
      </c>
      <c r="I116" s="7" t="s">
        <v>2691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1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1</v>
      </c>
      <c r="Z116" s="5">
        <v>0</v>
      </c>
      <c r="AA116" s="5">
        <v>0</v>
      </c>
      <c r="AB116" s="5">
        <v>0</v>
      </c>
    </row>
    <row r="117" spans="1:28" ht="210" x14ac:dyDescent="0.25">
      <c r="A117" s="5">
        <v>203</v>
      </c>
      <c r="B117" s="5">
        <v>0.1031914893617021</v>
      </c>
      <c r="C117" s="5">
        <v>6.9879518072289162E-2</v>
      </c>
      <c r="D117" s="5">
        <v>6.3E-2</v>
      </c>
      <c r="E117" s="5">
        <v>6.4914992272024734E-3</v>
      </c>
      <c r="F117" s="7" t="s">
        <v>410</v>
      </c>
      <c r="G117" s="7" t="s">
        <v>411</v>
      </c>
      <c r="H117" s="7" t="s">
        <v>2684</v>
      </c>
      <c r="I117" s="7" t="s">
        <v>2685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1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1</v>
      </c>
      <c r="Y117" s="5">
        <v>0</v>
      </c>
      <c r="Z117" s="5">
        <v>0</v>
      </c>
      <c r="AA117" s="5">
        <v>0</v>
      </c>
      <c r="AB117" s="5">
        <v>0</v>
      </c>
    </row>
    <row r="118" spans="1:28" ht="120" x14ac:dyDescent="0.25">
      <c r="A118" s="5">
        <v>207</v>
      </c>
      <c r="B118" s="5">
        <v>0.35106382978723399</v>
      </c>
      <c r="C118" s="5">
        <v>6.2650602409638559E-2</v>
      </c>
      <c r="D118" s="5">
        <v>8.900000000000001E-2</v>
      </c>
      <c r="E118" s="5">
        <v>8.8717156105100461E-2</v>
      </c>
      <c r="F118" s="7" t="s">
        <v>418</v>
      </c>
      <c r="G118" s="7" t="s">
        <v>419</v>
      </c>
      <c r="H118" s="7" t="s">
        <v>2688</v>
      </c>
      <c r="I118" s="7" t="s">
        <v>2692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1</v>
      </c>
      <c r="P118" s="5">
        <v>0</v>
      </c>
      <c r="Q118" s="5">
        <v>0</v>
      </c>
      <c r="R118" s="5">
        <v>1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</row>
    <row r="119" spans="1:28" ht="120" x14ac:dyDescent="0.25">
      <c r="A119" s="5">
        <v>209</v>
      </c>
      <c r="B119" s="5">
        <v>0.49148936170212759</v>
      </c>
      <c r="C119" s="5">
        <v>1.445783132530121E-2</v>
      </c>
      <c r="D119" s="5">
        <v>0.20699999999999999</v>
      </c>
      <c r="E119" s="5">
        <v>0.1046367851622875</v>
      </c>
      <c r="F119" s="7" t="s">
        <v>422</v>
      </c>
      <c r="G119" s="7" t="s">
        <v>423</v>
      </c>
      <c r="H119" s="7" t="s">
        <v>2683</v>
      </c>
      <c r="I119" s="7" t="s">
        <v>2690</v>
      </c>
      <c r="J119" s="5">
        <v>0</v>
      </c>
      <c r="K119" s="5">
        <v>0</v>
      </c>
      <c r="L119" s="5">
        <v>0</v>
      </c>
      <c r="M119" s="5">
        <v>1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1</v>
      </c>
    </row>
    <row r="120" spans="1:28" ht="120" x14ac:dyDescent="0.25">
      <c r="A120" s="5">
        <v>212</v>
      </c>
      <c r="B120" s="5">
        <v>0.33085106382978718</v>
      </c>
      <c r="C120" s="5">
        <v>9.6385542168674704E-2</v>
      </c>
      <c r="D120" s="5">
        <v>0.04</v>
      </c>
      <c r="E120" s="5">
        <v>7.5579598145285934E-2</v>
      </c>
      <c r="F120" s="7" t="s">
        <v>427</v>
      </c>
      <c r="G120" s="7" t="s">
        <v>428</v>
      </c>
      <c r="H120" s="7" t="s">
        <v>2694</v>
      </c>
      <c r="I120" s="7" t="s">
        <v>2695</v>
      </c>
      <c r="J120" s="5">
        <v>1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</row>
    <row r="121" spans="1:28" ht="150" x14ac:dyDescent="0.25">
      <c r="A121" s="5">
        <v>213</v>
      </c>
      <c r="B121" s="5">
        <v>0.50212765957446814</v>
      </c>
      <c r="C121" s="5">
        <v>2.4096385542168679E-2</v>
      </c>
      <c r="D121" s="5">
        <v>0.29799999999999999</v>
      </c>
      <c r="E121" s="5">
        <v>9.6908809891808348E-2</v>
      </c>
      <c r="F121" s="7" t="s">
        <v>429</v>
      </c>
      <c r="G121" s="7" t="s">
        <v>430</v>
      </c>
      <c r="H121" s="7" t="s">
        <v>2688</v>
      </c>
      <c r="I121" s="7" t="s">
        <v>2695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1</v>
      </c>
      <c r="P121" s="5">
        <v>0</v>
      </c>
      <c r="Q121" s="5">
        <v>0</v>
      </c>
      <c r="R121" s="5">
        <v>0</v>
      </c>
      <c r="S121" s="5">
        <v>0</v>
      </c>
      <c r="T121" s="5">
        <v>1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</row>
    <row r="122" spans="1:28" ht="120" x14ac:dyDescent="0.25">
      <c r="A122" s="5">
        <v>214</v>
      </c>
      <c r="B122" s="5">
        <v>0.53617021276595744</v>
      </c>
      <c r="C122" s="5">
        <v>6.6265060240963861E-2</v>
      </c>
      <c r="D122" s="5">
        <v>0.52900000000000003</v>
      </c>
      <c r="E122" s="5">
        <v>4.5131375579598142E-2</v>
      </c>
      <c r="F122" s="7" t="s">
        <v>431</v>
      </c>
      <c r="G122" s="7" t="s">
        <v>432</v>
      </c>
      <c r="H122" s="7" t="s">
        <v>2688</v>
      </c>
      <c r="I122" s="7" t="s">
        <v>2695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1</v>
      </c>
      <c r="P122" s="5">
        <v>0</v>
      </c>
      <c r="Q122" s="5">
        <v>0</v>
      </c>
      <c r="R122" s="5">
        <v>0</v>
      </c>
      <c r="S122" s="5">
        <v>0</v>
      </c>
      <c r="T122" s="5">
        <v>1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</row>
    <row r="123" spans="1:28" ht="195" x14ac:dyDescent="0.25">
      <c r="A123" s="5">
        <v>215</v>
      </c>
      <c r="B123" s="5">
        <v>0.40531914893617021</v>
      </c>
      <c r="C123" s="5">
        <v>0.108433734939759</v>
      </c>
      <c r="D123" s="5">
        <v>0.35</v>
      </c>
      <c r="E123" s="5">
        <v>8.2843894899536322E-2</v>
      </c>
      <c r="F123" s="7" t="s">
        <v>433</v>
      </c>
      <c r="G123" s="7" t="s">
        <v>434</v>
      </c>
      <c r="H123" s="7" t="s">
        <v>2696</v>
      </c>
      <c r="I123" s="7" t="s">
        <v>2693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1</v>
      </c>
      <c r="AA123" s="5">
        <v>0</v>
      </c>
      <c r="AB123" s="5">
        <v>0</v>
      </c>
    </row>
    <row r="124" spans="1:28" ht="195" x14ac:dyDescent="0.25">
      <c r="A124" s="5">
        <v>223</v>
      </c>
      <c r="B124" s="5">
        <v>7.9787234042553196E-2</v>
      </c>
      <c r="C124" s="5">
        <v>0.19397590361445791</v>
      </c>
      <c r="D124" s="5">
        <v>6.9999999999999993E-3</v>
      </c>
      <c r="E124" s="5">
        <v>1.545595054095827E-4</v>
      </c>
      <c r="F124" s="7" t="s">
        <v>449</v>
      </c>
      <c r="G124" s="7" t="s">
        <v>450</v>
      </c>
      <c r="H124" s="7" t="s">
        <v>2683</v>
      </c>
      <c r="I124" s="7" t="s">
        <v>2691</v>
      </c>
      <c r="J124" s="5">
        <v>0</v>
      </c>
      <c r="K124" s="5">
        <v>0</v>
      </c>
      <c r="L124" s="5">
        <v>0</v>
      </c>
      <c r="M124" s="5">
        <v>1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1</v>
      </c>
      <c r="Z124" s="5">
        <v>0</v>
      </c>
      <c r="AA124" s="5">
        <v>0</v>
      </c>
      <c r="AB124" s="5">
        <v>0</v>
      </c>
    </row>
    <row r="125" spans="1:28" ht="330" x14ac:dyDescent="0.25">
      <c r="A125" s="5">
        <v>224</v>
      </c>
      <c r="B125" s="5">
        <v>0.2021276595744681</v>
      </c>
      <c r="C125" s="5">
        <v>0.2301204819277109</v>
      </c>
      <c r="D125" s="5">
        <v>0.12</v>
      </c>
      <c r="E125" s="5">
        <v>0</v>
      </c>
      <c r="F125" s="7" t="s">
        <v>451</v>
      </c>
      <c r="G125" s="7" t="s">
        <v>452</v>
      </c>
      <c r="H125" s="7" t="s">
        <v>2688</v>
      </c>
      <c r="I125" s="7" t="s">
        <v>2689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1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1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</row>
    <row r="126" spans="1:28" ht="240" x14ac:dyDescent="0.25">
      <c r="A126" s="5">
        <v>225</v>
      </c>
      <c r="B126" s="5">
        <v>0.20319148936170209</v>
      </c>
      <c r="C126" s="5">
        <v>0.38554216867469882</v>
      </c>
      <c r="D126" s="5">
        <v>0.06</v>
      </c>
      <c r="E126" s="5">
        <v>0</v>
      </c>
      <c r="F126" s="7" t="s">
        <v>453</v>
      </c>
      <c r="G126" s="7" t="s">
        <v>454</v>
      </c>
      <c r="H126" s="7" t="s">
        <v>2688</v>
      </c>
      <c r="I126" s="7" t="s">
        <v>2689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1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1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</row>
    <row r="127" spans="1:28" ht="195" x14ac:dyDescent="0.25">
      <c r="A127" s="5">
        <v>229</v>
      </c>
      <c r="B127" s="5">
        <v>0.1638297872340426</v>
      </c>
      <c r="C127" s="5">
        <v>0.2</v>
      </c>
      <c r="D127" s="5">
        <v>9.1999999999999998E-2</v>
      </c>
      <c r="E127" s="5">
        <v>0</v>
      </c>
      <c r="F127" s="7" t="s">
        <v>461</v>
      </c>
      <c r="G127" s="7" t="s">
        <v>462</v>
      </c>
      <c r="H127" s="7" t="s">
        <v>2688</v>
      </c>
      <c r="I127" s="7" t="s">
        <v>2689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1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1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</row>
    <row r="128" spans="1:28" ht="240" x14ac:dyDescent="0.25">
      <c r="A128" s="5">
        <v>230</v>
      </c>
      <c r="B128" s="5">
        <v>8.9361702127659579E-2</v>
      </c>
      <c r="C128" s="5">
        <v>0.2253012048192771</v>
      </c>
      <c r="D128" s="5">
        <v>5.0000000000000001E-3</v>
      </c>
      <c r="E128" s="5">
        <v>0</v>
      </c>
      <c r="F128" s="7" t="s">
        <v>463</v>
      </c>
      <c r="G128" s="7" t="s">
        <v>464</v>
      </c>
      <c r="H128" s="7" t="s">
        <v>2688</v>
      </c>
      <c r="I128" s="7" t="s">
        <v>2689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1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1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</row>
    <row r="129" spans="1:28" ht="240" x14ac:dyDescent="0.25">
      <c r="A129" s="5">
        <v>232</v>
      </c>
      <c r="B129" s="5">
        <v>0.22021276595744679</v>
      </c>
      <c r="C129" s="5">
        <v>0.22650602409638559</v>
      </c>
      <c r="D129" s="5">
        <v>0.14000000000000001</v>
      </c>
      <c r="E129" s="5">
        <v>0</v>
      </c>
      <c r="F129" s="7" t="s">
        <v>467</v>
      </c>
      <c r="G129" s="7" t="s">
        <v>468</v>
      </c>
      <c r="H129" s="7" t="s">
        <v>2688</v>
      </c>
      <c r="I129" s="7" t="s">
        <v>2689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1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</row>
    <row r="130" spans="1:28" ht="225" x14ac:dyDescent="0.25">
      <c r="A130" s="5">
        <v>233</v>
      </c>
      <c r="B130" s="5">
        <v>2.8723404255319149E-2</v>
      </c>
      <c r="C130" s="5">
        <v>1.566265060240964E-2</v>
      </c>
      <c r="D130" s="5">
        <v>6.0000000000000001E-3</v>
      </c>
      <c r="E130" s="5">
        <v>6.1823802163833066E-3</v>
      </c>
      <c r="F130" s="7" t="s">
        <v>469</v>
      </c>
      <c r="G130" s="7" t="s">
        <v>470</v>
      </c>
      <c r="H130" s="7" t="s">
        <v>2683</v>
      </c>
      <c r="I130" s="7" t="s">
        <v>2685</v>
      </c>
      <c r="J130" s="5">
        <v>0</v>
      </c>
      <c r="K130" s="5">
        <v>0</v>
      </c>
      <c r="L130" s="5">
        <v>0</v>
      </c>
      <c r="M130" s="5">
        <v>1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1</v>
      </c>
      <c r="Y130" s="5">
        <v>0</v>
      </c>
      <c r="Z130" s="5">
        <v>0</v>
      </c>
      <c r="AA130" s="5">
        <v>0</v>
      </c>
      <c r="AB130" s="5">
        <v>0</v>
      </c>
    </row>
    <row r="131" spans="1:28" ht="225" x14ac:dyDescent="0.25">
      <c r="A131" s="5">
        <v>234</v>
      </c>
      <c r="B131" s="5">
        <v>3.085106382978723E-2</v>
      </c>
      <c r="C131" s="5">
        <v>2.168674698795181E-2</v>
      </c>
      <c r="D131" s="5">
        <v>6.9999999999999993E-3</v>
      </c>
      <c r="E131" s="5">
        <v>8.0370942812983005E-3</v>
      </c>
      <c r="F131" s="7" t="s">
        <v>471</v>
      </c>
      <c r="G131" s="7" t="s">
        <v>472</v>
      </c>
      <c r="H131" s="7" t="s">
        <v>2683</v>
      </c>
      <c r="I131" s="7" t="s">
        <v>2692</v>
      </c>
      <c r="J131" s="5">
        <v>0</v>
      </c>
      <c r="K131" s="5">
        <v>0</v>
      </c>
      <c r="L131" s="5">
        <v>0</v>
      </c>
      <c r="M131" s="5">
        <v>1</v>
      </c>
      <c r="N131" s="5">
        <v>0</v>
      </c>
      <c r="O131" s="5">
        <v>0</v>
      </c>
      <c r="P131" s="5">
        <v>0</v>
      </c>
      <c r="Q131" s="5">
        <v>0</v>
      </c>
      <c r="R131" s="5">
        <v>1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</row>
    <row r="132" spans="1:28" ht="300" x14ac:dyDescent="0.25">
      <c r="A132" s="5">
        <v>235</v>
      </c>
      <c r="B132" s="5">
        <v>4.3617021276595752E-2</v>
      </c>
      <c r="C132" s="5">
        <v>2.4096385542168679E-2</v>
      </c>
      <c r="D132" s="5">
        <v>3.0000000000000001E-3</v>
      </c>
      <c r="E132" s="5">
        <v>1.205564142194745E-2</v>
      </c>
      <c r="F132" s="7" t="s">
        <v>473</v>
      </c>
      <c r="G132" s="7" t="s">
        <v>474</v>
      </c>
      <c r="H132" s="7" t="s">
        <v>2683</v>
      </c>
      <c r="I132" s="7" t="s">
        <v>2692</v>
      </c>
      <c r="J132" s="5">
        <v>0</v>
      </c>
      <c r="K132" s="5">
        <v>0</v>
      </c>
      <c r="L132" s="5">
        <v>0</v>
      </c>
      <c r="M132" s="5">
        <v>1</v>
      </c>
      <c r="N132" s="5">
        <v>0</v>
      </c>
      <c r="O132" s="5">
        <v>0</v>
      </c>
      <c r="P132" s="5">
        <v>0</v>
      </c>
      <c r="Q132" s="5">
        <v>0</v>
      </c>
      <c r="R132" s="5">
        <v>1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</row>
    <row r="133" spans="1:28" ht="225" x14ac:dyDescent="0.25">
      <c r="A133" s="5">
        <v>236</v>
      </c>
      <c r="B133" s="5">
        <v>4.3617021276595752E-2</v>
      </c>
      <c r="C133" s="5">
        <v>3.2530120481927723E-2</v>
      </c>
      <c r="D133" s="5">
        <v>0.01</v>
      </c>
      <c r="E133" s="5">
        <v>1.1282843894899541E-2</v>
      </c>
      <c r="F133" s="7" t="s">
        <v>475</v>
      </c>
      <c r="G133" s="7" t="s">
        <v>476</v>
      </c>
      <c r="H133" s="7" t="s">
        <v>2683</v>
      </c>
      <c r="I133" s="7" t="s">
        <v>2685</v>
      </c>
      <c r="J133" s="5">
        <v>0</v>
      </c>
      <c r="K133" s="5">
        <v>0</v>
      </c>
      <c r="L133" s="5">
        <v>0</v>
      </c>
      <c r="M133" s="5">
        <v>1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1</v>
      </c>
      <c r="Y133" s="5">
        <v>0</v>
      </c>
      <c r="Z133" s="5">
        <v>0</v>
      </c>
      <c r="AA133" s="5">
        <v>0</v>
      </c>
      <c r="AB133" s="5">
        <v>0</v>
      </c>
    </row>
    <row r="134" spans="1:28" ht="165" x14ac:dyDescent="0.25">
      <c r="A134" s="5">
        <v>237</v>
      </c>
      <c r="B134" s="5">
        <v>5.3191489361702128E-2</v>
      </c>
      <c r="C134" s="5">
        <v>5.301204819277109E-2</v>
      </c>
      <c r="D134" s="5">
        <v>1.4E-2</v>
      </c>
      <c r="E134" s="5">
        <v>1.205564142194745E-2</v>
      </c>
      <c r="F134" s="7" t="s">
        <v>477</v>
      </c>
      <c r="G134" s="7" t="s">
        <v>478</v>
      </c>
      <c r="H134" s="7" t="s">
        <v>2683</v>
      </c>
      <c r="I134" s="7" t="s">
        <v>2685</v>
      </c>
      <c r="J134" s="5">
        <v>0</v>
      </c>
      <c r="K134" s="5">
        <v>0</v>
      </c>
      <c r="L134" s="5">
        <v>0</v>
      </c>
      <c r="M134" s="5">
        <v>1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1</v>
      </c>
      <c r="Y134" s="5">
        <v>0</v>
      </c>
      <c r="Z134" s="5">
        <v>0</v>
      </c>
      <c r="AA134" s="5">
        <v>0</v>
      </c>
      <c r="AB134" s="5">
        <v>0</v>
      </c>
    </row>
    <row r="135" spans="1:28" ht="240" x14ac:dyDescent="0.25">
      <c r="A135" s="5">
        <v>238</v>
      </c>
      <c r="B135" s="5">
        <v>4.4680851063829789E-2</v>
      </c>
      <c r="C135" s="5">
        <v>2.168674698795181E-2</v>
      </c>
      <c r="D135" s="5">
        <v>5.0000000000000001E-3</v>
      </c>
      <c r="E135" s="5">
        <v>1.452859350850077E-2</v>
      </c>
      <c r="F135" s="7" t="s">
        <v>479</v>
      </c>
      <c r="G135" s="7" t="s">
        <v>480</v>
      </c>
      <c r="H135" s="7" t="s">
        <v>2683</v>
      </c>
      <c r="I135" s="7" t="s">
        <v>2685</v>
      </c>
      <c r="J135" s="5">
        <v>0</v>
      </c>
      <c r="K135" s="5">
        <v>0</v>
      </c>
      <c r="L135" s="5">
        <v>0</v>
      </c>
      <c r="M135" s="5">
        <v>1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1</v>
      </c>
      <c r="Y135" s="5">
        <v>0</v>
      </c>
      <c r="Z135" s="5">
        <v>0</v>
      </c>
      <c r="AA135" s="5">
        <v>0</v>
      </c>
      <c r="AB135" s="5">
        <v>0</v>
      </c>
    </row>
    <row r="136" spans="1:28" ht="330" x14ac:dyDescent="0.25">
      <c r="A136" s="5">
        <v>239</v>
      </c>
      <c r="B136" s="5">
        <v>0.12978723404255321</v>
      </c>
      <c r="C136" s="5">
        <v>7.2289156626506035E-2</v>
      </c>
      <c r="D136" s="5">
        <v>0.01</v>
      </c>
      <c r="E136" s="5">
        <v>4.0185471406491501E-2</v>
      </c>
      <c r="F136" s="7" t="s">
        <v>481</v>
      </c>
      <c r="G136" s="7" t="s">
        <v>482</v>
      </c>
      <c r="H136" s="7" t="s">
        <v>2683</v>
      </c>
      <c r="I136" s="7" t="s">
        <v>2685</v>
      </c>
      <c r="J136" s="5">
        <v>0</v>
      </c>
      <c r="K136" s="5">
        <v>0</v>
      </c>
      <c r="L136" s="5">
        <v>0</v>
      </c>
      <c r="M136" s="5">
        <v>1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1</v>
      </c>
      <c r="Y136" s="5">
        <v>0</v>
      </c>
      <c r="Z136" s="5">
        <v>0</v>
      </c>
      <c r="AA136" s="5">
        <v>0</v>
      </c>
      <c r="AB136" s="5">
        <v>0</v>
      </c>
    </row>
    <row r="137" spans="1:28" ht="165" x14ac:dyDescent="0.25">
      <c r="A137" s="5">
        <v>240</v>
      </c>
      <c r="B137" s="5">
        <v>6.3829787234042548E-2</v>
      </c>
      <c r="C137" s="5">
        <v>3.7349397590361447E-2</v>
      </c>
      <c r="D137" s="5">
        <v>3.0000000000000001E-3</v>
      </c>
      <c r="E137" s="5">
        <v>2.1638330757341579E-2</v>
      </c>
      <c r="F137" s="7" t="s">
        <v>483</v>
      </c>
      <c r="G137" s="7" t="s">
        <v>484</v>
      </c>
      <c r="H137" s="7" t="s">
        <v>2683</v>
      </c>
      <c r="I137" s="7" t="s">
        <v>2685</v>
      </c>
      <c r="J137" s="5">
        <v>0</v>
      </c>
      <c r="K137" s="5">
        <v>0</v>
      </c>
      <c r="L137" s="5">
        <v>0</v>
      </c>
      <c r="M137" s="5">
        <v>1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1</v>
      </c>
      <c r="Y137" s="5">
        <v>0</v>
      </c>
      <c r="Z137" s="5">
        <v>0</v>
      </c>
      <c r="AA137" s="5">
        <v>0</v>
      </c>
      <c r="AB137" s="5">
        <v>0</v>
      </c>
    </row>
    <row r="138" spans="1:28" ht="285" x14ac:dyDescent="0.25">
      <c r="A138" s="5">
        <v>241</v>
      </c>
      <c r="B138" s="5">
        <v>6.1702127659574467E-2</v>
      </c>
      <c r="C138" s="5">
        <v>3.4939759036144581E-2</v>
      </c>
      <c r="D138" s="5">
        <v>6.9999999999999993E-3</v>
      </c>
      <c r="E138" s="5">
        <v>1.5455950540958271E-2</v>
      </c>
      <c r="F138" s="7" t="s">
        <v>485</v>
      </c>
      <c r="G138" s="7" t="s">
        <v>486</v>
      </c>
      <c r="H138" s="7" t="s">
        <v>2683</v>
      </c>
      <c r="I138" s="7" t="s">
        <v>2685</v>
      </c>
      <c r="J138" s="5">
        <v>0</v>
      </c>
      <c r="K138" s="5">
        <v>0</v>
      </c>
      <c r="L138" s="5">
        <v>0</v>
      </c>
      <c r="M138" s="5">
        <v>1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242</v>
      </c>
      <c r="B139">
        <v>3.1914893617021267E-2</v>
      </c>
      <c r="C139">
        <v>1.566265060240964E-2</v>
      </c>
      <c r="D139">
        <v>6.9999999999999993E-3</v>
      </c>
      <c r="E139">
        <v>8.9644513137557957E-3</v>
      </c>
      <c r="F139" t="s">
        <v>487</v>
      </c>
      <c r="G139" t="s">
        <v>488</v>
      </c>
      <c r="H139" t="s">
        <v>2683</v>
      </c>
      <c r="I139" t="s">
        <v>2685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>
        <v>243</v>
      </c>
      <c r="B140">
        <v>5.3191489361702128E-2</v>
      </c>
      <c r="C140">
        <v>5.5421686746987948E-2</v>
      </c>
      <c r="D140">
        <v>9.0000000000000011E-3</v>
      </c>
      <c r="E140">
        <v>1.081916537867079E-2</v>
      </c>
      <c r="F140" t="s">
        <v>489</v>
      </c>
      <c r="G140" t="s">
        <v>490</v>
      </c>
      <c r="H140" t="s">
        <v>2683</v>
      </c>
      <c r="I140" t="s">
        <v>2685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244</v>
      </c>
      <c r="B141">
        <v>6.5957446808510636E-2</v>
      </c>
      <c r="C141">
        <v>5.0602409638554217E-2</v>
      </c>
      <c r="D141">
        <v>9.0000000000000011E-3</v>
      </c>
      <c r="E141">
        <v>1.4219474497681611E-2</v>
      </c>
      <c r="F141" t="s">
        <v>491</v>
      </c>
      <c r="G141" t="s">
        <v>492</v>
      </c>
      <c r="H141" t="s">
        <v>2683</v>
      </c>
      <c r="I141" t="s">
        <v>2685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</row>
    <row r="142" spans="1:28" x14ac:dyDescent="0.25">
      <c r="A142">
        <v>245</v>
      </c>
      <c r="B142">
        <v>7.7659574468085107E-2</v>
      </c>
      <c r="C142">
        <v>5.5421686746987948E-2</v>
      </c>
      <c r="D142">
        <v>5.0000000000000001E-3</v>
      </c>
      <c r="E142">
        <v>2.5038639876352391E-2</v>
      </c>
      <c r="F142" t="s">
        <v>493</v>
      </c>
      <c r="G142" t="s">
        <v>494</v>
      </c>
      <c r="H142" t="s">
        <v>2683</v>
      </c>
      <c r="I142" t="s">
        <v>2685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>
        <v>246</v>
      </c>
      <c r="B143">
        <v>3.617021276595745E-2</v>
      </c>
      <c r="C143">
        <v>4.5783132530120479E-2</v>
      </c>
      <c r="D143">
        <v>5.0000000000000001E-3</v>
      </c>
      <c r="E143">
        <v>8.1916537867078813E-3</v>
      </c>
      <c r="F143" t="s">
        <v>495</v>
      </c>
      <c r="G143" t="s">
        <v>496</v>
      </c>
      <c r="H143" t="s">
        <v>2683</v>
      </c>
      <c r="I143" t="s">
        <v>2685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>
        <v>247</v>
      </c>
      <c r="B144">
        <v>9.8936170212765961E-2</v>
      </c>
      <c r="C144">
        <v>6.0240963855421693E-2</v>
      </c>
      <c r="D144">
        <v>1.2999999999999999E-2</v>
      </c>
      <c r="E144">
        <v>2.364760432766615E-2</v>
      </c>
      <c r="F144" t="s">
        <v>497</v>
      </c>
      <c r="G144" t="s">
        <v>498</v>
      </c>
      <c r="H144" t="s">
        <v>2683</v>
      </c>
      <c r="I144" t="s">
        <v>2685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</row>
    <row r="145" spans="1:28" x14ac:dyDescent="0.25">
      <c r="A145">
        <v>248</v>
      </c>
      <c r="B145">
        <v>2.8723404255319149E-2</v>
      </c>
      <c r="C145">
        <v>2.5301204819277109E-2</v>
      </c>
      <c r="D145">
        <v>6.9999999999999993E-3</v>
      </c>
      <c r="E145">
        <v>6.8006182380216376E-3</v>
      </c>
      <c r="F145" t="s">
        <v>499</v>
      </c>
      <c r="G145" t="s">
        <v>500</v>
      </c>
      <c r="H145" t="s">
        <v>2683</v>
      </c>
      <c r="I145" t="s">
        <v>2685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</row>
    <row r="146" spans="1:28" x14ac:dyDescent="0.25">
      <c r="A146">
        <v>249</v>
      </c>
      <c r="B146">
        <v>3.8297872340425532E-2</v>
      </c>
      <c r="C146">
        <v>3.4939759036144581E-2</v>
      </c>
      <c r="D146">
        <v>6.0000000000000001E-3</v>
      </c>
      <c r="E146">
        <v>1.0510046367851619E-2</v>
      </c>
      <c r="F146" t="s">
        <v>501</v>
      </c>
      <c r="G146" t="s">
        <v>502</v>
      </c>
      <c r="H146" t="s">
        <v>2683</v>
      </c>
      <c r="I146" t="s">
        <v>2687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>
        <v>250</v>
      </c>
      <c r="B147">
        <v>3.617021276595745E-2</v>
      </c>
      <c r="C147">
        <v>4.9397590361445781E-2</v>
      </c>
      <c r="D147">
        <v>4.0000000000000001E-3</v>
      </c>
      <c r="E147">
        <v>8.9644513137557957E-3</v>
      </c>
      <c r="F147" t="s">
        <v>503</v>
      </c>
      <c r="G147" t="s">
        <v>504</v>
      </c>
      <c r="H147" t="s">
        <v>2683</v>
      </c>
      <c r="I147" t="s">
        <v>2687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5">
      <c r="A148">
        <v>252</v>
      </c>
      <c r="B148">
        <v>3.1914893617021267E-2</v>
      </c>
      <c r="C148">
        <v>3.7349397590361447E-2</v>
      </c>
      <c r="D148">
        <v>3.0000000000000001E-3</v>
      </c>
      <c r="E148">
        <v>8.9644513137557957E-3</v>
      </c>
      <c r="F148" t="s">
        <v>507</v>
      </c>
      <c r="G148" t="s">
        <v>508</v>
      </c>
      <c r="H148" t="s">
        <v>2683</v>
      </c>
      <c r="I148" t="s">
        <v>2687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253</v>
      </c>
      <c r="B149">
        <v>9.7872340425531917E-2</v>
      </c>
      <c r="C149">
        <v>4.8192771084337352E-2</v>
      </c>
      <c r="D149">
        <v>3.5999999999999997E-2</v>
      </c>
      <c r="E149">
        <v>1.6846986089644508E-2</v>
      </c>
      <c r="F149" t="s">
        <v>509</v>
      </c>
      <c r="G149" t="s">
        <v>510</v>
      </c>
      <c r="H149" t="s">
        <v>2683</v>
      </c>
      <c r="I149" t="s">
        <v>2685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>
        <v>254</v>
      </c>
      <c r="B150">
        <v>6.2765957446808518E-2</v>
      </c>
      <c r="C150">
        <v>5.7831325301204821E-2</v>
      </c>
      <c r="D150">
        <v>0.01</v>
      </c>
      <c r="E150">
        <v>1.70015455950541E-2</v>
      </c>
      <c r="F150" t="s">
        <v>511</v>
      </c>
      <c r="G150" t="s">
        <v>512</v>
      </c>
      <c r="H150" t="s">
        <v>2683</v>
      </c>
      <c r="I150" t="s">
        <v>2685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255</v>
      </c>
      <c r="B151">
        <v>5.6382978723404253E-2</v>
      </c>
      <c r="C151">
        <v>6.3855421686746988E-2</v>
      </c>
      <c r="D151">
        <v>9.0000000000000011E-3</v>
      </c>
      <c r="E151">
        <v>1.4064914992272019E-2</v>
      </c>
      <c r="F151" t="s">
        <v>513</v>
      </c>
      <c r="G151" t="s">
        <v>514</v>
      </c>
      <c r="H151" t="s">
        <v>2683</v>
      </c>
      <c r="I151" t="s">
        <v>2685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</row>
    <row r="152" spans="1:28" x14ac:dyDescent="0.25">
      <c r="A152">
        <v>256</v>
      </c>
      <c r="B152">
        <v>6.2765957446808518E-2</v>
      </c>
      <c r="C152">
        <v>7.7108433734939766E-2</v>
      </c>
      <c r="D152">
        <v>0.01</v>
      </c>
      <c r="E152">
        <v>1.530139103554869E-2</v>
      </c>
      <c r="F152" t="s">
        <v>515</v>
      </c>
      <c r="G152" t="s">
        <v>516</v>
      </c>
      <c r="H152" t="s">
        <v>2683</v>
      </c>
      <c r="I152" t="s">
        <v>2685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>
        <v>257</v>
      </c>
      <c r="B153">
        <v>0.05</v>
      </c>
      <c r="C153">
        <v>6.0240963855421693E-2</v>
      </c>
      <c r="D153">
        <v>5.0000000000000001E-3</v>
      </c>
      <c r="E153">
        <v>1.3137557959814529E-2</v>
      </c>
      <c r="F153" t="s">
        <v>517</v>
      </c>
      <c r="G153" t="s">
        <v>518</v>
      </c>
      <c r="H153" t="s">
        <v>2683</v>
      </c>
      <c r="I153" t="s">
        <v>2685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</row>
    <row r="154" spans="1:28" x14ac:dyDescent="0.25">
      <c r="A154">
        <v>258</v>
      </c>
      <c r="B154">
        <v>6.2765957446808518E-2</v>
      </c>
      <c r="C154">
        <v>3.3734939759036138E-2</v>
      </c>
      <c r="D154">
        <v>3.0000000000000001E-3</v>
      </c>
      <c r="E154">
        <v>2.071097372488408E-2</v>
      </c>
      <c r="F154" t="s">
        <v>519</v>
      </c>
      <c r="G154" t="s">
        <v>520</v>
      </c>
      <c r="H154" t="s">
        <v>2683</v>
      </c>
      <c r="I154" t="s">
        <v>2685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25">
      <c r="A155">
        <v>259</v>
      </c>
      <c r="B155">
        <v>8.723404255319149E-2</v>
      </c>
      <c r="C155">
        <v>8.0722891566265068E-2</v>
      </c>
      <c r="D155">
        <v>1.7000000000000001E-2</v>
      </c>
      <c r="E155">
        <v>2.2102009273570321E-2</v>
      </c>
      <c r="F155" t="s">
        <v>521</v>
      </c>
      <c r="G155" t="s">
        <v>522</v>
      </c>
      <c r="H155" t="s">
        <v>2683</v>
      </c>
      <c r="I155" t="s">
        <v>2685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>
        <v>260</v>
      </c>
      <c r="B156">
        <v>6.4893617021276592E-2</v>
      </c>
      <c r="C156">
        <v>7.3493975903614464E-2</v>
      </c>
      <c r="D156">
        <v>9.0000000000000011E-3</v>
      </c>
      <c r="E156">
        <v>1.5455950540958271E-2</v>
      </c>
      <c r="F156" t="s">
        <v>523</v>
      </c>
      <c r="G156" t="s">
        <v>524</v>
      </c>
      <c r="H156" t="s">
        <v>2683</v>
      </c>
      <c r="I156" t="s">
        <v>2685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>
        <v>261</v>
      </c>
      <c r="B157">
        <v>4.8936170212765959E-2</v>
      </c>
      <c r="C157">
        <v>4.8192771084337352E-2</v>
      </c>
      <c r="D157">
        <v>5.0000000000000001E-3</v>
      </c>
      <c r="E157">
        <v>1.3755795981452859E-2</v>
      </c>
      <c r="F157" t="s">
        <v>525</v>
      </c>
      <c r="G157" t="s">
        <v>526</v>
      </c>
      <c r="H157" t="s">
        <v>2683</v>
      </c>
      <c r="I157" t="s">
        <v>2685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262</v>
      </c>
      <c r="B158">
        <v>4.7872340425531908E-2</v>
      </c>
      <c r="C158">
        <v>4.457831325301205E-2</v>
      </c>
      <c r="D158">
        <v>5.0000000000000001E-3</v>
      </c>
      <c r="E158">
        <v>1.0200927357032459E-2</v>
      </c>
      <c r="F158" t="s">
        <v>527</v>
      </c>
      <c r="G158" t="s">
        <v>528</v>
      </c>
      <c r="H158" t="s">
        <v>2683</v>
      </c>
      <c r="I158" t="s">
        <v>2685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263</v>
      </c>
      <c r="B159">
        <v>5.1063829787234047E-2</v>
      </c>
      <c r="C159">
        <v>5.4216867469879519E-2</v>
      </c>
      <c r="D159">
        <v>8.0000000000000002E-3</v>
      </c>
      <c r="E159">
        <v>1.4064914992272019E-2</v>
      </c>
      <c r="F159" t="s">
        <v>529</v>
      </c>
      <c r="G159" t="s">
        <v>530</v>
      </c>
      <c r="H159" t="s">
        <v>2683</v>
      </c>
      <c r="I159" t="s">
        <v>2685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>
        <v>264</v>
      </c>
      <c r="B160">
        <v>2.3404255319148939E-2</v>
      </c>
      <c r="C160">
        <v>2.5301204819277109E-2</v>
      </c>
      <c r="D160">
        <v>5.0000000000000001E-3</v>
      </c>
      <c r="E160">
        <v>5.5641421947449756E-3</v>
      </c>
      <c r="F160" t="s">
        <v>531</v>
      </c>
      <c r="G160" t="s">
        <v>532</v>
      </c>
      <c r="H160" t="s">
        <v>2683</v>
      </c>
      <c r="I160" t="s">
        <v>2685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>
        <v>265</v>
      </c>
      <c r="B161">
        <v>2.4468085106382979E-2</v>
      </c>
      <c r="C161">
        <v>3.6144578313253017E-2</v>
      </c>
      <c r="D161">
        <v>3.0000000000000001E-3</v>
      </c>
      <c r="E161">
        <v>5.7187017001545598E-3</v>
      </c>
      <c r="F161" t="s">
        <v>533</v>
      </c>
      <c r="G161" t="s">
        <v>534</v>
      </c>
      <c r="H161" t="s">
        <v>2683</v>
      </c>
      <c r="I161" t="s">
        <v>2687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5">
      <c r="A162">
        <v>266</v>
      </c>
      <c r="B162">
        <v>5.4255319148936172E-2</v>
      </c>
      <c r="C162">
        <v>3.012048192771084E-2</v>
      </c>
      <c r="D162">
        <v>1.0999999999999999E-2</v>
      </c>
      <c r="E162">
        <v>1.236476043276661E-2</v>
      </c>
      <c r="F162" t="s">
        <v>535</v>
      </c>
      <c r="G162" t="s">
        <v>536</v>
      </c>
      <c r="H162" t="s">
        <v>2683</v>
      </c>
      <c r="I162" t="s">
        <v>2685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267</v>
      </c>
      <c r="B163">
        <v>1.48936170212766E-2</v>
      </c>
      <c r="C163">
        <v>1.566265060240964E-2</v>
      </c>
      <c r="D163">
        <v>3.0000000000000001E-3</v>
      </c>
      <c r="E163">
        <v>3.5548686244204009E-3</v>
      </c>
      <c r="F163" t="s">
        <v>537</v>
      </c>
      <c r="G163" t="s">
        <v>538</v>
      </c>
      <c r="H163" t="s">
        <v>2683</v>
      </c>
      <c r="I163" t="s">
        <v>2685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</row>
    <row r="164" spans="1:28" x14ac:dyDescent="0.25">
      <c r="A164">
        <v>268</v>
      </c>
      <c r="B164">
        <v>6.3829787234042548E-2</v>
      </c>
      <c r="C164">
        <v>4.8192771084337352E-2</v>
      </c>
      <c r="D164">
        <v>4.0000000000000001E-3</v>
      </c>
      <c r="E164">
        <v>7.2642967542503869E-3</v>
      </c>
      <c r="F164" t="s">
        <v>539</v>
      </c>
      <c r="G164" t="s">
        <v>540</v>
      </c>
      <c r="H164" t="s">
        <v>2683</v>
      </c>
      <c r="I164" t="s">
        <v>2685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>
        <v>269</v>
      </c>
      <c r="B165">
        <v>3.1914893617021267E-2</v>
      </c>
      <c r="C165">
        <v>4.3373493975903621E-2</v>
      </c>
      <c r="D165">
        <v>6.0000000000000001E-3</v>
      </c>
      <c r="E165">
        <v>6.955177743431221E-3</v>
      </c>
      <c r="F165" t="s">
        <v>541</v>
      </c>
      <c r="G165" t="s">
        <v>542</v>
      </c>
      <c r="H165" t="s">
        <v>2683</v>
      </c>
      <c r="I165" t="s">
        <v>2685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</row>
    <row r="166" spans="1:28" x14ac:dyDescent="0.25">
      <c r="A166">
        <v>270</v>
      </c>
      <c r="B166">
        <v>9.2553191489361697E-2</v>
      </c>
      <c r="C166">
        <v>0.1</v>
      </c>
      <c r="D166">
        <v>1.7999999999999999E-2</v>
      </c>
      <c r="E166">
        <v>2.2256568778979909E-2</v>
      </c>
      <c r="F166" t="s">
        <v>543</v>
      </c>
      <c r="G166" t="s">
        <v>544</v>
      </c>
      <c r="H166" t="s">
        <v>2683</v>
      </c>
      <c r="I166" t="s">
        <v>2687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271</v>
      </c>
      <c r="B167">
        <v>8.085106382978724E-2</v>
      </c>
      <c r="C167">
        <v>3.3734939759036138E-2</v>
      </c>
      <c r="D167">
        <v>2E-3</v>
      </c>
      <c r="E167">
        <v>2.4420401854714061E-2</v>
      </c>
      <c r="F167" t="s">
        <v>545</v>
      </c>
      <c r="G167" t="s">
        <v>546</v>
      </c>
      <c r="H167" t="s">
        <v>2683</v>
      </c>
      <c r="I167" t="s">
        <v>2685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272</v>
      </c>
      <c r="B168">
        <v>4.7872340425531908E-2</v>
      </c>
      <c r="C168">
        <v>5.6626506024096392E-2</v>
      </c>
      <c r="D168">
        <v>5.0000000000000001E-3</v>
      </c>
      <c r="E168">
        <v>1.2519319938176199E-2</v>
      </c>
      <c r="F168" t="s">
        <v>547</v>
      </c>
      <c r="G168" t="s">
        <v>548</v>
      </c>
      <c r="H168" t="s">
        <v>2683</v>
      </c>
      <c r="I168" t="s">
        <v>2685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273</v>
      </c>
      <c r="B169">
        <v>3.1914893617021267E-2</v>
      </c>
      <c r="C169">
        <v>2.7710843373493971E-2</v>
      </c>
      <c r="D169">
        <v>4.0000000000000001E-3</v>
      </c>
      <c r="E169">
        <v>8.9644513137557957E-3</v>
      </c>
      <c r="F169" t="s">
        <v>549</v>
      </c>
      <c r="G169" t="s">
        <v>550</v>
      </c>
      <c r="H169" t="s">
        <v>2683</v>
      </c>
      <c r="I169" t="s">
        <v>2685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274</v>
      </c>
      <c r="B170">
        <v>4.2553191489361701E-2</v>
      </c>
      <c r="C170">
        <v>3.6144578313253017E-2</v>
      </c>
      <c r="D170">
        <v>8.0000000000000002E-3</v>
      </c>
      <c r="E170">
        <v>1.143740340030912E-2</v>
      </c>
      <c r="F170" t="s">
        <v>551</v>
      </c>
      <c r="G170" t="s">
        <v>552</v>
      </c>
      <c r="H170" t="s">
        <v>2683</v>
      </c>
      <c r="I170" t="s">
        <v>2685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275</v>
      </c>
      <c r="B171">
        <v>5.7446808510638298E-2</v>
      </c>
      <c r="C171">
        <v>4.457831325301205E-2</v>
      </c>
      <c r="D171">
        <v>3.0000000000000001E-3</v>
      </c>
      <c r="E171">
        <v>1.823802163833076E-2</v>
      </c>
      <c r="F171" t="s">
        <v>553</v>
      </c>
      <c r="G171" t="s">
        <v>554</v>
      </c>
      <c r="H171" t="s">
        <v>2683</v>
      </c>
      <c r="I171" t="s">
        <v>2685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276</v>
      </c>
      <c r="B172">
        <v>7.5531914893617019E-2</v>
      </c>
      <c r="C172">
        <v>8.1927710843373497E-2</v>
      </c>
      <c r="D172">
        <v>1.6E-2</v>
      </c>
      <c r="E172">
        <v>1.7774343122102011E-2</v>
      </c>
      <c r="F172" t="s">
        <v>555</v>
      </c>
      <c r="G172" t="s">
        <v>556</v>
      </c>
      <c r="H172" t="s">
        <v>2683</v>
      </c>
      <c r="I172" t="s">
        <v>2685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277</v>
      </c>
      <c r="B173">
        <v>0.1053191489361702</v>
      </c>
      <c r="C173">
        <v>6.0240963855421693E-2</v>
      </c>
      <c r="D173">
        <v>1.2999999999999999E-2</v>
      </c>
      <c r="E173">
        <v>3.2921174652241113E-2</v>
      </c>
      <c r="F173" t="s">
        <v>557</v>
      </c>
      <c r="G173" t="s">
        <v>558</v>
      </c>
      <c r="H173" t="s">
        <v>2683</v>
      </c>
      <c r="I173" t="s">
        <v>2687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279</v>
      </c>
      <c r="B174">
        <v>0.1765957446808511</v>
      </c>
      <c r="C174">
        <v>2.0481927710843371E-2</v>
      </c>
      <c r="D174">
        <v>5.0000000000000001E-3</v>
      </c>
      <c r="E174">
        <v>5.9969088098918079E-2</v>
      </c>
      <c r="F174" t="s">
        <v>561</v>
      </c>
      <c r="G174" t="s">
        <v>562</v>
      </c>
      <c r="H174" t="s">
        <v>2683</v>
      </c>
      <c r="I174" t="s">
        <v>2685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280</v>
      </c>
      <c r="B175">
        <v>2.3404255319148939E-2</v>
      </c>
      <c r="C175">
        <v>1.204819277108434E-2</v>
      </c>
      <c r="D175">
        <v>1E-3</v>
      </c>
      <c r="E175">
        <v>8.1916537867078813E-3</v>
      </c>
      <c r="F175" t="s">
        <v>563</v>
      </c>
      <c r="G175" t="s">
        <v>564</v>
      </c>
      <c r="H175" t="s">
        <v>2683</v>
      </c>
      <c r="I175" t="s">
        <v>2685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281</v>
      </c>
      <c r="B176">
        <v>2.3404255319148939E-2</v>
      </c>
      <c r="C176">
        <v>1.204819277108434E-2</v>
      </c>
      <c r="D176">
        <v>1E-3</v>
      </c>
      <c r="E176">
        <v>8.1916537867078813E-3</v>
      </c>
      <c r="F176" t="s">
        <v>565</v>
      </c>
      <c r="G176" t="s">
        <v>566</v>
      </c>
      <c r="H176" t="s">
        <v>2683</v>
      </c>
      <c r="I176" t="s">
        <v>2685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</row>
    <row r="177" spans="1:28" x14ac:dyDescent="0.25">
      <c r="A177">
        <v>282</v>
      </c>
      <c r="B177">
        <v>3.7234042553191488E-2</v>
      </c>
      <c r="C177">
        <v>4.8192771084337352E-2</v>
      </c>
      <c r="D177">
        <v>3.0000000000000001E-3</v>
      </c>
      <c r="E177">
        <v>9.8918083462132926E-3</v>
      </c>
      <c r="F177" t="s">
        <v>567</v>
      </c>
      <c r="G177" t="s">
        <v>568</v>
      </c>
      <c r="H177" t="s">
        <v>2683</v>
      </c>
      <c r="I177" t="s">
        <v>2685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283</v>
      </c>
      <c r="B178">
        <v>5.7446808510638298E-2</v>
      </c>
      <c r="C178">
        <v>2.6506024096385541E-2</v>
      </c>
      <c r="D178">
        <v>3.5999999999999997E-2</v>
      </c>
      <c r="E178">
        <v>4.7913446676970638E-3</v>
      </c>
      <c r="F178" t="s">
        <v>569</v>
      </c>
      <c r="G178" t="s">
        <v>570</v>
      </c>
      <c r="H178" t="s">
        <v>2683</v>
      </c>
      <c r="I178" t="s">
        <v>2685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284</v>
      </c>
      <c r="B179">
        <v>4.1489361702127657E-2</v>
      </c>
      <c r="C179">
        <v>5.4216867469879519E-2</v>
      </c>
      <c r="D179">
        <v>4.0000000000000001E-3</v>
      </c>
      <c r="E179">
        <v>1.066460587326121E-2</v>
      </c>
      <c r="F179" t="s">
        <v>571</v>
      </c>
      <c r="G179" t="s">
        <v>572</v>
      </c>
      <c r="H179" t="s">
        <v>2683</v>
      </c>
      <c r="I179" t="s">
        <v>2685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285</v>
      </c>
      <c r="B180">
        <v>5.6382978723404253E-2</v>
      </c>
      <c r="C180">
        <v>4.0963855421686748E-2</v>
      </c>
      <c r="D180">
        <v>1.2E-2</v>
      </c>
      <c r="E180">
        <v>1.1128284389489949E-2</v>
      </c>
      <c r="F180" t="s">
        <v>573</v>
      </c>
      <c r="G180" t="s">
        <v>574</v>
      </c>
      <c r="H180" t="s">
        <v>2683</v>
      </c>
      <c r="I180" t="s">
        <v>2685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286</v>
      </c>
      <c r="B181">
        <v>3.085106382978723E-2</v>
      </c>
      <c r="C181">
        <v>4.0963855421686748E-2</v>
      </c>
      <c r="D181">
        <v>1E-3</v>
      </c>
      <c r="E181">
        <v>1.004636785162288E-2</v>
      </c>
      <c r="F181" t="s">
        <v>575</v>
      </c>
      <c r="G181" t="s">
        <v>576</v>
      </c>
      <c r="H181" t="s">
        <v>2683</v>
      </c>
      <c r="I181" t="s">
        <v>2685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287</v>
      </c>
      <c r="B182">
        <v>0.1106382978723404</v>
      </c>
      <c r="C182">
        <v>4.6987951807228923E-2</v>
      </c>
      <c r="D182">
        <v>6.0000000000000001E-3</v>
      </c>
      <c r="E182">
        <v>2.76661514683153E-2</v>
      </c>
      <c r="F182" t="s">
        <v>577</v>
      </c>
      <c r="G182" t="s">
        <v>578</v>
      </c>
      <c r="H182" t="s">
        <v>2683</v>
      </c>
      <c r="I182" t="s">
        <v>2685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>
        <v>288</v>
      </c>
      <c r="B183">
        <v>5.2127659574468077E-2</v>
      </c>
      <c r="C183">
        <v>3.2530120481927723E-2</v>
      </c>
      <c r="D183">
        <v>0.01</v>
      </c>
      <c r="E183">
        <v>1.298299845440495E-2</v>
      </c>
      <c r="F183" t="s">
        <v>579</v>
      </c>
      <c r="G183" t="s">
        <v>580</v>
      </c>
      <c r="H183" t="s">
        <v>2683</v>
      </c>
      <c r="I183" t="s">
        <v>2685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289</v>
      </c>
      <c r="B184">
        <v>9.2553191489361697E-2</v>
      </c>
      <c r="C184">
        <v>9.6385542168674704E-2</v>
      </c>
      <c r="D184">
        <v>0.02</v>
      </c>
      <c r="E184">
        <v>1.8392581143740341E-2</v>
      </c>
      <c r="F184" t="s">
        <v>581</v>
      </c>
      <c r="G184" t="s">
        <v>582</v>
      </c>
      <c r="H184" t="s">
        <v>2683</v>
      </c>
      <c r="I184" t="s">
        <v>2685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290</v>
      </c>
      <c r="B185">
        <v>0.13617021276595739</v>
      </c>
      <c r="C185">
        <v>0.1445783132530121</v>
      </c>
      <c r="D185">
        <v>6.5000000000000002E-2</v>
      </c>
      <c r="E185">
        <v>1.9165378670788259E-2</v>
      </c>
      <c r="F185" t="s">
        <v>583</v>
      </c>
      <c r="G185" t="s">
        <v>584</v>
      </c>
      <c r="H185" t="s">
        <v>2683</v>
      </c>
      <c r="I185" t="s">
        <v>2685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291</v>
      </c>
      <c r="B186">
        <v>3.9361702127659583E-2</v>
      </c>
      <c r="C186">
        <v>3.012048192771084E-2</v>
      </c>
      <c r="D186">
        <v>8.0000000000000002E-3</v>
      </c>
      <c r="E186">
        <v>1.066460587326121E-2</v>
      </c>
      <c r="F186" t="s">
        <v>585</v>
      </c>
      <c r="G186" t="s">
        <v>586</v>
      </c>
      <c r="H186" t="s">
        <v>2683</v>
      </c>
      <c r="I186" t="s">
        <v>2685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292</v>
      </c>
      <c r="B187">
        <v>0.3202127659574468</v>
      </c>
      <c r="C187">
        <v>0.1710843373493976</v>
      </c>
      <c r="D187">
        <v>0.109</v>
      </c>
      <c r="E187">
        <v>7.5734157650695522E-2</v>
      </c>
      <c r="F187" t="s">
        <v>587</v>
      </c>
      <c r="G187" t="s">
        <v>588</v>
      </c>
      <c r="H187" t="s">
        <v>2694</v>
      </c>
      <c r="I187" t="s">
        <v>2685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293</v>
      </c>
      <c r="B188">
        <v>6.5957446808510636E-2</v>
      </c>
      <c r="C188">
        <v>4.8192771084337352E-2</v>
      </c>
      <c r="D188">
        <v>5.0000000000000001E-3</v>
      </c>
      <c r="E188">
        <v>1.6228748068006182E-2</v>
      </c>
      <c r="F188" t="s">
        <v>589</v>
      </c>
      <c r="G188" t="s">
        <v>590</v>
      </c>
      <c r="H188" t="s">
        <v>2683</v>
      </c>
      <c r="I188" t="s">
        <v>2685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294</v>
      </c>
      <c r="B189">
        <v>4.7872340425531908E-2</v>
      </c>
      <c r="C189">
        <v>5.301204819277109E-2</v>
      </c>
      <c r="D189">
        <v>0.08</v>
      </c>
      <c r="E189">
        <v>7.7279752704791343E-4</v>
      </c>
      <c r="F189" t="s">
        <v>591</v>
      </c>
      <c r="G189" t="s">
        <v>592</v>
      </c>
      <c r="H189" t="s">
        <v>2683</v>
      </c>
      <c r="I189" t="s">
        <v>2685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295</v>
      </c>
      <c r="B190">
        <v>4.7872340425531908E-2</v>
      </c>
      <c r="C190">
        <v>5.301204819277109E-2</v>
      </c>
      <c r="D190">
        <v>5.0000000000000001E-3</v>
      </c>
      <c r="E190">
        <v>1.3137557959814529E-2</v>
      </c>
      <c r="F190" t="s">
        <v>593</v>
      </c>
      <c r="G190" t="s">
        <v>594</v>
      </c>
      <c r="H190" t="s">
        <v>2683</v>
      </c>
      <c r="I190" t="s">
        <v>2685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296</v>
      </c>
      <c r="B191">
        <v>5.6382978723404253E-2</v>
      </c>
      <c r="C191">
        <v>3.8554216867469883E-2</v>
      </c>
      <c r="D191">
        <v>2.5000000000000001E-2</v>
      </c>
      <c r="E191">
        <v>1.174652241112828E-2</v>
      </c>
      <c r="F191" t="s">
        <v>595</v>
      </c>
      <c r="G191" t="s">
        <v>596</v>
      </c>
      <c r="H191" t="s">
        <v>2683</v>
      </c>
      <c r="I191" t="s">
        <v>2685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</row>
    <row r="192" spans="1:28" x14ac:dyDescent="0.25">
      <c r="A192">
        <v>297</v>
      </c>
      <c r="B192">
        <v>7.2340425531914901E-2</v>
      </c>
      <c r="C192">
        <v>2.4096385542168679E-2</v>
      </c>
      <c r="D192">
        <v>0.01</v>
      </c>
      <c r="E192">
        <v>2.349304482225657E-2</v>
      </c>
      <c r="F192" t="s">
        <v>597</v>
      </c>
      <c r="G192" t="s">
        <v>598</v>
      </c>
      <c r="H192" t="s">
        <v>2683</v>
      </c>
      <c r="I192" t="s">
        <v>2685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298</v>
      </c>
      <c r="B193">
        <v>7.7659574468085107E-2</v>
      </c>
      <c r="C193">
        <v>8.1927710843373497E-2</v>
      </c>
      <c r="D193">
        <v>1.2E-2</v>
      </c>
      <c r="E193">
        <v>2.009273570324575E-2</v>
      </c>
      <c r="F193" t="s">
        <v>599</v>
      </c>
      <c r="G193" t="s">
        <v>600</v>
      </c>
      <c r="H193" t="s">
        <v>2683</v>
      </c>
      <c r="I193" t="s">
        <v>2685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299</v>
      </c>
      <c r="B194">
        <v>0.1531914893617021</v>
      </c>
      <c r="C194">
        <v>0.15301204819277109</v>
      </c>
      <c r="D194">
        <v>1.2E-2</v>
      </c>
      <c r="E194">
        <v>3.8948995363214833E-2</v>
      </c>
      <c r="F194" t="s">
        <v>601</v>
      </c>
      <c r="G194" t="s">
        <v>602</v>
      </c>
      <c r="H194" t="s">
        <v>2683</v>
      </c>
      <c r="I194" t="s">
        <v>2685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300</v>
      </c>
      <c r="B195">
        <v>5.3191489361702128E-2</v>
      </c>
      <c r="C195">
        <v>7.4698795180722893E-2</v>
      </c>
      <c r="D195">
        <v>1.0999999999999999E-2</v>
      </c>
      <c r="E195">
        <v>1.097372488408037E-2</v>
      </c>
      <c r="F195" t="s">
        <v>603</v>
      </c>
      <c r="G195" t="s">
        <v>604</v>
      </c>
      <c r="H195" t="s">
        <v>2683</v>
      </c>
      <c r="I195" t="s">
        <v>2685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301</v>
      </c>
      <c r="B196">
        <v>7.8723404255319152E-2</v>
      </c>
      <c r="C196">
        <v>7.5903614457831323E-2</v>
      </c>
      <c r="D196">
        <v>6.9999999999999993E-3</v>
      </c>
      <c r="E196">
        <v>1.653786707882535E-2</v>
      </c>
      <c r="F196" t="s">
        <v>605</v>
      </c>
      <c r="G196" t="s">
        <v>606</v>
      </c>
      <c r="H196" t="s">
        <v>2683</v>
      </c>
      <c r="I196" t="s">
        <v>2685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302</v>
      </c>
      <c r="B197">
        <v>5.8510638297872342E-2</v>
      </c>
      <c r="C197">
        <v>4.8192771084337352E-2</v>
      </c>
      <c r="D197">
        <v>5.0000000000000001E-3</v>
      </c>
      <c r="E197">
        <v>1.3137557959814529E-2</v>
      </c>
      <c r="F197" t="s">
        <v>607</v>
      </c>
      <c r="G197" t="s">
        <v>608</v>
      </c>
      <c r="H197" t="s">
        <v>2683</v>
      </c>
      <c r="I197" t="s">
        <v>2685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</row>
    <row r="198" spans="1:28" x14ac:dyDescent="0.25">
      <c r="A198">
        <v>303</v>
      </c>
      <c r="B198">
        <v>3.2978723404255318E-2</v>
      </c>
      <c r="C198">
        <v>4.457831325301205E-2</v>
      </c>
      <c r="D198">
        <v>6.0000000000000001E-3</v>
      </c>
      <c r="E198">
        <v>7.4188562596599686E-3</v>
      </c>
      <c r="F198" t="s">
        <v>609</v>
      </c>
      <c r="G198" t="s">
        <v>610</v>
      </c>
      <c r="H198" t="s">
        <v>2683</v>
      </c>
      <c r="I198" t="s">
        <v>2685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>
        <v>304</v>
      </c>
      <c r="B199">
        <v>5.3191489361702128E-2</v>
      </c>
      <c r="C199">
        <v>7.4698795180722893E-2</v>
      </c>
      <c r="D199">
        <v>1.0999999999999999E-2</v>
      </c>
      <c r="E199">
        <v>1.097372488408037E-2</v>
      </c>
      <c r="F199" t="s">
        <v>611</v>
      </c>
      <c r="G199" t="s">
        <v>612</v>
      </c>
      <c r="H199" t="s">
        <v>2683</v>
      </c>
      <c r="I199" t="s">
        <v>2685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305</v>
      </c>
      <c r="B200">
        <v>3.8297872340425532E-2</v>
      </c>
      <c r="C200">
        <v>3.1325301204819279E-2</v>
      </c>
      <c r="D200">
        <v>9.0000000000000011E-3</v>
      </c>
      <c r="E200">
        <v>9.4281298299845433E-3</v>
      </c>
      <c r="F200" t="s">
        <v>613</v>
      </c>
      <c r="G200" t="s">
        <v>614</v>
      </c>
      <c r="H200" t="s">
        <v>2683</v>
      </c>
      <c r="I200" t="s">
        <v>2685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>
        <v>306</v>
      </c>
      <c r="B201">
        <v>2.8723404255319149E-2</v>
      </c>
      <c r="C201">
        <v>1.566265060240964E-2</v>
      </c>
      <c r="D201">
        <v>2E-3</v>
      </c>
      <c r="E201">
        <v>9.1190108191653782E-3</v>
      </c>
      <c r="F201" t="s">
        <v>615</v>
      </c>
      <c r="G201" t="s">
        <v>616</v>
      </c>
      <c r="H201" t="s">
        <v>2683</v>
      </c>
      <c r="I201" t="s">
        <v>2685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307</v>
      </c>
      <c r="B202">
        <v>6.2765957446808518E-2</v>
      </c>
      <c r="C202">
        <v>3.6144578313253017E-2</v>
      </c>
      <c r="D202">
        <v>4.0000000000000001E-3</v>
      </c>
      <c r="E202">
        <v>2.0865533230293661E-2</v>
      </c>
      <c r="F202" t="s">
        <v>617</v>
      </c>
      <c r="G202" t="s">
        <v>618</v>
      </c>
      <c r="H202" t="s">
        <v>2683</v>
      </c>
      <c r="I202" t="s">
        <v>2685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308</v>
      </c>
      <c r="B203">
        <v>7.5531914893617019E-2</v>
      </c>
      <c r="C203">
        <v>4.9397590361445781E-2</v>
      </c>
      <c r="D203">
        <v>2.1000000000000001E-2</v>
      </c>
      <c r="E203">
        <v>1.9010819165378671E-2</v>
      </c>
      <c r="F203" t="s">
        <v>619</v>
      </c>
      <c r="G203" t="s">
        <v>620</v>
      </c>
      <c r="H203" t="s">
        <v>2683</v>
      </c>
      <c r="I203" t="s">
        <v>2685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309</v>
      </c>
      <c r="B204">
        <v>2.8723404255319149E-2</v>
      </c>
      <c r="C204">
        <v>1.566265060240964E-2</v>
      </c>
      <c r="D204">
        <v>2E-3</v>
      </c>
      <c r="E204">
        <v>9.1190108191653782E-3</v>
      </c>
      <c r="F204" t="s">
        <v>621</v>
      </c>
      <c r="G204" t="s">
        <v>622</v>
      </c>
      <c r="H204" t="s">
        <v>2683</v>
      </c>
      <c r="I204" t="s">
        <v>2685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310</v>
      </c>
      <c r="B205">
        <v>7.4468085106382975E-2</v>
      </c>
      <c r="C205">
        <v>3.4939759036144581E-2</v>
      </c>
      <c r="D205">
        <v>3.0000000000000001E-3</v>
      </c>
      <c r="E205">
        <v>2.1483771251931991E-2</v>
      </c>
      <c r="F205" t="s">
        <v>623</v>
      </c>
      <c r="G205" t="s">
        <v>624</v>
      </c>
      <c r="H205" t="s">
        <v>2683</v>
      </c>
      <c r="I205" t="s">
        <v>2685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311</v>
      </c>
      <c r="B206">
        <v>0.05</v>
      </c>
      <c r="C206">
        <v>3.3734939759036138E-2</v>
      </c>
      <c r="D206">
        <v>4.0000000000000001E-3</v>
      </c>
      <c r="E206">
        <v>1.6074188562596601E-2</v>
      </c>
      <c r="F206" t="s">
        <v>625</v>
      </c>
      <c r="G206" t="s">
        <v>626</v>
      </c>
      <c r="H206" t="s">
        <v>2683</v>
      </c>
      <c r="I206" t="s">
        <v>2685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313</v>
      </c>
      <c r="B207">
        <v>6.5957446808510636E-2</v>
      </c>
      <c r="C207">
        <v>4.457831325301205E-2</v>
      </c>
      <c r="D207">
        <v>3.0000000000000001E-3</v>
      </c>
      <c r="E207">
        <v>1.715610510046368E-2</v>
      </c>
      <c r="F207" t="s">
        <v>629</v>
      </c>
      <c r="G207" t="s">
        <v>630</v>
      </c>
      <c r="H207" t="s">
        <v>2683</v>
      </c>
      <c r="I207" t="s">
        <v>2685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315</v>
      </c>
      <c r="B208">
        <v>5.1063829787234047E-2</v>
      </c>
      <c r="C208">
        <v>3.6144578313253017E-2</v>
      </c>
      <c r="D208">
        <v>3.0000000000000001E-3</v>
      </c>
      <c r="E208">
        <v>1.6692426584234931E-2</v>
      </c>
      <c r="F208" t="s">
        <v>633</v>
      </c>
      <c r="G208" t="s">
        <v>634</v>
      </c>
      <c r="H208" t="s">
        <v>2683</v>
      </c>
      <c r="I208" t="s">
        <v>2685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316</v>
      </c>
      <c r="B209">
        <v>4.8936170212765959E-2</v>
      </c>
      <c r="C209">
        <v>3.3734939759036138E-2</v>
      </c>
      <c r="D209">
        <v>2E-3</v>
      </c>
      <c r="E209">
        <v>1.267387944358578E-2</v>
      </c>
      <c r="F209" t="s">
        <v>635</v>
      </c>
      <c r="G209" t="s">
        <v>636</v>
      </c>
      <c r="H209" t="s">
        <v>2683</v>
      </c>
      <c r="I209" t="s">
        <v>2685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317</v>
      </c>
      <c r="B210">
        <v>5.8510638297872342E-2</v>
      </c>
      <c r="C210">
        <v>2.0481927710843371E-2</v>
      </c>
      <c r="D210">
        <v>1E-3</v>
      </c>
      <c r="E210">
        <v>1.8392581143740341E-2</v>
      </c>
      <c r="F210" t="s">
        <v>637</v>
      </c>
      <c r="G210" t="s">
        <v>638</v>
      </c>
      <c r="H210" t="s">
        <v>2683</v>
      </c>
      <c r="I210" t="s">
        <v>2685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>
        <v>320</v>
      </c>
      <c r="B211">
        <v>0.46063829787234051</v>
      </c>
      <c r="C211">
        <v>0.66265060240963858</v>
      </c>
      <c r="D211">
        <v>0.09</v>
      </c>
      <c r="E211">
        <v>0</v>
      </c>
      <c r="F211" t="s">
        <v>643</v>
      </c>
      <c r="G211" t="s">
        <v>644</v>
      </c>
      <c r="H211" t="s">
        <v>2688</v>
      </c>
      <c r="I211" t="s">
        <v>2689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322</v>
      </c>
      <c r="B212">
        <v>8.1914893617021284E-2</v>
      </c>
      <c r="C212">
        <v>0.16626506024096391</v>
      </c>
      <c r="D212">
        <v>1.9E-2</v>
      </c>
      <c r="E212">
        <v>1.081916537867079E-3</v>
      </c>
      <c r="F212" t="s">
        <v>647</v>
      </c>
      <c r="G212" t="s">
        <v>648</v>
      </c>
      <c r="H212" t="s">
        <v>2688</v>
      </c>
      <c r="I212" t="s">
        <v>2689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>
        <v>323</v>
      </c>
      <c r="B213">
        <v>0.1106382978723404</v>
      </c>
      <c r="C213">
        <v>0.26385542168674703</v>
      </c>
      <c r="D213">
        <v>1.0999999999999999E-2</v>
      </c>
      <c r="E213">
        <v>0</v>
      </c>
      <c r="F213" t="s">
        <v>649</v>
      </c>
      <c r="G213" t="s">
        <v>650</v>
      </c>
      <c r="H213" t="s">
        <v>2688</v>
      </c>
      <c r="I213" t="s">
        <v>2689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335</v>
      </c>
      <c r="B214">
        <v>6.702127659574468E-2</v>
      </c>
      <c r="C214">
        <v>1.204819277108434E-2</v>
      </c>
      <c r="D214">
        <v>2E-3</v>
      </c>
      <c r="E214">
        <v>2.4884080370942811E-2</v>
      </c>
      <c r="F214" t="s">
        <v>672</v>
      </c>
      <c r="G214" t="s">
        <v>673</v>
      </c>
      <c r="H214" t="s">
        <v>2683</v>
      </c>
      <c r="I214" t="s">
        <v>2686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336</v>
      </c>
      <c r="B215">
        <v>0.14255319148936171</v>
      </c>
      <c r="C215">
        <v>3.012048192771084E-2</v>
      </c>
      <c r="D215">
        <v>0.03</v>
      </c>
      <c r="E215">
        <v>4.3276661514683151E-2</v>
      </c>
      <c r="F215" t="s">
        <v>674</v>
      </c>
      <c r="G215" t="s">
        <v>675</v>
      </c>
      <c r="H215" t="s">
        <v>2683</v>
      </c>
      <c r="I215" t="s">
        <v>2686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342</v>
      </c>
      <c r="B216">
        <v>0.36702127659574468</v>
      </c>
      <c r="C216">
        <v>0.1445783132530121</v>
      </c>
      <c r="D216">
        <v>1.4999999999999999E-2</v>
      </c>
      <c r="E216">
        <v>0.1105100463678516</v>
      </c>
      <c r="F216" t="s">
        <v>686</v>
      </c>
      <c r="G216" t="s">
        <v>687</v>
      </c>
      <c r="H216" t="s">
        <v>2684</v>
      </c>
      <c r="I216" t="s">
        <v>2687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343</v>
      </c>
      <c r="B217">
        <v>0.42872340425531907</v>
      </c>
      <c r="C217">
        <v>0.127710843373494</v>
      </c>
      <c r="D217">
        <v>2.1999999999999999E-2</v>
      </c>
      <c r="E217">
        <v>0.131839258114374</v>
      </c>
      <c r="F217" t="s">
        <v>688</v>
      </c>
      <c r="G217" t="s">
        <v>689</v>
      </c>
      <c r="H217" t="s">
        <v>2688</v>
      </c>
      <c r="I217" t="s">
        <v>2687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344</v>
      </c>
      <c r="B218">
        <v>0.37765957446808512</v>
      </c>
      <c r="C218">
        <v>0.21445783132530119</v>
      </c>
      <c r="D218">
        <v>4.5999999999999999E-2</v>
      </c>
      <c r="E218">
        <v>9.381761978361669E-2</v>
      </c>
      <c r="F218" t="s">
        <v>690</v>
      </c>
      <c r="G218" t="s">
        <v>691</v>
      </c>
      <c r="H218" t="s">
        <v>2684</v>
      </c>
      <c r="I218" t="s">
        <v>2687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347</v>
      </c>
      <c r="B219">
        <v>0.55744680851063833</v>
      </c>
      <c r="C219">
        <v>0.16024096385542169</v>
      </c>
      <c r="D219">
        <v>0.29199999999999998</v>
      </c>
      <c r="E219">
        <v>8.0370942812983001E-2</v>
      </c>
      <c r="F219" t="s">
        <v>696</v>
      </c>
      <c r="G219" t="s">
        <v>697</v>
      </c>
      <c r="H219" t="s">
        <v>2684</v>
      </c>
      <c r="I219" t="s">
        <v>2687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348</v>
      </c>
      <c r="B220">
        <v>0.60106382978723405</v>
      </c>
      <c r="C220">
        <v>0.21927710843373491</v>
      </c>
      <c r="D220">
        <v>0.38400000000000001</v>
      </c>
      <c r="E220">
        <v>5.6877897990726421E-2</v>
      </c>
      <c r="F220" t="s">
        <v>698</v>
      </c>
      <c r="G220" t="s">
        <v>699</v>
      </c>
      <c r="H220" t="s">
        <v>2684</v>
      </c>
      <c r="I220" t="s">
        <v>2687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350</v>
      </c>
      <c r="B221">
        <v>0.22340425531914901</v>
      </c>
      <c r="C221">
        <v>4.8192771084337352E-2</v>
      </c>
      <c r="D221">
        <v>0.125</v>
      </c>
      <c r="E221">
        <v>3.1839258114374033E-2</v>
      </c>
      <c r="F221" t="s">
        <v>702</v>
      </c>
      <c r="G221" t="s">
        <v>703</v>
      </c>
      <c r="H221" t="s">
        <v>2683</v>
      </c>
      <c r="I221" t="s">
        <v>2693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</row>
    <row r="222" spans="1:28" x14ac:dyDescent="0.25">
      <c r="A222">
        <v>351</v>
      </c>
      <c r="B222">
        <v>0.16670212765957451</v>
      </c>
      <c r="C222">
        <v>3.6144578313253017E-2</v>
      </c>
      <c r="D222">
        <v>1.7000000000000001E-2</v>
      </c>
      <c r="E222">
        <v>5.0540958268933553E-2</v>
      </c>
      <c r="F222" t="s">
        <v>704</v>
      </c>
      <c r="G222" t="s">
        <v>705</v>
      </c>
      <c r="H222" t="s">
        <v>2683</v>
      </c>
      <c r="I222" t="s">
        <v>2693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</row>
    <row r="223" spans="1:28" x14ac:dyDescent="0.25">
      <c r="A223">
        <v>355</v>
      </c>
      <c r="B223">
        <v>0.3425531914893617</v>
      </c>
      <c r="C223">
        <v>2.891566265060241E-2</v>
      </c>
      <c r="D223">
        <v>6.0000000000000001E-3</v>
      </c>
      <c r="E223">
        <v>0.11839258114374029</v>
      </c>
      <c r="F223" t="s">
        <v>712</v>
      </c>
      <c r="G223" t="s">
        <v>713</v>
      </c>
      <c r="H223" t="s">
        <v>2688</v>
      </c>
      <c r="I223" t="s">
        <v>2690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</row>
    <row r="224" spans="1:28" x14ac:dyDescent="0.25">
      <c r="A224">
        <v>358</v>
      </c>
      <c r="B224">
        <v>0.1074468085106383</v>
      </c>
      <c r="C224">
        <v>2.5301204819277109E-2</v>
      </c>
      <c r="D224">
        <v>2E-3</v>
      </c>
      <c r="E224">
        <v>3.5857805255023183E-2</v>
      </c>
      <c r="F224" t="s">
        <v>718</v>
      </c>
      <c r="G224" t="s">
        <v>719</v>
      </c>
      <c r="H224" t="s">
        <v>2688</v>
      </c>
      <c r="I224" t="s">
        <v>2690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</row>
    <row r="225" spans="1:28" x14ac:dyDescent="0.25">
      <c r="A225">
        <v>360</v>
      </c>
      <c r="B225">
        <v>0.1063829787234043</v>
      </c>
      <c r="C225">
        <v>1.084337349397591E-2</v>
      </c>
      <c r="D225">
        <v>3.0000000000000001E-3</v>
      </c>
      <c r="E225">
        <v>3.6321483771251932E-2</v>
      </c>
      <c r="F225" t="s">
        <v>722</v>
      </c>
      <c r="G225" t="s">
        <v>723</v>
      </c>
      <c r="H225" t="s">
        <v>2688</v>
      </c>
      <c r="I225" t="s">
        <v>2690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</row>
    <row r="226" spans="1:28" x14ac:dyDescent="0.25">
      <c r="A226">
        <v>365</v>
      </c>
      <c r="B226">
        <v>0.10106382978723399</v>
      </c>
      <c r="C226">
        <v>1.204819277108434E-2</v>
      </c>
      <c r="D226">
        <v>1E-3</v>
      </c>
      <c r="E226">
        <v>3.4930448222565691E-2</v>
      </c>
      <c r="F226" t="s">
        <v>732</v>
      </c>
      <c r="G226" t="s">
        <v>733</v>
      </c>
      <c r="H226" t="s">
        <v>2684</v>
      </c>
      <c r="I226" t="s">
        <v>2690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</row>
    <row r="227" spans="1:28" x14ac:dyDescent="0.25">
      <c r="A227">
        <v>366</v>
      </c>
      <c r="B227">
        <v>0.1063829787234043</v>
      </c>
      <c r="C227">
        <v>9.6385542168674707E-3</v>
      </c>
      <c r="D227">
        <v>2E-3</v>
      </c>
      <c r="E227">
        <v>3.6785162287480681E-2</v>
      </c>
      <c r="F227" t="s">
        <v>734</v>
      </c>
      <c r="G227" t="s">
        <v>735</v>
      </c>
      <c r="H227" t="s">
        <v>2683</v>
      </c>
      <c r="I227" t="s">
        <v>2690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</row>
    <row r="228" spans="1:28" x14ac:dyDescent="0.25">
      <c r="A228">
        <v>367</v>
      </c>
      <c r="B228">
        <v>8.1914893617021284E-2</v>
      </c>
      <c r="C228">
        <v>7.2289156626506026E-3</v>
      </c>
      <c r="D228">
        <v>2E-3</v>
      </c>
      <c r="E228">
        <v>2.8438948995363211E-2</v>
      </c>
      <c r="F228" t="s">
        <v>736</v>
      </c>
      <c r="G228" t="s">
        <v>737</v>
      </c>
      <c r="H228" t="s">
        <v>2684</v>
      </c>
      <c r="I228" t="s">
        <v>2690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</row>
    <row r="229" spans="1:28" x14ac:dyDescent="0.25">
      <c r="A229">
        <v>370</v>
      </c>
      <c r="B229">
        <v>0.36914893617021283</v>
      </c>
      <c r="C229">
        <v>1.566265060240964E-2</v>
      </c>
      <c r="D229">
        <v>6.9999999999999993E-3</v>
      </c>
      <c r="E229">
        <v>0.12952086553323031</v>
      </c>
      <c r="F229" t="s">
        <v>742</v>
      </c>
      <c r="G229" t="s">
        <v>743</v>
      </c>
      <c r="H229" t="s">
        <v>2688</v>
      </c>
      <c r="I229" t="s">
        <v>2690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</row>
    <row r="230" spans="1:28" x14ac:dyDescent="0.25">
      <c r="A230">
        <v>371</v>
      </c>
      <c r="B230">
        <v>0.20744680851063829</v>
      </c>
      <c r="C230">
        <v>4.8192771084337354E-3</v>
      </c>
      <c r="D230">
        <v>1.7000000000000001E-2</v>
      </c>
      <c r="E230">
        <v>6.8624420401854708E-2</v>
      </c>
      <c r="F230" t="s">
        <v>744</v>
      </c>
      <c r="G230" t="s">
        <v>745</v>
      </c>
      <c r="H230" t="s">
        <v>2688</v>
      </c>
      <c r="I230" t="s">
        <v>2690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</row>
    <row r="231" spans="1:28" x14ac:dyDescent="0.25">
      <c r="A231">
        <v>373</v>
      </c>
      <c r="B231">
        <v>0.10106382978723399</v>
      </c>
      <c r="C231">
        <v>1.8072289156626509E-2</v>
      </c>
      <c r="D231">
        <v>1E-3</v>
      </c>
      <c r="E231">
        <v>3.4621329211746522E-2</v>
      </c>
      <c r="F231" t="s">
        <v>748</v>
      </c>
      <c r="G231" t="s">
        <v>749</v>
      </c>
      <c r="H231" t="s">
        <v>2688</v>
      </c>
      <c r="I231" t="s">
        <v>2690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</row>
    <row r="232" spans="1:28" x14ac:dyDescent="0.25">
      <c r="A232">
        <v>374</v>
      </c>
      <c r="B232">
        <v>0.13936170212765961</v>
      </c>
      <c r="C232">
        <v>1.3253012048192771E-2</v>
      </c>
      <c r="D232">
        <v>2E-3</v>
      </c>
      <c r="E232">
        <v>4.837712519319938E-2</v>
      </c>
      <c r="F232" t="s">
        <v>750</v>
      </c>
      <c r="G232" t="s">
        <v>751</v>
      </c>
      <c r="H232" t="s">
        <v>2688</v>
      </c>
      <c r="I232" t="s">
        <v>2690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</row>
    <row r="233" spans="1:28" x14ac:dyDescent="0.25">
      <c r="A233">
        <v>375</v>
      </c>
      <c r="B233">
        <v>0.29148936170212769</v>
      </c>
      <c r="C233">
        <v>2.0481927710843371E-2</v>
      </c>
      <c r="D233">
        <v>5.4000000000000013E-2</v>
      </c>
      <c r="E233">
        <v>8.5780525502318392E-2</v>
      </c>
      <c r="F233" t="s">
        <v>752</v>
      </c>
      <c r="G233" t="s">
        <v>753</v>
      </c>
      <c r="H233" t="s">
        <v>2684</v>
      </c>
      <c r="I233" t="s">
        <v>2691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</row>
    <row r="234" spans="1:28" x14ac:dyDescent="0.25">
      <c r="A234">
        <v>378</v>
      </c>
      <c r="B234">
        <v>0.37234042553191488</v>
      </c>
      <c r="C234">
        <v>1.6867469879518069E-2</v>
      </c>
      <c r="D234">
        <v>0.14399999999999999</v>
      </c>
      <c r="E234">
        <v>8.2843894899536322E-2</v>
      </c>
      <c r="F234" t="s">
        <v>758</v>
      </c>
      <c r="G234" t="s">
        <v>759</v>
      </c>
      <c r="H234" t="s">
        <v>2688</v>
      </c>
      <c r="I234" t="s">
        <v>2687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>
        <v>379</v>
      </c>
      <c r="B235">
        <v>0.49148936170212759</v>
      </c>
      <c r="C235">
        <v>3.7349397590361447E-2</v>
      </c>
      <c r="D235">
        <v>0.24399999999999999</v>
      </c>
      <c r="E235">
        <v>8.9180834621329211E-2</v>
      </c>
      <c r="F235" t="s">
        <v>760</v>
      </c>
      <c r="G235" t="s">
        <v>761</v>
      </c>
      <c r="H235" t="s">
        <v>2688</v>
      </c>
      <c r="I235" t="s">
        <v>2692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382</v>
      </c>
      <c r="B236">
        <v>0.1823404255319149</v>
      </c>
      <c r="C236">
        <v>4.8192771084337352E-2</v>
      </c>
      <c r="D236">
        <v>0.04</v>
      </c>
      <c r="E236">
        <v>4.945904173106646E-2</v>
      </c>
      <c r="F236" t="s">
        <v>766</v>
      </c>
      <c r="G236" t="s">
        <v>767</v>
      </c>
      <c r="H236" t="s">
        <v>2683</v>
      </c>
      <c r="I236" t="s">
        <v>2690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</row>
    <row r="237" spans="1:28" x14ac:dyDescent="0.25">
      <c r="A237">
        <v>383</v>
      </c>
      <c r="B237">
        <v>0.1531914893617021</v>
      </c>
      <c r="C237">
        <v>1.3253012048192771E-2</v>
      </c>
      <c r="D237">
        <v>4.0000000000000001E-3</v>
      </c>
      <c r="E237">
        <v>5.2704791344667698E-2</v>
      </c>
      <c r="F237" t="s">
        <v>768</v>
      </c>
      <c r="G237" t="s">
        <v>769</v>
      </c>
      <c r="H237" t="s">
        <v>2683</v>
      </c>
      <c r="I237" t="s">
        <v>2686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>
        <v>384</v>
      </c>
      <c r="B238">
        <v>0.21702127659574469</v>
      </c>
      <c r="C238">
        <v>6.024096385542169E-3</v>
      </c>
      <c r="D238">
        <v>1.4E-2</v>
      </c>
      <c r="E238">
        <v>7.3261205564142187E-2</v>
      </c>
      <c r="F238" t="s">
        <v>770</v>
      </c>
      <c r="G238" t="s">
        <v>771</v>
      </c>
      <c r="H238" t="s">
        <v>2683</v>
      </c>
      <c r="I238" t="s">
        <v>2690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</row>
    <row r="239" spans="1:28" x14ac:dyDescent="0.25">
      <c r="A239">
        <v>389</v>
      </c>
      <c r="B239">
        <v>0.1702127659574468</v>
      </c>
      <c r="C239">
        <v>3.9759036144578312E-2</v>
      </c>
      <c r="D239">
        <v>9.1999999999999998E-2</v>
      </c>
      <c r="E239">
        <v>2.472952086553323E-2</v>
      </c>
      <c r="F239" t="s">
        <v>779</v>
      </c>
      <c r="G239" t="s">
        <v>780</v>
      </c>
      <c r="H239" t="s">
        <v>2683</v>
      </c>
      <c r="I239" t="s">
        <v>2685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</row>
    <row r="240" spans="1:28" x14ac:dyDescent="0.25">
      <c r="A240">
        <v>390</v>
      </c>
      <c r="B240">
        <v>0.39148936170212773</v>
      </c>
      <c r="C240">
        <v>0</v>
      </c>
      <c r="D240">
        <v>0</v>
      </c>
      <c r="E240">
        <v>0.14683153013910349</v>
      </c>
      <c r="F240" t="s">
        <v>781</v>
      </c>
      <c r="G240" t="s">
        <v>782</v>
      </c>
      <c r="H240" t="s">
        <v>2688</v>
      </c>
      <c r="I240" t="s">
        <v>2695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391</v>
      </c>
      <c r="B241">
        <v>0.41063829787234041</v>
      </c>
      <c r="C241">
        <v>3.6144578313253017E-2</v>
      </c>
      <c r="D241">
        <v>0.1</v>
      </c>
      <c r="E241">
        <v>0.1174652241112828</v>
      </c>
      <c r="F241" t="s">
        <v>783</v>
      </c>
      <c r="G241" t="s">
        <v>784</v>
      </c>
      <c r="H241" t="s">
        <v>2688</v>
      </c>
      <c r="I241" t="s">
        <v>2686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25">
      <c r="A242">
        <v>392</v>
      </c>
      <c r="B242">
        <v>0.37872340425531908</v>
      </c>
      <c r="C242">
        <v>4.8192771084337354E-3</v>
      </c>
      <c r="D242">
        <v>5.0000000000000001E-3</v>
      </c>
      <c r="E242">
        <v>0.14003091190108191</v>
      </c>
      <c r="F242" t="s">
        <v>785</v>
      </c>
      <c r="G242" t="s">
        <v>786</v>
      </c>
      <c r="H242" t="s">
        <v>2688</v>
      </c>
      <c r="I242" t="s">
        <v>2695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393</v>
      </c>
      <c r="B243">
        <v>0.41914893617021282</v>
      </c>
      <c r="C243">
        <v>0</v>
      </c>
      <c r="D243">
        <v>0</v>
      </c>
      <c r="E243">
        <v>0.1452859350850077</v>
      </c>
      <c r="F243" t="s">
        <v>787</v>
      </c>
      <c r="G243" t="s">
        <v>788</v>
      </c>
      <c r="H243" t="s">
        <v>2688</v>
      </c>
      <c r="I243" t="s">
        <v>2695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>
        <v>397</v>
      </c>
      <c r="B244">
        <v>0.13404255319148939</v>
      </c>
      <c r="C244">
        <v>5.0602409638554217E-2</v>
      </c>
      <c r="D244">
        <v>9.4E-2</v>
      </c>
      <c r="E244">
        <v>9.5826893353941275E-3</v>
      </c>
      <c r="F244" t="s">
        <v>795</v>
      </c>
      <c r="G244" t="s">
        <v>796</v>
      </c>
      <c r="H244" t="s">
        <v>2688</v>
      </c>
      <c r="I244" t="s">
        <v>2695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399</v>
      </c>
      <c r="B245">
        <v>0.15212765957446811</v>
      </c>
      <c r="C245">
        <v>4.8192771084337352E-2</v>
      </c>
      <c r="D245">
        <v>0.114</v>
      </c>
      <c r="E245">
        <v>9.2735703245749607E-3</v>
      </c>
      <c r="F245" t="s">
        <v>799</v>
      </c>
      <c r="G245" t="s">
        <v>800</v>
      </c>
      <c r="H245" t="s">
        <v>2696</v>
      </c>
      <c r="I245" t="s">
        <v>2695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400</v>
      </c>
      <c r="B246">
        <v>0.18723404255319151</v>
      </c>
      <c r="C246">
        <v>8.7951807228915671E-2</v>
      </c>
      <c r="D246">
        <v>0.14899999999999999</v>
      </c>
      <c r="E246">
        <v>4.9459041731066463E-3</v>
      </c>
      <c r="F246" t="s">
        <v>801</v>
      </c>
      <c r="G246" t="s">
        <v>802</v>
      </c>
      <c r="H246" t="s">
        <v>2696</v>
      </c>
      <c r="I246" t="s">
        <v>2695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403</v>
      </c>
      <c r="B247">
        <v>0.23191489361702131</v>
      </c>
      <c r="C247">
        <v>6.024096385542169E-3</v>
      </c>
      <c r="D247">
        <v>2.5000000000000001E-2</v>
      </c>
      <c r="E247">
        <v>7.4961360123647597E-2</v>
      </c>
      <c r="F247" t="s">
        <v>807</v>
      </c>
      <c r="G247" t="s">
        <v>808</v>
      </c>
      <c r="H247" t="s">
        <v>2683</v>
      </c>
      <c r="I247" t="s">
        <v>2690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</row>
    <row r="248" spans="1:28" x14ac:dyDescent="0.25">
      <c r="A248">
        <v>407</v>
      </c>
      <c r="B248">
        <v>0.1446808510638298</v>
      </c>
      <c r="C248">
        <v>0.23734939759036139</v>
      </c>
      <c r="D248">
        <v>3.2000000000000001E-2</v>
      </c>
      <c r="E248">
        <v>9.2735703245749607E-3</v>
      </c>
      <c r="F248" t="s">
        <v>815</v>
      </c>
      <c r="G248" t="s">
        <v>816</v>
      </c>
      <c r="H248" t="s">
        <v>2688</v>
      </c>
      <c r="I248" t="s">
        <v>2689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>
        <v>409</v>
      </c>
      <c r="B249">
        <v>0.1351063829787234</v>
      </c>
      <c r="C249">
        <v>1.445783132530121E-2</v>
      </c>
      <c r="D249">
        <v>5.0000000000000001E-3</v>
      </c>
      <c r="E249">
        <v>4.5595054095826891E-2</v>
      </c>
      <c r="F249" t="s">
        <v>819</v>
      </c>
      <c r="G249" t="s">
        <v>820</v>
      </c>
      <c r="H249" t="s">
        <v>2688</v>
      </c>
      <c r="I249" t="s">
        <v>2690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</row>
    <row r="250" spans="1:28" x14ac:dyDescent="0.25">
      <c r="A250">
        <v>414</v>
      </c>
      <c r="B250">
        <v>0.2053191489361702</v>
      </c>
      <c r="C250">
        <v>0.50602409638554224</v>
      </c>
      <c r="D250">
        <v>1.4999999999999999E-2</v>
      </c>
      <c r="E250">
        <v>0</v>
      </c>
      <c r="F250" t="s">
        <v>829</v>
      </c>
      <c r="G250" t="s">
        <v>830</v>
      </c>
      <c r="H250" t="s">
        <v>2688</v>
      </c>
      <c r="I250" t="s">
        <v>2689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5">
      <c r="A251">
        <v>419</v>
      </c>
      <c r="B251">
        <v>0.2106382978723404</v>
      </c>
      <c r="C251">
        <v>0.2289156626506024</v>
      </c>
      <c r="D251">
        <v>0.13</v>
      </c>
      <c r="E251">
        <v>0</v>
      </c>
      <c r="F251" t="s">
        <v>839</v>
      </c>
      <c r="G251" t="s">
        <v>840</v>
      </c>
      <c r="H251" t="s">
        <v>2683</v>
      </c>
      <c r="I251" t="s">
        <v>2689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>
        <v>420</v>
      </c>
      <c r="B252">
        <v>0.11382978723404261</v>
      </c>
      <c r="C252">
        <v>0.1987951807228916</v>
      </c>
      <c r="D252">
        <v>3.9E-2</v>
      </c>
      <c r="E252">
        <v>2.3183925811437402E-3</v>
      </c>
      <c r="F252" t="s">
        <v>841</v>
      </c>
      <c r="G252" t="s">
        <v>842</v>
      </c>
      <c r="H252" t="s">
        <v>2688</v>
      </c>
      <c r="I252" t="s">
        <v>2689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25">
      <c r="A253">
        <v>421</v>
      </c>
      <c r="B253">
        <v>0.1191489361702128</v>
      </c>
      <c r="C253">
        <v>0.24096385542168669</v>
      </c>
      <c r="D253">
        <v>1.2999999999999999E-2</v>
      </c>
      <c r="E253">
        <v>5.7187017001545598E-3</v>
      </c>
      <c r="F253" t="s">
        <v>843</v>
      </c>
      <c r="G253" t="s">
        <v>844</v>
      </c>
      <c r="H253" t="s">
        <v>2688</v>
      </c>
      <c r="I253" t="s">
        <v>2689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422</v>
      </c>
      <c r="B254">
        <v>0.13723404255319149</v>
      </c>
      <c r="C254">
        <v>0.24096385542168669</v>
      </c>
      <c r="D254">
        <v>4.8000000000000001E-2</v>
      </c>
      <c r="E254">
        <v>0</v>
      </c>
      <c r="F254" t="s">
        <v>845</v>
      </c>
      <c r="G254" t="s">
        <v>846</v>
      </c>
      <c r="H254" t="s">
        <v>2688</v>
      </c>
      <c r="I254" t="s">
        <v>2689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5">
      <c r="A255">
        <v>424</v>
      </c>
      <c r="B255">
        <v>0.1180851063829787</v>
      </c>
      <c r="C255">
        <v>0.23373493975903609</v>
      </c>
      <c r="D255">
        <v>9.0000000000000011E-3</v>
      </c>
      <c r="E255">
        <v>7.4188562596599686E-3</v>
      </c>
      <c r="F255" t="s">
        <v>849</v>
      </c>
      <c r="G255" t="s">
        <v>850</v>
      </c>
      <c r="H255" t="s">
        <v>2688</v>
      </c>
      <c r="I255" t="s">
        <v>2689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25">
      <c r="A256">
        <v>425</v>
      </c>
      <c r="B256">
        <v>8.2978723404255314E-2</v>
      </c>
      <c r="C256">
        <v>0.1746987951807229</v>
      </c>
      <c r="D256">
        <v>6.0000000000000001E-3</v>
      </c>
      <c r="E256">
        <v>5.7187017001545598E-3</v>
      </c>
      <c r="F256" t="s">
        <v>851</v>
      </c>
      <c r="G256" t="s">
        <v>852</v>
      </c>
      <c r="H256" t="s">
        <v>2688</v>
      </c>
      <c r="I256" t="s">
        <v>2689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5">
      <c r="A257">
        <v>426</v>
      </c>
      <c r="B257">
        <v>0.1531914893617021</v>
      </c>
      <c r="C257">
        <v>0.21445783132530119</v>
      </c>
      <c r="D257">
        <v>5.8000000000000003E-2</v>
      </c>
      <c r="E257">
        <v>8.0370942812983005E-3</v>
      </c>
      <c r="F257" t="s">
        <v>853</v>
      </c>
      <c r="G257" t="s">
        <v>854</v>
      </c>
      <c r="H257" t="s">
        <v>2688</v>
      </c>
      <c r="I257" t="s">
        <v>2689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>
        <v>427</v>
      </c>
      <c r="B258">
        <v>0.1308510638297872</v>
      </c>
      <c r="C258">
        <v>0.1819277108433735</v>
      </c>
      <c r="D258">
        <v>5.5E-2</v>
      </c>
      <c r="E258">
        <v>5.100463678516228E-3</v>
      </c>
      <c r="F258" t="s">
        <v>855</v>
      </c>
      <c r="G258" t="s">
        <v>856</v>
      </c>
      <c r="H258" t="s">
        <v>2688</v>
      </c>
      <c r="I258" t="s">
        <v>2689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>
        <v>428</v>
      </c>
      <c r="B259">
        <v>0.10212765957446809</v>
      </c>
      <c r="C259">
        <v>0.2289156626506024</v>
      </c>
      <c r="D259">
        <v>1.7000000000000001E-2</v>
      </c>
      <c r="E259">
        <v>0</v>
      </c>
      <c r="F259" t="s">
        <v>857</v>
      </c>
      <c r="G259" t="s">
        <v>858</v>
      </c>
      <c r="H259" t="s">
        <v>2688</v>
      </c>
      <c r="I259" t="s">
        <v>2689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>
        <v>429</v>
      </c>
      <c r="B260">
        <v>0.14680851063829789</v>
      </c>
      <c r="C260">
        <v>0.16867469879518071</v>
      </c>
      <c r="D260">
        <v>6.9999999999999993E-3</v>
      </c>
      <c r="E260">
        <v>1.143740340030912E-2</v>
      </c>
      <c r="F260" t="s">
        <v>859</v>
      </c>
      <c r="G260" t="s">
        <v>196</v>
      </c>
      <c r="H260" t="s">
        <v>2688</v>
      </c>
      <c r="I260" t="s">
        <v>2689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430</v>
      </c>
      <c r="B261">
        <v>0.13617021276595739</v>
      </c>
      <c r="C261">
        <v>0.2168674698795181</v>
      </c>
      <c r="D261">
        <v>0.03</v>
      </c>
      <c r="E261">
        <v>1.1128284389489949E-2</v>
      </c>
      <c r="F261" t="s">
        <v>860</v>
      </c>
      <c r="G261" t="s">
        <v>861</v>
      </c>
      <c r="H261" t="s">
        <v>2688</v>
      </c>
      <c r="I261" t="s">
        <v>2689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>
        <v>431</v>
      </c>
      <c r="B262">
        <v>8.5106382978723402E-2</v>
      </c>
      <c r="C262">
        <v>0.17710843373493981</v>
      </c>
      <c r="D262">
        <v>1.4E-2</v>
      </c>
      <c r="E262">
        <v>3.4003091190108188E-3</v>
      </c>
      <c r="F262" t="s">
        <v>862</v>
      </c>
      <c r="G262" t="s">
        <v>863</v>
      </c>
      <c r="H262" t="s">
        <v>2688</v>
      </c>
      <c r="I262" t="s">
        <v>2689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>
        <v>434</v>
      </c>
      <c r="B263">
        <v>7.0212765957446813E-2</v>
      </c>
      <c r="C263">
        <v>0.16867469879518071</v>
      </c>
      <c r="D263">
        <v>0</v>
      </c>
      <c r="E263">
        <v>0</v>
      </c>
      <c r="F263" t="s">
        <v>868</v>
      </c>
      <c r="G263" t="s">
        <v>869</v>
      </c>
      <c r="H263" t="s">
        <v>2688</v>
      </c>
      <c r="I263" t="s">
        <v>2689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435</v>
      </c>
      <c r="B264">
        <v>9.5744680851063829E-2</v>
      </c>
      <c r="C264">
        <v>0.17951807228915659</v>
      </c>
      <c r="D264">
        <v>2.5000000000000001E-2</v>
      </c>
      <c r="E264">
        <v>3.2457496136012371E-3</v>
      </c>
      <c r="F264" t="s">
        <v>870</v>
      </c>
      <c r="G264" t="s">
        <v>871</v>
      </c>
      <c r="H264" t="s">
        <v>2688</v>
      </c>
      <c r="I264" t="s">
        <v>2689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436</v>
      </c>
      <c r="B265">
        <v>9.3617021276595741E-2</v>
      </c>
      <c r="C265">
        <v>0.1710843373493976</v>
      </c>
      <c r="D265">
        <v>6.9999999999999993E-3</v>
      </c>
      <c r="E265">
        <v>9.5826893353941275E-3</v>
      </c>
      <c r="F265" t="s">
        <v>872</v>
      </c>
      <c r="G265" t="s">
        <v>873</v>
      </c>
      <c r="H265" t="s">
        <v>2688</v>
      </c>
      <c r="I265" t="s">
        <v>2689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>
        <v>437</v>
      </c>
      <c r="B266">
        <v>0.1063829787234043</v>
      </c>
      <c r="C266">
        <v>0.17710843373493981</v>
      </c>
      <c r="D266">
        <v>2.4E-2</v>
      </c>
      <c r="E266">
        <v>7.573415765069552E-3</v>
      </c>
      <c r="F266" t="s">
        <v>874</v>
      </c>
      <c r="G266" t="s">
        <v>875</v>
      </c>
      <c r="H266" t="s">
        <v>2688</v>
      </c>
      <c r="I266" t="s">
        <v>2689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25">
      <c r="A267">
        <v>438</v>
      </c>
      <c r="B267">
        <v>0.14255319148936171</v>
      </c>
      <c r="C267">
        <v>0.30722891566265059</v>
      </c>
      <c r="D267">
        <v>1.2999999999999999E-2</v>
      </c>
      <c r="E267">
        <v>7.7279752704791354E-3</v>
      </c>
      <c r="F267" t="s">
        <v>876</v>
      </c>
      <c r="G267" t="s">
        <v>877</v>
      </c>
      <c r="H267" t="s">
        <v>2688</v>
      </c>
      <c r="I267" t="s">
        <v>2689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25">
      <c r="A268">
        <v>439</v>
      </c>
      <c r="B268">
        <v>0.21702127659574469</v>
      </c>
      <c r="C268">
        <v>0.4120481927710844</v>
      </c>
      <c r="D268">
        <v>5.5999999999999987E-2</v>
      </c>
      <c r="E268">
        <v>2.9366306027820712E-3</v>
      </c>
      <c r="F268" t="s">
        <v>878</v>
      </c>
      <c r="G268" t="s">
        <v>879</v>
      </c>
      <c r="H268" t="s">
        <v>2688</v>
      </c>
      <c r="I268" t="s">
        <v>2689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25">
      <c r="A269">
        <v>440</v>
      </c>
      <c r="B269">
        <v>0.2106382978723404</v>
      </c>
      <c r="C269">
        <v>0.43975903614457829</v>
      </c>
      <c r="D269">
        <v>2.1999999999999999E-2</v>
      </c>
      <c r="E269">
        <v>8.5007727975270481E-3</v>
      </c>
      <c r="F269" t="s">
        <v>880</v>
      </c>
      <c r="G269" t="s">
        <v>881</v>
      </c>
      <c r="H269" t="s">
        <v>2688</v>
      </c>
      <c r="I269" t="s">
        <v>2689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441</v>
      </c>
      <c r="B270">
        <v>0.1276595744680851</v>
      </c>
      <c r="C270">
        <v>0.136144578313253</v>
      </c>
      <c r="D270">
        <v>3.9E-2</v>
      </c>
      <c r="E270">
        <v>1.5455950540958271E-2</v>
      </c>
      <c r="F270" t="s">
        <v>882</v>
      </c>
      <c r="G270" t="s">
        <v>883</v>
      </c>
      <c r="H270" t="s">
        <v>2688</v>
      </c>
      <c r="I270" t="s">
        <v>2689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442</v>
      </c>
      <c r="B271">
        <v>0.12340425531914891</v>
      </c>
      <c r="C271">
        <v>0.13493975903614461</v>
      </c>
      <c r="D271">
        <v>1.2E-2</v>
      </c>
      <c r="E271">
        <v>1.5765069551777429E-2</v>
      </c>
      <c r="F271" t="s">
        <v>884</v>
      </c>
      <c r="G271" t="s">
        <v>883</v>
      </c>
      <c r="H271" t="s">
        <v>2688</v>
      </c>
      <c r="I271" t="s">
        <v>2689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>
        <v>443</v>
      </c>
      <c r="B272">
        <v>9.1489361702127667E-2</v>
      </c>
      <c r="C272">
        <v>0.1228915662650602</v>
      </c>
      <c r="D272">
        <v>1.0999999999999999E-2</v>
      </c>
      <c r="E272">
        <v>1.3446676970633689E-2</v>
      </c>
      <c r="F272" t="s">
        <v>885</v>
      </c>
      <c r="G272" t="s">
        <v>883</v>
      </c>
      <c r="H272" t="s">
        <v>2688</v>
      </c>
      <c r="I272" t="s">
        <v>2689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>
        <v>444</v>
      </c>
      <c r="B273">
        <v>0.11382978723404261</v>
      </c>
      <c r="C273">
        <v>0.236144578313253</v>
      </c>
      <c r="D273">
        <v>6.9999999999999993E-3</v>
      </c>
      <c r="E273">
        <v>8.5007727975270481E-3</v>
      </c>
      <c r="F273" t="s">
        <v>886</v>
      </c>
      <c r="G273" t="s">
        <v>883</v>
      </c>
      <c r="H273" t="s">
        <v>2688</v>
      </c>
      <c r="I273" t="s">
        <v>2689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25">
      <c r="A274">
        <v>445</v>
      </c>
      <c r="B274">
        <v>8.6170212765957446E-2</v>
      </c>
      <c r="C274">
        <v>0.13734939759036149</v>
      </c>
      <c r="D274">
        <v>1.9E-2</v>
      </c>
      <c r="E274">
        <v>5.8732612055641424E-3</v>
      </c>
      <c r="F274" t="s">
        <v>887</v>
      </c>
      <c r="G274" t="s">
        <v>888</v>
      </c>
      <c r="H274" t="s">
        <v>2688</v>
      </c>
      <c r="I274" t="s">
        <v>2689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5">
      <c r="A275">
        <v>446</v>
      </c>
      <c r="B275">
        <v>0.1074468085106383</v>
      </c>
      <c r="C275">
        <v>0.13855421686746991</v>
      </c>
      <c r="D275">
        <v>4.0999999999999988E-2</v>
      </c>
      <c r="E275">
        <v>7.1097372488408027E-3</v>
      </c>
      <c r="F275" t="s">
        <v>889</v>
      </c>
      <c r="G275" t="s">
        <v>890</v>
      </c>
      <c r="H275" t="s">
        <v>2683</v>
      </c>
      <c r="I275" t="s">
        <v>2689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>
        <v>447</v>
      </c>
      <c r="B276">
        <v>0.1159574468085106</v>
      </c>
      <c r="C276">
        <v>0.20481927710843381</v>
      </c>
      <c r="D276">
        <v>0.04</v>
      </c>
      <c r="E276">
        <v>0</v>
      </c>
      <c r="F276" t="s">
        <v>891</v>
      </c>
      <c r="G276" t="s">
        <v>892</v>
      </c>
      <c r="H276" t="s">
        <v>2688</v>
      </c>
      <c r="I276" t="s">
        <v>2689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448</v>
      </c>
      <c r="B277">
        <v>0.27765957446808509</v>
      </c>
      <c r="C277">
        <v>0.45903614457831332</v>
      </c>
      <c r="D277">
        <v>2.3E-2</v>
      </c>
      <c r="E277">
        <v>3.3848531684698598E-2</v>
      </c>
      <c r="F277" t="s">
        <v>893</v>
      </c>
      <c r="G277" t="s">
        <v>894</v>
      </c>
      <c r="H277" t="s">
        <v>2688</v>
      </c>
      <c r="I277" t="s">
        <v>2689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5">
      <c r="A278">
        <v>449</v>
      </c>
      <c r="B278">
        <v>0.31063829787234037</v>
      </c>
      <c r="C278">
        <v>0.6987951807228916</v>
      </c>
      <c r="D278">
        <v>0.04</v>
      </c>
      <c r="E278">
        <v>0</v>
      </c>
      <c r="F278" t="s">
        <v>895</v>
      </c>
      <c r="G278" t="s">
        <v>896</v>
      </c>
      <c r="H278" t="s">
        <v>2688</v>
      </c>
      <c r="I278" t="s">
        <v>2689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>
        <v>450</v>
      </c>
      <c r="B279">
        <v>7.8723404255319152E-2</v>
      </c>
      <c r="C279">
        <v>0.30361445783132529</v>
      </c>
      <c r="D279">
        <v>1.7000000000000001E-2</v>
      </c>
      <c r="E279">
        <v>0</v>
      </c>
      <c r="F279" t="s">
        <v>897</v>
      </c>
      <c r="G279" t="s">
        <v>898</v>
      </c>
      <c r="H279" t="s">
        <v>2688</v>
      </c>
      <c r="I279" t="s">
        <v>2689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>
        <v>452</v>
      </c>
      <c r="B280">
        <v>0.1074468085106383</v>
      </c>
      <c r="C280">
        <v>0.1240963855421687</v>
      </c>
      <c r="D280">
        <v>3.7000000000000012E-2</v>
      </c>
      <c r="E280">
        <v>1.035548686244204E-2</v>
      </c>
      <c r="F280" t="s">
        <v>901</v>
      </c>
      <c r="G280" t="s">
        <v>902</v>
      </c>
      <c r="H280" t="s">
        <v>2688</v>
      </c>
      <c r="I280" t="s">
        <v>2689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5">
      <c r="A281">
        <v>455</v>
      </c>
      <c r="B281">
        <v>8.1914893617021284E-2</v>
      </c>
      <c r="C281">
        <v>0.18795180722891569</v>
      </c>
      <c r="D281">
        <v>9.0000000000000011E-3</v>
      </c>
      <c r="E281">
        <v>2.4729520865533232E-3</v>
      </c>
      <c r="F281" t="s">
        <v>907</v>
      </c>
      <c r="G281" t="s">
        <v>908</v>
      </c>
      <c r="H281" t="s">
        <v>2688</v>
      </c>
      <c r="I281" t="s">
        <v>2689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>
        <v>456</v>
      </c>
      <c r="B282">
        <v>9.7872340425531917E-2</v>
      </c>
      <c r="C282">
        <v>0.24096385542168669</v>
      </c>
      <c r="D282">
        <v>6.9999999999999993E-3</v>
      </c>
      <c r="E282">
        <v>0</v>
      </c>
      <c r="F282" t="s">
        <v>909</v>
      </c>
      <c r="G282" t="s">
        <v>910</v>
      </c>
      <c r="H282" t="s">
        <v>2688</v>
      </c>
      <c r="I282" t="s">
        <v>2689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>
        <v>457</v>
      </c>
      <c r="B283">
        <v>8.723404255319149E-2</v>
      </c>
      <c r="C283">
        <v>0.13734939759036149</v>
      </c>
      <c r="D283">
        <v>1.2E-2</v>
      </c>
      <c r="E283">
        <v>9.8918083462132926E-3</v>
      </c>
      <c r="F283" t="s">
        <v>911</v>
      </c>
      <c r="G283" t="s">
        <v>912</v>
      </c>
      <c r="H283" t="s">
        <v>2688</v>
      </c>
      <c r="I283" t="s">
        <v>2689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>
        <v>458</v>
      </c>
      <c r="B284">
        <v>0.1404255319148936</v>
      </c>
      <c r="C284">
        <v>0.20481927710843381</v>
      </c>
      <c r="D284">
        <v>6.7000000000000004E-2</v>
      </c>
      <c r="E284">
        <v>1.236476043276662E-3</v>
      </c>
      <c r="F284" t="s">
        <v>913</v>
      </c>
      <c r="G284" t="s">
        <v>914</v>
      </c>
      <c r="H284" t="s">
        <v>2688</v>
      </c>
      <c r="I284" t="s">
        <v>2689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25">
      <c r="A285">
        <v>459</v>
      </c>
      <c r="B285">
        <v>0.17234042553191489</v>
      </c>
      <c r="C285">
        <v>0.38192771084337351</v>
      </c>
      <c r="D285">
        <v>2.8000000000000001E-2</v>
      </c>
      <c r="E285">
        <v>4.6367851622874798E-4</v>
      </c>
      <c r="F285" t="s">
        <v>915</v>
      </c>
      <c r="G285" t="s">
        <v>916</v>
      </c>
      <c r="H285" t="s">
        <v>2688</v>
      </c>
      <c r="I285" t="s">
        <v>2689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25">
      <c r="A286">
        <v>460</v>
      </c>
      <c r="B286">
        <v>0.1170212765957447</v>
      </c>
      <c r="C286">
        <v>0.15180722891566259</v>
      </c>
      <c r="D286">
        <v>4.2000000000000003E-2</v>
      </c>
      <c r="E286">
        <v>8.3462132921174655E-3</v>
      </c>
      <c r="F286" t="s">
        <v>917</v>
      </c>
      <c r="G286" t="s">
        <v>918</v>
      </c>
      <c r="H286" t="s">
        <v>2688</v>
      </c>
      <c r="I286" t="s">
        <v>2689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>
        <v>461</v>
      </c>
      <c r="B287">
        <v>0.32127659574468093</v>
      </c>
      <c r="C287">
        <v>0.85180722891566274</v>
      </c>
      <c r="D287">
        <v>1.9E-2</v>
      </c>
      <c r="E287">
        <v>6.1823802163833079E-4</v>
      </c>
      <c r="F287" t="s">
        <v>919</v>
      </c>
      <c r="G287" t="s">
        <v>920</v>
      </c>
      <c r="H287" t="s">
        <v>2688</v>
      </c>
      <c r="I287" t="s">
        <v>2689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25">
      <c r="A288">
        <v>462</v>
      </c>
      <c r="B288">
        <v>0.1095744680851064</v>
      </c>
      <c r="C288">
        <v>0.26506024096385539</v>
      </c>
      <c r="D288">
        <v>0.01</v>
      </c>
      <c r="E288">
        <v>0</v>
      </c>
      <c r="F288" t="s">
        <v>921</v>
      </c>
      <c r="G288" t="s">
        <v>922</v>
      </c>
      <c r="H288" t="s">
        <v>2688</v>
      </c>
      <c r="I288" t="s">
        <v>2689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>
        <v>463</v>
      </c>
      <c r="B289">
        <v>7.4468085106382975E-2</v>
      </c>
      <c r="C289">
        <v>0.13012048192771089</v>
      </c>
      <c r="D289">
        <v>6.9999999999999993E-3</v>
      </c>
      <c r="E289">
        <v>8.0370942812983005E-3</v>
      </c>
      <c r="F289" t="s">
        <v>923</v>
      </c>
      <c r="G289" t="s">
        <v>924</v>
      </c>
      <c r="H289" t="s">
        <v>2688</v>
      </c>
      <c r="I289" t="s">
        <v>2689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25">
      <c r="A290">
        <v>464</v>
      </c>
      <c r="B290">
        <v>0.15638297872340429</v>
      </c>
      <c r="C290">
        <v>0.21084337349397589</v>
      </c>
      <c r="D290">
        <v>6.5000000000000002E-2</v>
      </c>
      <c r="E290">
        <v>8.3462132921174655E-3</v>
      </c>
      <c r="F290" t="s">
        <v>925</v>
      </c>
      <c r="G290" t="s">
        <v>926</v>
      </c>
      <c r="H290" t="s">
        <v>2688</v>
      </c>
      <c r="I290" t="s">
        <v>2689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>
        <v>465</v>
      </c>
      <c r="B291">
        <v>0.1159574468085106</v>
      </c>
      <c r="C291">
        <v>0.26506024096385539</v>
      </c>
      <c r="D291">
        <v>1.7000000000000001E-2</v>
      </c>
      <c r="E291">
        <v>0</v>
      </c>
      <c r="F291" t="s">
        <v>927</v>
      </c>
      <c r="G291" t="s">
        <v>928</v>
      </c>
      <c r="H291" t="s">
        <v>2688</v>
      </c>
      <c r="I291" t="s">
        <v>2689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25">
      <c r="A292">
        <v>466</v>
      </c>
      <c r="B292">
        <v>8.723404255319149E-2</v>
      </c>
      <c r="C292">
        <v>0.2168674698795181</v>
      </c>
      <c r="D292">
        <v>0.01</v>
      </c>
      <c r="E292">
        <v>6.1823802163833079E-4</v>
      </c>
      <c r="F292" t="s">
        <v>929</v>
      </c>
      <c r="G292" t="s">
        <v>930</v>
      </c>
      <c r="H292" t="s">
        <v>2688</v>
      </c>
      <c r="I292" t="s">
        <v>2689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>
        <v>467</v>
      </c>
      <c r="B293">
        <v>9.5744680851063829E-2</v>
      </c>
      <c r="C293">
        <v>0.24578313253012049</v>
      </c>
      <c r="D293">
        <v>9.0000000000000011E-3</v>
      </c>
      <c r="E293">
        <v>0</v>
      </c>
      <c r="F293" t="s">
        <v>931</v>
      </c>
      <c r="G293" t="s">
        <v>932</v>
      </c>
      <c r="H293" t="s">
        <v>2688</v>
      </c>
      <c r="I293" t="s">
        <v>2689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469</v>
      </c>
      <c r="B294">
        <v>0.1191489361702128</v>
      </c>
      <c r="C294">
        <v>0.24096385542168669</v>
      </c>
      <c r="D294">
        <v>0.03</v>
      </c>
      <c r="E294">
        <v>0</v>
      </c>
      <c r="F294" t="s">
        <v>935</v>
      </c>
      <c r="G294" t="s">
        <v>936</v>
      </c>
      <c r="H294" t="s">
        <v>2688</v>
      </c>
      <c r="I294" t="s">
        <v>2689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470</v>
      </c>
      <c r="B295">
        <v>0.1106382978723404</v>
      </c>
      <c r="C295">
        <v>0.18795180722891569</v>
      </c>
      <c r="D295">
        <v>3.2000000000000001E-2</v>
      </c>
      <c r="E295">
        <v>3.0911901081916542E-3</v>
      </c>
      <c r="F295" t="s">
        <v>937</v>
      </c>
      <c r="G295" t="s">
        <v>938</v>
      </c>
      <c r="H295" t="s">
        <v>2688</v>
      </c>
      <c r="I295" t="s">
        <v>2689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>
        <v>471</v>
      </c>
      <c r="B296">
        <v>0.27446808510638299</v>
      </c>
      <c r="C296">
        <v>0.48554216867469879</v>
      </c>
      <c r="D296">
        <v>2.3E-2</v>
      </c>
      <c r="E296">
        <v>2.9211746522411128E-2</v>
      </c>
      <c r="F296" t="s">
        <v>939</v>
      </c>
      <c r="G296" t="s">
        <v>940</v>
      </c>
      <c r="H296" t="s">
        <v>2688</v>
      </c>
      <c r="I296" t="s">
        <v>2689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472</v>
      </c>
      <c r="B297">
        <v>0.1053191489361702</v>
      </c>
      <c r="C297">
        <v>0.2481927710843374</v>
      </c>
      <c r="D297">
        <v>1.4E-2</v>
      </c>
      <c r="E297">
        <v>1.3910355486862439E-3</v>
      </c>
      <c r="F297" t="s">
        <v>941</v>
      </c>
      <c r="G297" t="s">
        <v>942</v>
      </c>
      <c r="H297" t="s">
        <v>2688</v>
      </c>
      <c r="I297" t="s">
        <v>2689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473</v>
      </c>
      <c r="B298">
        <v>9.1489361702127667E-2</v>
      </c>
      <c r="C298">
        <v>0.19277108433734941</v>
      </c>
      <c r="D298">
        <v>0.02</v>
      </c>
      <c r="E298">
        <v>0</v>
      </c>
      <c r="F298" t="s">
        <v>943</v>
      </c>
      <c r="G298" t="s">
        <v>944</v>
      </c>
      <c r="H298" t="s">
        <v>2688</v>
      </c>
      <c r="I298" t="s">
        <v>2689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25">
      <c r="A299">
        <v>475</v>
      </c>
      <c r="B299">
        <v>0.22234042553191491</v>
      </c>
      <c r="C299">
        <v>0.18313253012048189</v>
      </c>
      <c r="D299">
        <v>0.113</v>
      </c>
      <c r="E299">
        <v>1.823802163833076E-2</v>
      </c>
      <c r="F299" t="s">
        <v>947</v>
      </c>
      <c r="G299" t="s">
        <v>948</v>
      </c>
      <c r="H299" t="s">
        <v>2683</v>
      </c>
      <c r="I299" t="s">
        <v>2689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476</v>
      </c>
      <c r="B300">
        <v>0.1031914893617021</v>
      </c>
      <c r="C300">
        <v>0.21566265060240961</v>
      </c>
      <c r="D300">
        <v>0.02</v>
      </c>
      <c r="E300">
        <v>6.1823802163833079E-4</v>
      </c>
      <c r="F300" t="s">
        <v>949</v>
      </c>
      <c r="G300" t="s">
        <v>950</v>
      </c>
      <c r="H300" t="s">
        <v>2688</v>
      </c>
      <c r="I300" t="s">
        <v>2689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25">
      <c r="A301">
        <v>478</v>
      </c>
      <c r="B301">
        <v>0.61914893617021283</v>
      </c>
      <c r="C301">
        <v>0.82289156626506021</v>
      </c>
      <c r="D301">
        <v>0.152</v>
      </c>
      <c r="E301">
        <v>5.7496136012364772E-2</v>
      </c>
      <c r="F301" t="s">
        <v>952</v>
      </c>
      <c r="G301" t="s">
        <v>953</v>
      </c>
      <c r="H301" t="s">
        <v>2688</v>
      </c>
      <c r="I301" t="s">
        <v>2689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5">
      <c r="A302">
        <v>480</v>
      </c>
      <c r="B302">
        <v>0.12872340425531911</v>
      </c>
      <c r="C302">
        <v>0.26144578313253009</v>
      </c>
      <c r="D302">
        <v>2.8000000000000001E-2</v>
      </c>
      <c r="E302">
        <v>1.236476043276662E-3</v>
      </c>
      <c r="F302" t="s">
        <v>956</v>
      </c>
      <c r="G302" t="s">
        <v>957</v>
      </c>
      <c r="H302" t="s">
        <v>2688</v>
      </c>
      <c r="I302" t="s">
        <v>2689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481</v>
      </c>
      <c r="B303">
        <v>9.4680851063829785E-2</v>
      </c>
      <c r="C303">
        <v>0.2253012048192771</v>
      </c>
      <c r="D303">
        <v>0.01</v>
      </c>
      <c r="E303">
        <v>0</v>
      </c>
      <c r="F303" t="s">
        <v>958</v>
      </c>
      <c r="G303" t="s">
        <v>959</v>
      </c>
      <c r="H303" t="s">
        <v>2688</v>
      </c>
      <c r="I303" t="s">
        <v>2689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5">
      <c r="A304">
        <v>482</v>
      </c>
      <c r="B304">
        <v>0.1638297872340426</v>
      </c>
      <c r="C304">
        <v>0.2024096385542169</v>
      </c>
      <c r="D304">
        <v>0.05</v>
      </c>
      <c r="E304">
        <v>1.6228748068006182E-2</v>
      </c>
      <c r="F304" t="s">
        <v>960</v>
      </c>
      <c r="G304" t="s">
        <v>961</v>
      </c>
      <c r="H304" t="s">
        <v>2688</v>
      </c>
      <c r="I304" t="s">
        <v>2689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>
        <v>483</v>
      </c>
      <c r="B305">
        <v>0.13297872340425529</v>
      </c>
      <c r="C305">
        <v>0.25662650602409642</v>
      </c>
      <c r="D305">
        <v>3.4000000000000002E-2</v>
      </c>
      <c r="E305">
        <v>3.4003091190108188E-3</v>
      </c>
      <c r="F305" t="s">
        <v>962</v>
      </c>
      <c r="G305" t="s">
        <v>963</v>
      </c>
      <c r="H305" t="s">
        <v>2688</v>
      </c>
      <c r="I305" t="s">
        <v>2689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>
        <v>484</v>
      </c>
      <c r="B306">
        <v>0.16170212765957451</v>
      </c>
      <c r="C306">
        <v>0.21204819277108439</v>
      </c>
      <c r="D306">
        <v>6.0999999999999999E-2</v>
      </c>
      <c r="E306">
        <v>1.035548686244204E-2</v>
      </c>
      <c r="F306" t="s">
        <v>964</v>
      </c>
      <c r="G306" t="s">
        <v>965</v>
      </c>
      <c r="H306" t="s">
        <v>2688</v>
      </c>
      <c r="I306" t="s">
        <v>2689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25">
      <c r="A307">
        <v>485</v>
      </c>
      <c r="B307">
        <v>0.1276595744680851</v>
      </c>
      <c r="C307">
        <v>0.17228915662650601</v>
      </c>
      <c r="D307">
        <v>4.9000000000000002E-2</v>
      </c>
      <c r="E307">
        <v>7.1097372488408027E-3</v>
      </c>
      <c r="F307" t="s">
        <v>966</v>
      </c>
      <c r="G307" t="s">
        <v>967</v>
      </c>
      <c r="H307" t="s">
        <v>2683</v>
      </c>
      <c r="I307" t="s">
        <v>2689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25">
      <c r="A308">
        <v>486</v>
      </c>
      <c r="B308">
        <v>0.1531914893617021</v>
      </c>
      <c r="C308">
        <v>0.21084337349397589</v>
      </c>
      <c r="D308">
        <v>6.3E-2</v>
      </c>
      <c r="E308">
        <v>6.646058732612055E-3</v>
      </c>
      <c r="F308" t="s">
        <v>968</v>
      </c>
      <c r="G308" t="s">
        <v>969</v>
      </c>
      <c r="H308" t="s">
        <v>2688</v>
      </c>
      <c r="I308" t="s">
        <v>2689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25">
      <c r="A309">
        <v>487</v>
      </c>
      <c r="B309">
        <v>0.1404255319148936</v>
      </c>
      <c r="C309">
        <v>0.20481927710843381</v>
      </c>
      <c r="D309">
        <v>6.6000000000000003E-2</v>
      </c>
      <c r="E309">
        <v>1.70015455950541E-3</v>
      </c>
      <c r="F309" t="s">
        <v>970</v>
      </c>
      <c r="G309" t="s">
        <v>971</v>
      </c>
      <c r="H309" t="s">
        <v>2688</v>
      </c>
      <c r="I309" t="s">
        <v>2689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25">
      <c r="A310">
        <v>488</v>
      </c>
      <c r="B310">
        <v>0.1659574468085106</v>
      </c>
      <c r="C310">
        <v>0.33734939759036148</v>
      </c>
      <c r="D310">
        <v>0.04</v>
      </c>
      <c r="E310">
        <v>3.0911901081916542E-3</v>
      </c>
      <c r="F310" t="s">
        <v>972</v>
      </c>
      <c r="G310" t="s">
        <v>973</v>
      </c>
      <c r="H310" t="s">
        <v>2688</v>
      </c>
      <c r="I310" t="s">
        <v>2689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25">
      <c r="A311">
        <v>489</v>
      </c>
      <c r="B311">
        <v>0.18723404255319151</v>
      </c>
      <c r="C311">
        <v>0.38554216867469882</v>
      </c>
      <c r="D311">
        <v>4.3999999999999997E-2</v>
      </c>
      <c r="E311">
        <v>0</v>
      </c>
      <c r="F311" t="s">
        <v>974</v>
      </c>
      <c r="G311" t="s">
        <v>975</v>
      </c>
      <c r="H311" t="s">
        <v>2688</v>
      </c>
      <c r="I311" t="s">
        <v>2689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25">
      <c r="A312">
        <v>490</v>
      </c>
      <c r="B312">
        <v>0.1670212765957447</v>
      </c>
      <c r="C312">
        <v>0.33734939759036148</v>
      </c>
      <c r="D312">
        <v>4.2000000000000003E-2</v>
      </c>
      <c r="E312">
        <v>2.7820710973724878E-3</v>
      </c>
      <c r="F312" t="s">
        <v>976</v>
      </c>
      <c r="G312" t="s">
        <v>977</v>
      </c>
      <c r="H312" t="s">
        <v>2688</v>
      </c>
      <c r="I312" t="s">
        <v>2689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25">
      <c r="A313">
        <v>491</v>
      </c>
      <c r="B313">
        <v>0.18085106382978719</v>
      </c>
      <c r="C313">
        <v>0.37349397590361449</v>
      </c>
      <c r="D313">
        <v>4.2000000000000003E-2</v>
      </c>
      <c r="E313">
        <v>0</v>
      </c>
      <c r="F313" t="s">
        <v>978</v>
      </c>
      <c r="G313" t="s">
        <v>979</v>
      </c>
      <c r="H313" t="s">
        <v>2688</v>
      </c>
      <c r="I313" t="s">
        <v>2689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25">
      <c r="A314">
        <v>492</v>
      </c>
      <c r="B314">
        <v>0.1627659574468085</v>
      </c>
      <c r="C314">
        <v>0.36144578313253012</v>
      </c>
      <c r="D314">
        <v>2.8000000000000001E-2</v>
      </c>
      <c r="E314">
        <v>0</v>
      </c>
      <c r="F314" t="s">
        <v>980</v>
      </c>
      <c r="G314" t="s">
        <v>981</v>
      </c>
      <c r="H314" t="s">
        <v>2688</v>
      </c>
      <c r="I314" t="s">
        <v>2689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5">
      <c r="A315">
        <v>493</v>
      </c>
      <c r="B315">
        <v>0.15106382978723401</v>
      </c>
      <c r="C315">
        <v>0.3253012048192771</v>
      </c>
      <c r="D315">
        <v>0.03</v>
      </c>
      <c r="E315">
        <v>0</v>
      </c>
      <c r="F315" t="s">
        <v>982</v>
      </c>
      <c r="G315" t="s">
        <v>983</v>
      </c>
      <c r="H315" t="s">
        <v>2688</v>
      </c>
      <c r="I315" t="s">
        <v>2689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25">
      <c r="A316">
        <v>494</v>
      </c>
      <c r="B316">
        <v>0.44148936170212771</v>
      </c>
      <c r="C316">
        <v>0.73855421686746991</v>
      </c>
      <c r="D316">
        <v>0.17599999999999999</v>
      </c>
      <c r="E316">
        <v>4.4822256568778978E-3</v>
      </c>
      <c r="F316" t="s">
        <v>984</v>
      </c>
      <c r="G316" t="s">
        <v>985</v>
      </c>
      <c r="H316" t="s">
        <v>2688</v>
      </c>
      <c r="I316" t="s">
        <v>2689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5">
      <c r="A317">
        <v>495</v>
      </c>
      <c r="B317">
        <v>0.56808510638297871</v>
      </c>
      <c r="C317">
        <v>0.48433734939759038</v>
      </c>
      <c r="D317">
        <v>0.39300000000000002</v>
      </c>
      <c r="E317">
        <v>7.573415765069552E-3</v>
      </c>
      <c r="F317" t="s">
        <v>986</v>
      </c>
      <c r="G317" t="s">
        <v>987</v>
      </c>
      <c r="H317" t="s">
        <v>2688</v>
      </c>
      <c r="I317" t="s">
        <v>2689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5">
      <c r="A318">
        <v>496</v>
      </c>
      <c r="B318">
        <v>0.30212765957446808</v>
      </c>
      <c r="C318">
        <v>0.41084337349397593</v>
      </c>
      <c r="D318">
        <v>9.9000000000000005E-2</v>
      </c>
      <c r="E318">
        <v>2.2565687789799071E-2</v>
      </c>
      <c r="F318" t="s">
        <v>988</v>
      </c>
      <c r="G318" t="s">
        <v>989</v>
      </c>
      <c r="H318" t="s">
        <v>2688</v>
      </c>
      <c r="I318" t="s">
        <v>2689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5">
      <c r="A319">
        <v>497</v>
      </c>
      <c r="B319">
        <v>0.1202127659574468</v>
      </c>
      <c r="C319">
        <v>0.1674698795180723</v>
      </c>
      <c r="D319">
        <v>4.9000000000000002E-2</v>
      </c>
      <c r="E319">
        <v>5.2550231839258114E-3</v>
      </c>
      <c r="F319" t="s">
        <v>990</v>
      </c>
      <c r="G319" t="s">
        <v>991</v>
      </c>
      <c r="H319" t="s">
        <v>2688</v>
      </c>
      <c r="I319" t="s">
        <v>2689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>
        <v>499</v>
      </c>
      <c r="B320">
        <v>0.1159574468085106</v>
      </c>
      <c r="C320">
        <v>0.2397590361445783</v>
      </c>
      <c r="D320">
        <v>1.7999999999999999E-2</v>
      </c>
      <c r="E320">
        <v>5.2550231839258114E-3</v>
      </c>
      <c r="F320" t="s">
        <v>994</v>
      </c>
      <c r="G320" t="s">
        <v>995</v>
      </c>
      <c r="H320" t="s">
        <v>2688</v>
      </c>
      <c r="I320" t="s">
        <v>2689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25">
      <c r="A321">
        <v>500</v>
      </c>
      <c r="B321">
        <v>0.1202127659574468</v>
      </c>
      <c r="C321">
        <v>0.20481927710843381</v>
      </c>
      <c r="D321">
        <v>4.4999999999999998E-2</v>
      </c>
      <c r="E321">
        <v>0</v>
      </c>
      <c r="F321" t="s">
        <v>996</v>
      </c>
      <c r="G321" t="s">
        <v>997</v>
      </c>
      <c r="H321" t="s">
        <v>2688</v>
      </c>
      <c r="I321" t="s">
        <v>2689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501</v>
      </c>
      <c r="B322">
        <v>0.20638297872340419</v>
      </c>
      <c r="C322">
        <v>0.45783132530120491</v>
      </c>
      <c r="D322">
        <v>3.5000000000000003E-2</v>
      </c>
      <c r="E322">
        <v>0</v>
      </c>
      <c r="F322" t="s">
        <v>998</v>
      </c>
      <c r="G322" t="s">
        <v>999</v>
      </c>
      <c r="H322" t="s">
        <v>2688</v>
      </c>
      <c r="I322" t="s">
        <v>2689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x14ac:dyDescent="0.25">
      <c r="A323">
        <v>502</v>
      </c>
      <c r="B323">
        <v>0.14680851063829789</v>
      </c>
      <c r="C323">
        <v>0.3253012048192771</v>
      </c>
      <c r="D323">
        <v>3.3000000000000002E-2</v>
      </c>
      <c r="E323">
        <v>0</v>
      </c>
      <c r="F323" t="s">
        <v>1000</v>
      </c>
      <c r="G323" t="s">
        <v>1001</v>
      </c>
      <c r="H323" t="s">
        <v>2688</v>
      </c>
      <c r="I323" t="s">
        <v>2689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25">
      <c r="A324">
        <v>503</v>
      </c>
      <c r="B324">
        <v>0.1063829787234043</v>
      </c>
      <c r="C324">
        <v>0.22650602409638559</v>
      </c>
      <c r="D324">
        <v>2.1999999999999999E-2</v>
      </c>
      <c r="E324">
        <v>0</v>
      </c>
      <c r="F324" t="s">
        <v>1002</v>
      </c>
      <c r="G324" t="s">
        <v>1003</v>
      </c>
      <c r="H324" t="s">
        <v>2688</v>
      </c>
      <c r="I324" t="s">
        <v>2689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25">
      <c r="A325">
        <v>504</v>
      </c>
      <c r="B325">
        <v>0.30744680851063833</v>
      </c>
      <c r="C325">
        <v>0.45783132530120491</v>
      </c>
      <c r="D325">
        <v>0.14000000000000001</v>
      </c>
      <c r="E325">
        <v>0</v>
      </c>
      <c r="F325" t="s">
        <v>1004</v>
      </c>
      <c r="G325" t="s">
        <v>1005</v>
      </c>
      <c r="H325" t="s">
        <v>2688</v>
      </c>
      <c r="I325" t="s">
        <v>2689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25">
      <c r="A326">
        <v>505</v>
      </c>
      <c r="B326">
        <v>8.9361702127659579E-2</v>
      </c>
      <c r="C326">
        <v>0.18313253012048189</v>
      </c>
      <c r="D326">
        <v>6.0000000000000001E-3</v>
      </c>
      <c r="E326">
        <v>7.2642967542503869E-3</v>
      </c>
      <c r="F326" t="s">
        <v>1006</v>
      </c>
      <c r="G326" t="s">
        <v>1007</v>
      </c>
      <c r="H326" t="s">
        <v>2688</v>
      </c>
      <c r="I326" t="s">
        <v>2689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506</v>
      </c>
      <c r="B327">
        <v>8.6170212765957446E-2</v>
      </c>
      <c r="C327">
        <v>0.13734939759036149</v>
      </c>
      <c r="D327">
        <v>1.9E-2</v>
      </c>
      <c r="E327">
        <v>5.8732612055641424E-3</v>
      </c>
      <c r="F327" t="s">
        <v>1008</v>
      </c>
      <c r="G327" t="s">
        <v>208</v>
      </c>
      <c r="H327" t="s">
        <v>2688</v>
      </c>
      <c r="I327" t="s">
        <v>2689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25">
      <c r="A328">
        <v>507</v>
      </c>
      <c r="B328">
        <v>0.2117021276595745</v>
      </c>
      <c r="C328">
        <v>0.41084337349397593</v>
      </c>
      <c r="D328">
        <v>3.7999999999999999E-2</v>
      </c>
      <c r="E328">
        <v>1.097372488408037E-2</v>
      </c>
      <c r="F328" t="s">
        <v>1009</v>
      </c>
      <c r="G328" t="s">
        <v>1010</v>
      </c>
      <c r="H328" t="s">
        <v>2688</v>
      </c>
      <c r="I328" t="s">
        <v>2689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25">
      <c r="A329">
        <v>508</v>
      </c>
      <c r="B329">
        <v>0.1180851063829787</v>
      </c>
      <c r="C329">
        <v>0.16024096385542169</v>
      </c>
      <c r="D329">
        <v>3.4000000000000002E-2</v>
      </c>
      <c r="E329">
        <v>1.035548686244204E-2</v>
      </c>
      <c r="F329" t="s">
        <v>1011</v>
      </c>
      <c r="G329" t="s">
        <v>1012</v>
      </c>
      <c r="H329" t="s">
        <v>2688</v>
      </c>
      <c r="I329" t="s">
        <v>2689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5">
      <c r="A330">
        <v>509</v>
      </c>
      <c r="B330">
        <v>9.3617021276595741E-2</v>
      </c>
      <c r="C330">
        <v>0.19156626506024099</v>
      </c>
      <c r="D330">
        <v>9.0000000000000011E-3</v>
      </c>
      <c r="E330">
        <v>6.33693972179289E-3</v>
      </c>
      <c r="F330" t="s">
        <v>1013</v>
      </c>
      <c r="G330" t="s">
        <v>1014</v>
      </c>
      <c r="H330" t="s">
        <v>2683</v>
      </c>
      <c r="I330" t="s">
        <v>2689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5">
      <c r="A331">
        <v>510</v>
      </c>
      <c r="B331">
        <v>0.10212765957446809</v>
      </c>
      <c r="C331">
        <v>0.23493975903614461</v>
      </c>
      <c r="D331">
        <v>1.0999999999999999E-2</v>
      </c>
      <c r="E331">
        <v>3.0911901081916542E-3</v>
      </c>
      <c r="F331" t="s">
        <v>1015</v>
      </c>
      <c r="G331" t="s">
        <v>1016</v>
      </c>
      <c r="H331" t="s">
        <v>2688</v>
      </c>
      <c r="I331" t="s">
        <v>2689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x14ac:dyDescent="0.25">
      <c r="A332">
        <v>511</v>
      </c>
      <c r="B332">
        <v>0.10106382978723399</v>
      </c>
      <c r="C332">
        <v>0.19036144578313249</v>
      </c>
      <c r="D332">
        <v>6.9999999999999993E-3</v>
      </c>
      <c r="E332">
        <v>1.004636785162288E-2</v>
      </c>
      <c r="F332" t="s">
        <v>1017</v>
      </c>
      <c r="G332" t="s">
        <v>1018</v>
      </c>
      <c r="H332" t="s">
        <v>2688</v>
      </c>
      <c r="I332" t="s">
        <v>2689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x14ac:dyDescent="0.25">
      <c r="A333">
        <v>512</v>
      </c>
      <c r="B333">
        <v>0.38085106382978717</v>
      </c>
      <c r="C333">
        <v>0.24939759036144579</v>
      </c>
      <c r="D333">
        <v>0.26400000000000001</v>
      </c>
      <c r="E333">
        <v>1.452859350850077E-2</v>
      </c>
      <c r="F333" t="s">
        <v>1019</v>
      </c>
      <c r="G333" t="s">
        <v>1020</v>
      </c>
      <c r="H333" t="s">
        <v>2696</v>
      </c>
      <c r="I333" t="s">
        <v>2698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</row>
    <row r="334" spans="1:28" x14ac:dyDescent="0.25">
      <c r="A334">
        <v>513</v>
      </c>
      <c r="B334">
        <v>0.21702127659574469</v>
      </c>
      <c r="C334">
        <v>0.19277108433734941</v>
      </c>
      <c r="D334">
        <v>0.15</v>
      </c>
      <c r="E334">
        <v>0</v>
      </c>
      <c r="F334" t="s">
        <v>1021</v>
      </c>
      <c r="G334" t="s">
        <v>1022</v>
      </c>
      <c r="H334" t="s">
        <v>2688</v>
      </c>
      <c r="I334" t="s">
        <v>2689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25">
      <c r="A335">
        <v>514</v>
      </c>
      <c r="B335">
        <v>0.1074468085106383</v>
      </c>
      <c r="C335">
        <v>0.1819277108433735</v>
      </c>
      <c r="D335">
        <v>4.0999999999999988E-2</v>
      </c>
      <c r="E335">
        <v>1.5455950540958271E-3</v>
      </c>
      <c r="F335" t="s">
        <v>1023</v>
      </c>
      <c r="G335" t="s">
        <v>1024</v>
      </c>
      <c r="H335" t="s">
        <v>2688</v>
      </c>
      <c r="I335" t="s">
        <v>2689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25">
      <c r="A336">
        <v>515</v>
      </c>
      <c r="B336">
        <v>0.33617021276595738</v>
      </c>
      <c r="C336">
        <v>0.72409638554216871</v>
      </c>
      <c r="D336">
        <v>6.5000000000000002E-2</v>
      </c>
      <c r="E336">
        <v>3.4621329211746522E-2</v>
      </c>
      <c r="F336" t="s">
        <v>1025</v>
      </c>
      <c r="G336" t="s">
        <v>1026</v>
      </c>
      <c r="H336" t="s">
        <v>2694</v>
      </c>
      <c r="I336" t="s">
        <v>2689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 x14ac:dyDescent="0.25">
      <c r="A337">
        <v>516</v>
      </c>
      <c r="B337">
        <v>0.1042553191489362</v>
      </c>
      <c r="C337">
        <v>0.236144578313253</v>
      </c>
      <c r="D337">
        <v>1.7000000000000001E-2</v>
      </c>
      <c r="E337">
        <v>1.5455950540958271E-3</v>
      </c>
      <c r="F337" t="s">
        <v>1027</v>
      </c>
      <c r="G337" t="s">
        <v>1028</v>
      </c>
      <c r="H337" t="s">
        <v>2688</v>
      </c>
      <c r="I337" t="s">
        <v>2689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25">
      <c r="A338">
        <v>517</v>
      </c>
      <c r="B338">
        <v>0.2946808510638298</v>
      </c>
      <c r="C338">
        <v>0.72289156626506024</v>
      </c>
      <c r="D338">
        <v>2.3E-2</v>
      </c>
      <c r="E338">
        <v>2.7820710973724878E-3</v>
      </c>
      <c r="F338" t="s">
        <v>1029</v>
      </c>
      <c r="G338" t="s">
        <v>1030</v>
      </c>
      <c r="H338" t="s">
        <v>2694</v>
      </c>
      <c r="I338" t="s">
        <v>2689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518</v>
      </c>
      <c r="B339">
        <v>0.18085106382978719</v>
      </c>
      <c r="C339">
        <v>0.40240963855421691</v>
      </c>
      <c r="D339">
        <v>0.03</v>
      </c>
      <c r="E339">
        <v>0</v>
      </c>
      <c r="F339" t="s">
        <v>1031</v>
      </c>
      <c r="G339" t="s">
        <v>1032</v>
      </c>
      <c r="H339" t="s">
        <v>2688</v>
      </c>
      <c r="I339" t="s">
        <v>2689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5">
      <c r="A340">
        <v>519</v>
      </c>
      <c r="B340">
        <v>0.35212765957446812</v>
      </c>
      <c r="C340">
        <v>0.8277108433734941</v>
      </c>
      <c r="D340">
        <v>4.2000000000000003E-2</v>
      </c>
      <c r="E340">
        <v>0</v>
      </c>
      <c r="F340" t="s">
        <v>1033</v>
      </c>
      <c r="G340" t="s">
        <v>1034</v>
      </c>
      <c r="H340" t="s">
        <v>2688</v>
      </c>
      <c r="I340" t="s">
        <v>2689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520</v>
      </c>
      <c r="B341">
        <v>0.1531914893617021</v>
      </c>
      <c r="C341">
        <v>0.391566265060241</v>
      </c>
      <c r="D341">
        <v>6.0000000000000001E-3</v>
      </c>
      <c r="E341">
        <v>0</v>
      </c>
      <c r="F341" t="s">
        <v>1035</v>
      </c>
      <c r="G341" t="s">
        <v>1036</v>
      </c>
      <c r="H341" t="s">
        <v>2683</v>
      </c>
      <c r="I341" t="s">
        <v>2689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25">
      <c r="A342">
        <v>521</v>
      </c>
      <c r="B342">
        <v>7.8723404255319152E-2</v>
      </c>
      <c r="C342">
        <v>0.1240963855421687</v>
      </c>
      <c r="D342">
        <v>1.4E-2</v>
      </c>
      <c r="E342">
        <v>6.33693972179289E-3</v>
      </c>
      <c r="F342" t="s">
        <v>1037</v>
      </c>
      <c r="G342" t="s">
        <v>1038</v>
      </c>
      <c r="H342" t="s">
        <v>2688</v>
      </c>
      <c r="I342" t="s">
        <v>2689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5">
      <c r="A343">
        <v>522</v>
      </c>
      <c r="B343">
        <v>0.36914893617021283</v>
      </c>
      <c r="C343">
        <v>0.58795180722891571</v>
      </c>
      <c r="D343">
        <v>6.4000000000000001E-2</v>
      </c>
      <c r="E343">
        <v>3.0293663060278211E-2</v>
      </c>
      <c r="F343" t="s">
        <v>1039</v>
      </c>
      <c r="G343" t="s">
        <v>1040</v>
      </c>
      <c r="H343" t="s">
        <v>2694</v>
      </c>
      <c r="I343" t="s">
        <v>2689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5">
      <c r="A344">
        <v>523</v>
      </c>
      <c r="B344">
        <v>8.723404255319149E-2</v>
      </c>
      <c r="C344">
        <v>0.2096385542168675</v>
      </c>
      <c r="D344">
        <v>4.0000000000000001E-3</v>
      </c>
      <c r="E344">
        <v>3.5548686244204009E-3</v>
      </c>
      <c r="F344" t="s">
        <v>1041</v>
      </c>
      <c r="G344" t="s">
        <v>1042</v>
      </c>
      <c r="H344" t="s">
        <v>2688</v>
      </c>
      <c r="I344" t="s">
        <v>2689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25">
      <c r="A345">
        <v>524</v>
      </c>
      <c r="B345">
        <v>0.1063829787234043</v>
      </c>
      <c r="C345">
        <v>0.16506024096385541</v>
      </c>
      <c r="D345">
        <v>1.4999999999999999E-2</v>
      </c>
      <c r="E345">
        <v>1.236476043276661E-2</v>
      </c>
      <c r="F345" t="s">
        <v>1043</v>
      </c>
      <c r="G345" t="s">
        <v>1044</v>
      </c>
      <c r="H345" t="s">
        <v>2688</v>
      </c>
      <c r="I345" t="s">
        <v>2689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>
        <v>525</v>
      </c>
      <c r="B346">
        <v>0.10212765957446809</v>
      </c>
      <c r="C346">
        <v>0.23132530120481931</v>
      </c>
      <c r="D346">
        <v>0.02</v>
      </c>
      <c r="E346">
        <v>3.0911901081916539E-4</v>
      </c>
      <c r="F346" t="s">
        <v>1045</v>
      </c>
      <c r="G346" t="s">
        <v>1046</v>
      </c>
      <c r="H346" t="s">
        <v>2683</v>
      </c>
      <c r="I346" t="s">
        <v>2689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5">
      <c r="A347">
        <v>527</v>
      </c>
      <c r="B347">
        <v>0.52765957446808509</v>
      </c>
      <c r="C347">
        <v>0.36506024096385548</v>
      </c>
      <c r="D347">
        <v>0.33500000000000002</v>
      </c>
      <c r="E347">
        <v>2.8438948995363211E-2</v>
      </c>
      <c r="F347" t="s">
        <v>1049</v>
      </c>
      <c r="G347" t="s">
        <v>1050</v>
      </c>
      <c r="H347" t="s">
        <v>2688</v>
      </c>
      <c r="I347" t="s">
        <v>2689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25">
      <c r="A348">
        <v>528</v>
      </c>
      <c r="B348">
        <v>0.1659574468085106</v>
      </c>
      <c r="C348">
        <v>3.2530120481927723E-2</v>
      </c>
      <c r="D348">
        <v>1.2999999999999999E-2</v>
      </c>
      <c r="E348">
        <v>5.1468315301391031E-2</v>
      </c>
      <c r="F348" t="s">
        <v>1051</v>
      </c>
      <c r="G348" t="s">
        <v>1052</v>
      </c>
      <c r="H348" t="s">
        <v>2688</v>
      </c>
      <c r="I348" t="s">
        <v>2691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 x14ac:dyDescent="0.25">
      <c r="A349">
        <v>529</v>
      </c>
      <c r="B349">
        <v>0.38404255319148939</v>
      </c>
      <c r="C349">
        <v>0.10481927710843369</v>
      </c>
      <c r="D349">
        <v>4.4999999999999998E-2</v>
      </c>
      <c r="E349">
        <v>0.1119010819165379</v>
      </c>
      <c r="F349" t="s">
        <v>1053</v>
      </c>
      <c r="G349" t="s">
        <v>1054</v>
      </c>
      <c r="H349" t="s">
        <v>2688</v>
      </c>
      <c r="I349" t="s">
        <v>2691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 x14ac:dyDescent="0.25">
      <c r="A350">
        <v>530</v>
      </c>
      <c r="B350">
        <v>0.13723404255319149</v>
      </c>
      <c r="C350">
        <v>4.9397590361445781E-2</v>
      </c>
      <c r="D350">
        <v>1.2999999999999999E-2</v>
      </c>
      <c r="E350">
        <v>4.6831530139103558E-2</v>
      </c>
      <c r="F350" t="s">
        <v>1055</v>
      </c>
      <c r="G350" t="s">
        <v>1056</v>
      </c>
      <c r="H350" t="s">
        <v>2688</v>
      </c>
      <c r="I350" t="s">
        <v>2691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 x14ac:dyDescent="0.25">
      <c r="A351">
        <v>531</v>
      </c>
      <c r="B351">
        <v>0.32659574468085112</v>
      </c>
      <c r="C351">
        <v>9.5180722891566275E-2</v>
      </c>
      <c r="D351">
        <v>3.4000000000000002E-2</v>
      </c>
      <c r="E351">
        <v>9.8299845440494596E-2</v>
      </c>
      <c r="F351" t="s">
        <v>1057</v>
      </c>
      <c r="G351" t="s">
        <v>1058</v>
      </c>
      <c r="H351" t="s">
        <v>2688</v>
      </c>
      <c r="I351" t="s">
        <v>2691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 x14ac:dyDescent="0.25">
      <c r="A352">
        <v>532</v>
      </c>
      <c r="B352">
        <v>0.38936170212765958</v>
      </c>
      <c r="C352">
        <v>0.1180722891566265</v>
      </c>
      <c r="D352">
        <v>7.2999999999999995E-2</v>
      </c>
      <c r="E352">
        <v>0.1068006182380216</v>
      </c>
      <c r="F352" t="s">
        <v>1059</v>
      </c>
      <c r="G352" t="s">
        <v>1060</v>
      </c>
      <c r="H352" t="s">
        <v>2688</v>
      </c>
      <c r="I352" t="s">
        <v>2691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</row>
    <row r="353" spans="1:28" x14ac:dyDescent="0.25">
      <c r="A353">
        <v>533</v>
      </c>
      <c r="B353">
        <v>0.37765957446808512</v>
      </c>
      <c r="C353">
        <v>0.1108433734939759</v>
      </c>
      <c r="D353">
        <v>3.9E-2</v>
      </c>
      <c r="E353">
        <v>0.1139103554868624</v>
      </c>
      <c r="F353" t="s">
        <v>1061</v>
      </c>
      <c r="G353" t="s">
        <v>1058</v>
      </c>
      <c r="H353" t="s">
        <v>2688</v>
      </c>
      <c r="I353" t="s">
        <v>2691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</row>
    <row r="354" spans="1:28" x14ac:dyDescent="0.25">
      <c r="A354">
        <v>534</v>
      </c>
      <c r="B354">
        <v>0.1638297872340426</v>
      </c>
      <c r="C354">
        <v>4.5783132530120479E-2</v>
      </c>
      <c r="D354">
        <v>3.5000000000000003E-2</v>
      </c>
      <c r="E354">
        <v>4.3894899536321481E-2</v>
      </c>
      <c r="F354" t="s">
        <v>1062</v>
      </c>
      <c r="G354" t="s">
        <v>1063</v>
      </c>
      <c r="H354" t="s">
        <v>2683</v>
      </c>
      <c r="I354" t="s">
        <v>2691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</row>
    <row r="355" spans="1:28" x14ac:dyDescent="0.25">
      <c r="A355">
        <v>535</v>
      </c>
      <c r="B355">
        <v>0.14893617021276601</v>
      </c>
      <c r="C355">
        <v>5.6626506024096392E-2</v>
      </c>
      <c r="D355">
        <v>1.2999999999999999E-2</v>
      </c>
      <c r="E355">
        <v>5.1159196290571869E-2</v>
      </c>
      <c r="F355" t="s">
        <v>1064</v>
      </c>
      <c r="G355" t="s">
        <v>1065</v>
      </c>
      <c r="H355" t="s">
        <v>2688</v>
      </c>
      <c r="I355" t="s">
        <v>2691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</row>
    <row r="356" spans="1:28" x14ac:dyDescent="0.25">
      <c r="A356">
        <v>536</v>
      </c>
      <c r="B356">
        <v>0.37765957446808512</v>
      </c>
      <c r="C356">
        <v>0.1108433734939759</v>
      </c>
      <c r="D356">
        <v>3.9E-2</v>
      </c>
      <c r="E356">
        <v>0.1139103554868624</v>
      </c>
      <c r="F356" t="s">
        <v>1066</v>
      </c>
      <c r="G356" t="s">
        <v>1067</v>
      </c>
      <c r="H356" t="s">
        <v>2694</v>
      </c>
      <c r="I356" t="s">
        <v>2691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</row>
    <row r="357" spans="1:28" x14ac:dyDescent="0.25">
      <c r="A357">
        <v>537</v>
      </c>
      <c r="B357">
        <v>3.7234042553191488E-2</v>
      </c>
      <c r="C357">
        <v>2.6506024096385541E-2</v>
      </c>
      <c r="D357">
        <v>1E-3</v>
      </c>
      <c r="E357">
        <v>1.143740340030912E-2</v>
      </c>
      <c r="F357" t="s">
        <v>1068</v>
      </c>
      <c r="G357" t="s">
        <v>1069</v>
      </c>
      <c r="H357" t="s">
        <v>2688</v>
      </c>
      <c r="I357" t="s">
        <v>2691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</row>
    <row r="358" spans="1:28" x14ac:dyDescent="0.25">
      <c r="A358">
        <v>538</v>
      </c>
      <c r="B358">
        <v>0.15638297872340429</v>
      </c>
      <c r="C358">
        <v>6.1445783132530123E-2</v>
      </c>
      <c r="D358">
        <v>6.9999999999999993E-3</v>
      </c>
      <c r="E358">
        <v>4.8686244204018549E-2</v>
      </c>
      <c r="F358" t="s">
        <v>1070</v>
      </c>
      <c r="G358" t="s">
        <v>1071</v>
      </c>
      <c r="H358" t="s">
        <v>2688</v>
      </c>
      <c r="I358" t="s">
        <v>2691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 spans="1:28" x14ac:dyDescent="0.25">
      <c r="A359">
        <v>539</v>
      </c>
      <c r="B359">
        <v>0.15106382978723401</v>
      </c>
      <c r="C359">
        <v>6.0240963855421693E-2</v>
      </c>
      <c r="D359">
        <v>6.9999999999999993E-3</v>
      </c>
      <c r="E359">
        <v>4.6831530139103558E-2</v>
      </c>
      <c r="F359" t="s">
        <v>1072</v>
      </c>
      <c r="G359" t="s">
        <v>1073</v>
      </c>
      <c r="H359" t="s">
        <v>2683</v>
      </c>
      <c r="I359" t="s">
        <v>2691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</row>
    <row r="360" spans="1:28" x14ac:dyDescent="0.25">
      <c r="A360">
        <v>540</v>
      </c>
      <c r="B360">
        <v>0.3904255319148936</v>
      </c>
      <c r="C360">
        <v>7.4698795180722893E-2</v>
      </c>
      <c r="D360">
        <v>5.0999999999999997E-2</v>
      </c>
      <c r="E360">
        <v>0.117774343122102</v>
      </c>
      <c r="F360" t="s">
        <v>1074</v>
      </c>
      <c r="G360" t="s">
        <v>1075</v>
      </c>
      <c r="H360" t="s">
        <v>2688</v>
      </c>
      <c r="I360" t="s">
        <v>2691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</row>
    <row r="361" spans="1:28" x14ac:dyDescent="0.25">
      <c r="A361">
        <v>541</v>
      </c>
      <c r="B361">
        <v>0.39148936170212773</v>
      </c>
      <c r="C361">
        <v>6.6265060240963861E-2</v>
      </c>
      <c r="D361">
        <v>4.5999999999999999E-2</v>
      </c>
      <c r="E361">
        <v>0.12055641421947449</v>
      </c>
      <c r="F361" t="s">
        <v>1076</v>
      </c>
      <c r="G361" t="s">
        <v>1077</v>
      </c>
      <c r="H361" t="s">
        <v>2688</v>
      </c>
      <c r="I361" t="s">
        <v>2691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</row>
    <row r="362" spans="1:28" x14ac:dyDescent="0.25">
      <c r="A362">
        <v>542</v>
      </c>
      <c r="B362">
        <v>0.38404255319148939</v>
      </c>
      <c r="C362">
        <v>0.10481927710843369</v>
      </c>
      <c r="D362">
        <v>4.4999999999999998E-2</v>
      </c>
      <c r="E362">
        <v>0.1119010819165379</v>
      </c>
      <c r="F362" t="s">
        <v>1078</v>
      </c>
      <c r="G362" t="s">
        <v>1079</v>
      </c>
      <c r="H362" t="s">
        <v>2688</v>
      </c>
      <c r="I362" t="s">
        <v>2691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</row>
    <row r="363" spans="1:28" x14ac:dyDescent="0.25">
      <c r="A363">
        <v>543</v>
      </c>
      <c r="B363">
        <v>0.13723404255319149</v>
      </c>
      <c r="C363">
        <v>4.9397590361445781E-2</v>
      </c>
      <c r="D363">
        <v>1.2999999999999999E-2</v>
      </c>
      <c r="E363">
        <v>4.6831530139103558E-2</v>
      </c>
      <c r="F363" t="s">
        <v>1080</v>
      </c>
      <c r="G363" t="s">
        <v>1081</v>
      </c>
      <c r="H363" t="s">
        <v>2688</v>
      </c>
      <c r="I363" t="s">
        <v>2691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</row>
    <row r="364" spans="1:28" x14ac:dyDescent="0.25">
      <c r="A364">
        <v>544</v>
      </c>
      <c r="B364">
        <v>0.32659574468085112</v>
      </c>
      <c r="C364">
        <v>9.5180722891566275E-2</v>
      </c>
      <c r="D364">
        <v>3.4000000000000002E-2</v>
      </c>
      <c r="E364">
        <v>9.8299845440494596E-2</v>
      </c>
      <c r="F364" t="s">
        <v>1082</v>
      </c>
      <c r="G364" t="s">
        <v>1083</v>
      </c>
      <c r="H364" t="s">
        <v>2688</v>
      </c>
      <c r="I364" t="s">
        <v>2691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</row>
    <row r="365" spans="1:28" x14ac:dyDescent="0.25">
      <c r="A365">
        <v>545</v>
      </c>
      <c r="B365">
        <v>0.37765957446808512</v>
      </c>
      <c r="C365">
        <v>0.1108433734939759</v>
      </c>
      <c r="D365">
        <v>3.9E-2</v>
      </c>
      <c r="E365">
        <v>0.1139103554868624</v>
      </c>
      <c r="F365" t="s">
        <v>1084</v>
      </c>
      <c r="G365" t="s">
        <v>1083</v>
      </c>
      <c r="H365" t="s">
        <v>2688</v>
      </c>
      <c r="I365" t="s">
        <v>2691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</row>
    <row r="366" spans="1:28" x14ac:dyDescent="0.25">
      <c r="A366">
        <v>546</v>
      </c>
      <c r="B366">
        <v>0.14893617021276601</v>
      </c>
      <c r="C366">
        <v>5.6626506024096392E-2</v>
      </c>
      <c r="D366">
        <v>1.2999999999999999E-2</v>
      </c>
      <c r="E366">
        <v>5.1159196290571869E-2</v>
      </c>
      <c r="F366" t="s">
        <v>1085</v>
      </c>
      <c r="G366" t="s">
        <v>1086</v>
      </c>
      <c r="H366" t="s">
        <v>2688</v>
      </c>
      <c r="I366" t="s">
        <v>2691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</row>
    <row r="367" spans="1:28" x14ac:dyDescent="0.25">
      <c r="A367">
        <v>547</v>
      </c>
      <c r="B367">
        <v>0.18617021276595741</v>
      </c>
      <c r="C367">
        <v>2.168674698795181E-2</v>
      </c>
      <c r="D367">
        <v>1.7999999999999999E-2</v>
      </c>
      <c r="E367">
        <v>5.4095826893353939E-2</v>
      </c>
      <c r="F367" t="s">
        <v>1087</v>
      </c>
      <c r="G367" t="s">
        <v>1088</v>
      </c>
      <c r="H367" t="s">
        <v>2683</v>
      </c>
      <c r="I367" t="s">
        <v>2691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</row>
    <row r="368" spans="1:28" x14ac:dyDescent="0.25">
      <c r="A368">
        <v>548</v>
      </c>
      <c r="B368">
        <v>0.15840425531914901</v>
      </c>
      <c r="C368">
        <v>0.12530120481927709</v>
      </c>
      <c r="D368">
        <v>0.104</v>
      </c>
      <c r="E368">
        <v>3.1066460587326119E-2</v>
      </c>
      <c r="F368" t="s">
        <v>1089</v>
      </c>
      <c r="G368" t="s">
        <v>1090</v>
      </c>
      <c r="H368" t="s">
        <v>2696</v>
      </c>
      <c r="I368" t="s">
        <v>2691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</row>
    <row r="369" spans="1:28" x14ac:dyDescent="0.25">
      <c r="A369">
        <v>549</v>
      </c>
      <c r="B369">
        <v>0.39787234042553188</v>
      </c>
      <c r="C369">
        <v>0.1132530120481928</v>
      </c>
      <c r="D369">
        <v>2.1999999999999999E-2</v>
      </c>
      <c r="E369">
        <v>0.1222565687789799</v>
      </c>
      <c r="F369" t="s">
        <v>1091</v>
      </c>
      <c r="G369" t="s">
        <v>1092</v>
      </c>
      <c r="H369" t="s">
        <v>2688</v>
      </c>
      <c r="I369" t="s">
        <v>2691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</row>
    <row r="370" spans="1:28" x14ac:dyDescent="0.25">
      <c r="A370">
        <v>550</v>
      </c>
      <c r="B370">
        <v>5.4255319148936172E-2</v>
      </c>
      <c r="C370">
        <v>1.8072289156626509E-2</v>
      </c>
      <c r="D370">
        <v>0.01</v>
      </c>
      <c r="E370">
        <v>1.561051004636785E-2</v>
      </c>
      <c r="F370" t="s">
        <v>1093</v>
      </c>
      <c r="G370" t="s">
        <v>1094</v>
      </c>
      <c r="H370" t="s">
        <v>2688</v>
      </c>
      <c r="I370" t="s">
        <v>2692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25">
      <c r="A371">
        <v>551</v>
      </c>
      <c r="B371">
        <v>0.30744680851063833</v>
      </c>
      <c r="C371">
        <v>0.13253012048192769</v>
      </c>
      <c r="D371">
        <v>0.04</v>
      </c>
      <c r="E371">
        <v>9.428129829984544E-2</v>
      </c>
      <c r="F371" t="s">
        <v>1095</v>
      </c>
      <c r="G371" t="s">
        <v>1096</v>
      </c>
      <c r="H371" t="s">
        <v>2683</v>
      </c>
      <c r="I371" t="s">
        <v>2691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</row>
    <row r="372" spans="1:28" x14ac:dyDescent="0.25">
      <c r="A372">
        <v>555</v>
      </c>
      <c r="B372">
        <v>5.2127659574468077E-2</v>
      </c>
      <c r="C372">
        <v>1.084337349397591E-2</v>
      </c>
      <c r="D372">
        <v>3.0000000000000001E-3</v>
      </c>
      <c r="E372">
        <v>1.885625965996909E-2</v>
      </c>
      <c r="F372" t="s">
        <v>1103</v>
      </c>
      <c r="G372" t="s">
        <v>1104</v>
      </c>
      <c r="H372" t="s">
        <v>2688</v>
      </c>
      <c r="I372" t="s">
        <v>2690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</row>
    <row r="373" spans="1:28" x14ac:dyDescent="0.25">
      <c r="A373">
        <v>556</v>
      </c>
      <c r="B373">
        <v>6.4893617021276592E-2</v>
      </c>
      <c r="C373">
        <v>1.084337349397591E-2</v>
      </c>
      <c r="D373">
        <v>3.0000000000000001E-3</v>
      </c>
      <c r="E373">
        <v>2.3802163833075731E-2</v>
      </c>
      <c r="F373" t="s">
        <v>1105</v>
      </c>
      <c r="G373" t="s">
        <v>1106</v>
      </c>
      <c r="H373" t="s">
        <v>2688</v>
      </c>
      <c r="I373" t="s">
        <v>2690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</row>
    <row r="374" spans="1:28" x14ac:dyDescent="0.25">
      <c r="A374">
        <v>558</v>
      </c>
      <c r="B374">
        <v>6.8085106382978725E-2</v>
      </c>
      <c r="C374">
        <v>8.4337349397590362E-3</v>
      </c>
      <c r="D374">
        <v>6.0000000000000001E-3</v>
      </c>
      <c r="E374">
        <v>2.4420401854714061E-2</v>
      </c>
      <c r="F374" t="s">
        <v>1109</v>
      </c>
      <c r="G374" t="s">
        <v>1110</v>
      </c>
      <c r="H374" t="s">
        <v>2684</v>
      </c>
      <c r="I374" t="s">
        <v>2686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x14ac:dyDescent="0.25">
      <c r="A375">
        <v>559</v>
      </c>
      <c r="B375">
        <v>0.37234042553191488</v>
      </c>
      <c r="C375">
        <v>7.4698795180722893E-2</v>
      </c>
      <c r="D375">
        <v>1.4E-2</v>
      </c>
      <c r="E375">
        <v>0.1208655332302937</v>
      </c>
      <c r="F375" t="s">
        <v>1111</v>
      </c>
      <c r="G375" t="s">
        <v>1112</v>
      </c>
      <c r="H375" t="s">
        <v>2688</v>
      </c>
      <c r="I375" t="s">
        <v>2691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</row>
    <row r="376" spans="1:28" x14ac:dyDescent="0.25">
      <c r="A376">
        <v>560</v>
      </c>
      <c r="B376">
        <v>4.7872340425531908E-2</v>
      </c>
      <c r="C376">
        <v>3.012048192771084E-2</v>
      </c>
      <c r="D376">
        <v>3.9E-2</v>
      </c>
      <c r="E376">
        <v>0</v>
      </c>
      <c r="F376" t="s">
        <v>1113</v>
      </c>
      <c r="G376" t="s">
        <v>1114</v>
      </c>
      <c r="H376" t="s">
        <v>2683</v>
      </c>
      <c r="I376" t="s">
        <v>2695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 x14ac:dyDescent="0.25">
      <c r="A377">
        <v>566</v>
      </c>
      <c r="B377">
        <v>5.1063829787234047E-2</v>
      </c>
      <c r="C377">
        <v>2.289156626506024E-2</v>
      </c>
      <c r="D377">
        <v>3.2000000000000001E-2</v>
      </c>
      <c r="E377">
        <v>4.3276661514683153E-3</v>
      </c>
      <c r="F377" t="s">
        <v>1125</v>
      </c>
      <c r="G377" t="s">
        <v>1126</v>
      </c>
      <c r="H377" t="s">
        <v>2683</v>
      </c>
      <c r="I377" t="s">
        <v>2690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</row>
    <row r="378" spans="1:28" x14ac:dyDescent="0.25">
      <c r="A378">
        <v>569</v>
      </c>
      <c r="B378">
        <v>3.2978723404255318E-2</v>
      </c>
      <c r="C378">
        <v>1.445783132530121E-2</v>
      </c>
      <c r="D378">
        <v>3.0000000000000001E-3</v>
      </c>
      <c r="E378">
        <v>1.097372488408037E-2</v>
      </c>
      <c r="F378" t="s">
        <v>1131</v>
      </c>
      <c r="G378" t="s">
        <v>1132</v>
      </c>
      <c r="H378" t="s">
        <v>2683</v>
      </c>
      <c r="I378" t="s">
        <v>2686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25">
      <c r="A379">
        <v>570</v>
      </c>
      <c r="B379">
        <v>0.53191489361702127</v>
      </c>
      <c r="C379">
        <v>1.445783132530121E-2</v>
      </c>
      <c r="D379">
        <v>0.251</v>
      </c>
      <c r="E379">
        <v>0.10401854714064911</v>
      </c>
      <c r="F379" t="s">
        <v>1133</v>
      </c>
      <c r="G379" t="s">
        <v>1134</v>
      </c>
      <c r="H379" t="s">
        <v>2684</v>
      </c>
      <c r="I379" t="s">
        <v>2691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</row>
    <row r="380" spans="1:28" x14ac:dyDescent="0.25">
      <c r="A380">
        <v>572</v>
      </c>
      <c r="B380">
        <v>0.35531914893617023</v>
      </c>
      <c r="C380">
        <v>0.1168674698795181</v>
      </c>
      <c r="D380">
        <v>3.5000000000000003E-2</v>
      </c>
      <c r="E380">
        <v>0.11344667697063369</v>
      </c>
      <c r="F380" t="s">
        <v>1137</v>
      </c>
      <c r="G380" t="s">
        <v>1138</v>
      </c>
      <c r="H380" t="s">
        <v>2688</v>
      </c>
      <c r="I380" t="s">
        <v>2691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</row>
    <row r="381" spans="1:28" x14ac:dyDescent="0.25">
      <c r="A381">
        <v>575</v>
      </c>
      <c r="B381">
        <v>5.1063829787234047E-2</v>
      </c>
      <c r="C381">
        <v>7.2289156626506026E-3</v>
      </c>
      <c r="D381">
        <v>2E-3</v>
      </c>
      <c r="E381">
        <v>1.9165378670788259E-2</v>
      </c>
      <c r="F381" t="s">
        <v>1143</v>
      </c>
      <c r="G381" t="s">
        <v>1144</v>
      </c>
      <c r="H381" t="s">
        <v>2696</v>
      </c>
      <c r="I381" t="s">
        <v>2686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5">
      <c r="A382">
        <v>576</v>
      </c>
      <c r="B382">
        <v>6.4893617021276592E-2</v>
      </c>
      <c r="C382">
        <v>9.6385542168674707E-3</v>
      </c>
      <c r="D382">
        <v>2E-3</v>
      </c>
      <c r="E382">
        <v>2.179289026275116E-2</v>
      </c>
      <c r="F382" t="s">
        <v>1145</v>
      </c>
      <c r="G382" t="s">
        <v>1146</v>
      </c>
      <c r="H382" t="s">
        <v>2696</v>
      </c>
      <c r="I382" t="s">
        <v>2686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25">
      <c r="A383">
        <v>577</v>
      </c>
      <c r="B383">
        <v>4.6808510638297871E-2</v>
      </c>
      <c r="C383">
        <v>9.6385542168674707E-3</v>
      </c>
      <c r="D383">
        <v>3.0000000000000001E-3</v>
      </c>
      <c r="E383">
        <v>1.6846986089644508E-2</v>
      </c>
      <c r="F383" t="s">
        <v>1147</v>
      </c>
      <c r="G383" t="s">
        <v>1148</v>
      </c>
      <c r="H383" t="s">
        <v>2696</v>
      </c>
      <c r="I383" t="s">
        <v>2686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578</v>
      </c>
      <c r="B384">
        <v>4.1489361702127657E-2</v>
      </c>
      <c r="C384">
        <v>3.6144578313253009E-3</v>
      </c>
      <c r="D384">
        <v>3.0000000000000001E-3</v>
      </c>
      <c r="E384">
        <v>1.3755795981452859E-2</v>
      </c>
      <c r="F384" t="s">
        <v>1149</v>
      </c>
      <c r="G384" t="s">
        <v>1150</v>
      </c>
      <c r="H384" t="s">
        <v>2696</v>
      </c>
      <c r="I384" t="s">
        <v>2686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579</v>
      </c>
      <c r="B385">
        <v>4.7872340425531908E-2</v>
      </c>
      <c r="C385">
        <v>1.084337349397591E-2</v>
      </c>
      <c r="D385">
        <v>2E-3</v>
      </c>
      <c r="E385">
        <v>1.7310664605873261E-2</v>
      </c>
      <c r="F385" t="s">
        <v>1151</v>
      </c>
      <c r="G385" t="s">
        <v>1152</v>
      </c>
      <c r="H385" t="s">
        <v>2696</v>
      </c>
      <c r="I385" t="s">
        <v>2686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25">
      <c r="A386">
        <v>580</v>
      </c>
      <c r="B386">
        <v>3.9361702127659583E-2</v>
      </c>
      <c r="C386">
        <v>9.6385542168674707E-3</v>
      </c>
      <c r="D386">
        <v>1E-3</v>
      </c>
      <c r="E386">
        <v>1.9010819165378671E-2</v>
      </c>
      <c r="F386" t="s">
        <v>1153</v>
      </c>
      <c r="G386" t="s">
        <v>1154</v>
      </c>
      <c r="H386" t="s">
        <v>2696</v>
      </c>
      <c r="I386" t="s">
        <v>2686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25">
      <c r="A387">
        <v>581</v>
      </c>
      <c r="B387">
        <v>5.2127659574468077E-2</v>
      </c>
      <c r="C387">
        <v>8.4337349397590362E-3</v>
      </c>
      <c r="D387">
        <v>2E-3</v>
      </c>
      <c r="E387">
        <v>1.715610510046368E-2</v>
      </c>
      <c r="F387" t="s">
        <v>1155</v>
      </c>
      <c r="G387" t="s">
        <v>1156</v>
      </c>
      <c r="H387" t="s">
        <v>2696</v>
      </c>
      <c r="I387" t="s">
        <v>2686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25">
      <c r="A388">
        <v>585</v>
      </c>
      <c r="B388">
        <v>0.1414893617021277</v>
      </c>
      <c r="C388">
        <v>1.204819277108434E-2</v>
      </c>
      <c r="D388">
        <v>2E-3</v>
      </c>
      <c r="E388">
        <v>4.9768160741885628E-2</v>
      </c>
      <c r="F388" t="s">
        <v>1163</v>
      </c>
      <c r="G388" t="s">
        <v>1164</v>
      </c>
      <c r="H388" t="s">
        <v>2688</v>
      </c>
      <c r="I388" t="s">
        <v>2690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</row>
    <row r="389" spans="1:28" x14ac:dyDescent="0.25">
      <c r="A389">
        <v>586</v>
      </c>
      <c r="B389">
        <v>0.26595744680851058</v>
      </c>
      <c r="C389">
        <v>3.1325301204819279E-2</v>
      </c>
      <c r="D389">
        <v>2.5000000000000001E-2</v>
      </c>
      <c r="E389">
        <v>5.4714064914992269E-2</v>
      </c>
      <c r="F389" t="s">
        <v>1165</v>
      </c>
      <c r="G389" t="s">
        <v>1166</v>
      </c>
      <c r="H389" t="s">
        <v>2688</v>
      </c>
      <c r="I389" t="s">
        <v>2690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</row>
    <row r="390" spans="1:28" x14ac:dyDescent="0.25">
      <c r="A390">
        <v>587</v>
      </c>
      <c r="B390">
        <v>0.37872340425531908</v>
      </c>
      <c r="C390">
        <v>0.24698795180722891</v>
      </c>
      <c r="D390">
        <v>4.0999999999999988E-2</v>
      </c>
      <c r="E390">
        <v>9.5208655332302938E-2</v>
      </c>
      <c r="F390" t="s">
        <v>1167</v>
      </c>
      <c r="G390" t="s">
        <v>1168</v>
      </c>
      <c r="H390" t="s">
        <v>2684</v>
      </c>
      <c r="I390" t="s">
        <v>2687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25">
      <c r="A391">
        <v>588</v>
      </c>
      <c r="B391">
        <v>0.35106382978723399</v>
      </c>
      <c r="C391">
        <v>0.28674698795180731</v>
      </c>
      <c r="D391">
        <v>1.4E-2</v>
      </c>
      <c r="E391">
        <v>9.3044822256568779E-2</v>
      </c>
      <c r="F391" t="s">
        <v>1169</v>
      </c>
      <c r="G391" t="s">
        <v>1170</v>
      </c>
      <c r="H391" t="s">
        <v>2684</v>
      </c>
      <c r="I391" t="s">
        <v>2687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>
        <v>589</v>
      </c>
      <c r="B392">
        <v>0.56702127659574464</v>
      </c>
      <c r="C392">
        <v>0.33493975903614459</v>
      </c>
      <c r="D392">
        <v>0.38100000000000001</v>
      </c>
      <c r="E392">
        <v>4.4513137557959812E-2</v>
      </c>
      <c r="F392" t="s">
        <v>1171</v>
      </c>
      <c r="G392" t="s">
        <v>1172</v>
      </c>
      <c r="H392" t="s">
        <v>2684</v>
      </c>
      <c r="I392" t="s">
        <v>2687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25">
      <c r="A393">
        <v>591</v>
      </c>
      <c r="B393">
        <v>0.42553191489361702</v>
      </c>
      <c r="C393">
        <v>0.41445783132530117</v>
      </c>
      <c r="D393">
        <v>0.16900000000000001</v>
      </c>
      <c r="E393">
        <v>5.2704791344667698E-2</v>
      </c>
      <c r="F393" t="s">
        <v>1175</v>
      </c>
      <c r="G393" t="s">
        <v>1176</v>
      </c>
      <c r="H393" t="s">
        <v>2684</v>
      </c>
      <c r="I393" t="s">
        <v>2687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25">
      <c r="A394">
        <v>592</v>
      </c>
      <c r="B394">
        <v>0.21702127659574469</v>
      </c>
      <c r="C394">
        <v>0.20361445783132531</v>
      </c>
      <c r="D394">
        <v>8.8000000000000009E-2</v>
      </c>
      <c r="E394">
        <v>2.704791344667697E-2</v>
      </c>
      <c r="F394" t="s">
        <v>1177</v>
      </c>
      <c r="G394" t="s">
        <v>1178</v>
      </c>
      <c r="H394" t="s">
        <v>2684</v>
      </c>
      <c r="I394" t="s">
        <v>2687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593</v>
      </c>
      <c r="B395">
        <v>0.22553191489361701</v>
      </c>
      <c r="C395">
        <v>0.21084337349397589</v>
      </c>
      <c r="D395">
        <v>0.1</v>
      </c>
      <c r="E395">
        <v>1.9938176197836169E-2</v>
      </c>
      <c r="F395" t="s">
        <v>1179</v>
      </c>
      <c r="G395" t="s">
        <v>1180</v>
      </c>
      <c r="H395" t="s">
        <v>2684</v>
      </c>
      <c r="I395" t="s">
        <v>2687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25">
      <c r="A396">
        <v>594</v>
      </c>
      <c r="B396">
        <v>0.12553191489361701</v>
      </c>
      <c r="C396">
        <v>5.301204819277109E-2</v>
      </c>
      <c r="D396">
        <v>1.4999999999999999E-2</v>
      </c>
      <c r="E396">
        <v>3.3384853168469862E-2</v>
      </c>
      <c r="F396" t="s">
        <v>1181</v>
      </c>
      <c r="G396" t="s">
        <v>1182</v>
      </c>
      <c r="H396" t="s">
        <v>2684</v>
      </c>
      <c r="I396" t="s">
        <v>2687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25">
      <c r="A397">
        <v>596</v>
      </c>
      <c r="B397">
        <v>0.39361702127659581</v>
      </c>
      <c r="C397">
        <v>0.19277108433734941</v>
      </c>
      <c r="D397">
        <v>0.06</v>
      </c>
      <c r="E397">
        <v>0.1004636785162287</v>
      </c>
      <c r="F397" t="s">
        <v>1185</v>
      </c>
      <c r="G397" t="s">
        <v>1186</v>
      </c>
      <c r="H397" t="s">
        <v>2684</v>
      </c>
      <c r="I397" t="s">
        <v>2687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25">
      <c r="A398">
        <v>597</v>
      </c>
      <c r="B398">
        <v>0.17127659574468079</v>
      </c>
      <c r="C398">
        <v>9.2771084337349402E-2</v>
      </c>
      <c r="D398">
        <v>2.8000000000000001E-2</v>
      </c>
      <c r="E398">
        <v>4.188562596599691E-2</v>
      </c>
      <c r="F398" t="s">
        <v>1187</v>
      </c>
      <c r="G398" t="s">
        <v>1188</v>
      </c>
      <c r="H398" t="s">
        <v>2683</v>
      </c>
      <c r="I398" t="s">
        <v>2687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25">
      <c r="A399">
        <v>598</v>
      </c>
      <c r="B399">
        <v>0.175531914893617</v>
      </c>
      <c r="C399">
        <v>9.2771084337349402E-2</v>
      </c>
      <c r="D399">
        <v>3.1E-2</v>
      </c>
      <c r="E399">
        <v>4.2349304482225653E-2</v>
      </c>
      <c r="F399" t="s">
        <v>1189</v>
      </c>
      <c r="G399" t="s">
        <v>1190</v>
      </c>
      <c r="H399" t="s">
        <v>2684</v>
      </c>
      <c r="I399" t="s">
        <v>2687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25">
      <c r="A400">
        <v>599</v>
      </c>
      <c r="B400">
        <v>0.35212765957446812</v>
      </c>
      <c r="C400">
        <v>0.30120481927710852</v>
      </c>
      <c r="D400">
        <v>0.01</v>
      </c>
      <c r="E400">
        <v>8.964451313755796E-2</v>
      </c>
      <c r="F400" t="s">
        <v>1191</v>
      </c>
      <c r="G400" t="s">
        <v>1192</v>
      </c>
      <c r="H400" t="s">
        <v>2688</v>
      </c>
      <c r="I400" t="s">
        <v>2687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5">
      <c r="A401">
        <v>600</v>
      </c>
      <c r="B401">
        <v>0.13723404255319149</v>
      </c>
      <c r="C401">
        <v>0.14939759036144579</v>
      </c>
      <c r="D401">
        <v>6.9999999999999993E-3</v>
      </c>
      <c r="E401">
        <v>2.828438948995363E-2</v>
      </c>
      <c r="F401" t="s">
        <v>1193</v>
      </c>
      <c r="G401" t="s">
        <v>1194</v>
      </c>
      <c r="H401" t="s">
        <v>2684</v>
      </c>
      <c r="I401" t="s">
        <v>2687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25">
      <c r="A402">
        <v>601</v>
      </c>
      <c r="B402">
        <v>0.35744680851063831</v>
      </c>
      <c r="C402">
        <v>0.27831325301204818</v>
      </c>
      <c r="D402">
        <v>1.7000000000000001E-2</v>
      </c>
      <c r="E402">
        <v>9.1962905718701693E-2</v>
      </c>
      <c r="F402" t="s">
        <v>1195</v>
      </c>
      <c r="G402" t="s">
        <v>1196</v>
      </c>
      <c r="H402" t="s">
        <v>2684</v>
      </c>
      <c r="I402" t="s">
        <v>2687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25">
      <c r="A403">
        <v>602</v>
      </c>
      <c r="B403">
        <v>0.54893617021276597</v>
      </c>
      <c r="C403">
        <v>0.17710843373493981</v>
      </c>
      <c r="D403">
        <v>0.311</v>
      </c>
      <c r="E403">
        <v>6.8624420401854708E-2</v>
      </c>
      <c r="F403" t="s">
        <v>1197</v>
      </c>
      <c r="G403" t="s">
        <v>1198</v>
      </c>
      <c r="H403" t="s">
        <v>2684</v>
      </c>
      <c r="I403" t="s">
        <v>2687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5">
      <c r="A404">
        <v>603</v>
      </c>
      <c r="B404">
        <v>0.35744680851063831</v>
      </c>
      <c r="C404">
        <v>0.24939759036144579</v>
      </c>
      <c r="D404">
        <v>1.4E-2</v>
      </c>
      <c r="E404">
        <v>9.5826893353941262E-2</v>
      </c>
      <c r="F404" t="s">
        <v>1199</v>
      </c>
      <c r="G404" t="s">
        <v>1200</v>
      </c>
      <c r="H404" t="s">
        <v>2688</v>
      </c>
      <c r="I404" t="s">
        <v>2687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25">
      <c r="A405">
        <v>604</v>
      </c>
      <c r="B405">
        <v>0.33617021276595738</v>
      </c>
      <c r="C405">
        <v>0.24939759036144579</v>
      </c>
      <c r="D405">
        <v>0.01</v>
      </c>
      <c r="E405">
        <v>8.964451313755796E-2</v>
      </c>
      <c r="F405" t="s">
        <v>1201</v>
      </c>
      <c r="G405" t="s">
        <v>1202</v>
      </c>
      <c r="H405" t="s">
        <v>2688</v>
      </c>
      <c r="I405" t="s">
        <v>2687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25">
      <c r="A406">
        <v>605</v>
      </c>
      <c r="B406">
        <v>0.1212765957446809</v>
      </c>
      <c r="C406">
        <v>8.4337349397590369E-2</v>
      </c>
      <c r="D406">
        <v>6.0000000000000001E-3</v>
      </c>
      <c r="E406">
        <v>3.2148377125193202E-2</v>
      </c>
      <c r="F406" t="s">
        <v>1203</v>
      </c>
      <c r="G406" t="s">
        <v>1204</v>
      </c>
      <c r="H406" t="s">
        <v>2688</v>
      </c>
      <c r="I406" t="s">
        <v>2687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25">
      <c r="A407">
        <v>606</v>
      </c>
      <c r="B407">
        <v>0.1308510638297872</v>
      </c>
      <c r="C407">
        <v>0.10120481927710839</v>
      </c>
      <c r="D407">
        <v>6.0000000000000001E-3</v>
      </c>
      <c r="E407">
        <v>2.7820710973724878E-3</v>
      </c>
      <c r="F407" t="s">
        <v>1205</v>
      </c>
      <c r="G407" t="s">
        <v>1206</v>
      </c>
      <c r="H407" t="s">
        <v>2684</v>
      </c>
      <c r="I407" t="s">
        <v>2687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25">
      <c r="A408">
        <v>607</v>
      </c>
      <c r="B408">
        <v>0.15638297872340429</v>
      </c>
      <c r="C408">
        <v>0.108433734939759</v>
      </c>
      <c r="D408">
        <v>5.0000000000000001E-3</v>
      </c>
      <c r="E408">
        <v>4.250386398763524E-2</v>
      </c>
      <c r="F408" t="s">
        <v>1207</v>
      </c>
      <c r="G408" t="s">
        <v>1208</v>
      </c>
      <c r="H408" t="s">
        <v>2683</v>
      </c>
      <c r="I408" t="s">
        <v>2687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25">
      <c r="A409">
        <v>608</v>
      </c>
      <c r="B409">
        <v>0.34361702127659582</v>
      </c>
      <c r="C409">
        <v>0.27590361445783129</v>
      </c>
      <c r="D409">
        <v>1.4999999999999999E-2</v>
      </c>
      <c r="E409">
        <v>8.7789799072642963E-2</v>
      </c>
      <c r="F409" t="s">
        <v>1209</v>
      </c>
      <c r="G409" t="s">
        <v>1210</v>
      </c>
      <c r="H409" t="s">
        <v>2684</v>
      </c>
      <c r="I409" t="s">
        <v>2687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5">
      <c r="A410">
        <v>609</v>
      </c>
      <c r="B410">
        <v>0.1159574468085106</v>
      </c>
      <c r="C410">
        <v>0.10481927710843369</v>
      </c>
      <c r="D410">
        <v>5.0000000000000001E-3</v>
      </c>
      <c r="E410">
        <v>2.828438948995363E-2</v>
      </c>
      <c r="F410" t="s">
        <v>1211</v>
      </c>
      <c r="G410" t="s">
        <v>1212</v>
      </c>
      <c r="H410" t="s">
        <v>2683</v>
      </c>
      <c r="I410" t="s">
        <v>2687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25">
      <c r="A411">
        <v>610</v>
      </c>
      <c r="B411">
        <v>0.37234042553191488</v>
      </c>
      <c r="C411">
        <v>0.2060240963855422</v>
      </c>
      <c r="D411">
        <v>1.7999999999999999E-2</v>
      </c>
      <c r="E411">
        <v>0.10927357032457501</v>
      </c>
      <c r="F411" t="s">
        <v>1213</v>
      </c>
      <c r="G411" t="s">
        <v>1214</v>
      </c>
      <c r="H411" t="s">
        <v>2684</v>
      </c>
      <c r="I411" t="s">
        <v>2687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25">
      <c r="A412">
        <v>611</v>
      </c>
      <c r="B412">
        <v>0.36063829787234042</v>
      </c>
      <c r="C412">
        <v>0.25060240963855418</v>
      </c>
      <c r="D412">
        <v>2.1000000000000001E-2</v>
      </c>
      <c r="E412">
        <v>9.9845440494590404E-2</v>
      </c>
      <c r="F412" t="s">
        <v>1215</v>
      </c>
      <c r="G412" t="s">
        <v>1216</v>
      </c>
      <c r="H412" t="s">
        <v>2684</v>
      </c>
      <c r="I412" t="s">
        <v>2687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612</v>
      </c>
      <c r="B413">
        <v>0.36808510638297881</v>
      </c>
      <c r="C413">
        <v>0.2</v>
      </c>
      <c r="D413">
        <v>1.7000000000000001E-2</v>
      </c>
      <c r="E413">
        <v>0.10216383307573421</v>
      </c>
      <c r="F413" t="s">
        <v>1217</v>
      </c>
      <c r="G413" t="s">
        <v>1218</v>
      </c>
      <c r="H413" t="s">
        <v>2684</v>
      </c>
      <c r="I413" t="s">
        <v>2687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x14ac:dyDescent="0.25">
      <c r="A414">
        <v>613</v>
      </c>
      <c r="B414">
        <v>0.36702127659574468</v>
      </c>
      <c r="C414">
        <v>0.26746987951807227</v>
      </c>
      <c r="D414">
        <v>1.2E-2</v>
      </c>
      <c r="E414">
        <v>9.721792890262751E-2</v>
      </c>
      <c r="F414" t="s">
        <v>1219</v>
      </c>
      <c r="G414" t="s">
        <v>1220</v>
      </c>
      <c r="H414" t="s">
        <v>2684</v>
      </c>
      <c r="I414" t="s">
        <v>2687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615</v>
      </c>
      <c r="B415">
        <v>0.1042553191489362</v>
      </c>
      <c r="C415">
        <v>8.0722891566265068E-2</v>
      </c>
      <c r="D415">
        <v>4.0000000000000001E-3</v>
      </c>
      <c r="E415">
        <v>2.7357032457496131E-2</v>
      </c>
      <c r="F415" t="s">
        <v>1223</v>
      </c>
      <c r="G415" t="s">
        <v>1224</v>
      </c>
      <c r="H415" t="s">
        <v>2684</v>
      </c>
      <c r="I415" t="s">
        <v>2687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5">
      <c r="A416">
        <v>616</v>
      </c>
      <c r="B416">
        <v>0.30425531914893622</v>
      </c>
      <c r="C416">
        <v>0.363855421686747</v>
      </c>
      <c r="D416">
        <v>0.156</v>
      </c>
      <c r="E416">
        <v>4.652241112828439E-2</v>
      </c>
      <c r="F416" t="s">
        <v>1225</v>
      </c>
      <c r="G416" t="s">
        <v>1226</v>
      </c>
      <c r="H416" t="s">
        <v>2684</v>
      </c>
      <c r="I416" t="s">
        <v>2687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25">
      <c r="A417">
        <v>618</v>
      </c>
      <c r="B417">
        <v>0.40531914893617021</v>
      </c>
      <c r="C417">
        <v>0.48674698795180732</v>
      </c>
      <c r="D417">
        <v>0.16700000000000001</v>
      </c>
      <c r="E417">
        <v>3.8485316846986077E-2</v>
      </c>
      <c r="F417" t="s">
        <v>1229</v>
      </c>
      <c r="G417" t="s">
        <v>1230</v>
      </c>
      <c r="H417" t="s">
        <v>2684</v>
      </c>
      <c r="I417" t="s">
        <v>2687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25">
      <c r="A418">
        <v>620</v>
      </c>
      <c r="B418">
        <v>0.20106382978723411</v>
      </c>
      <c r="C418">
        <v>0.2433734939759036</v>
      </c>
      <c r="D418">
        <v>8.199999999999999E-2</v>
      </c>
      <c r="E418">
        <v>1.9629057187017001E-2</v>
      </c>
      <c r="F418" t="s">
        <v>1233</v>
      </c>
      <c r="G418" t="s">
        <v>1234</v>
      </c>
      <c r="H418" t="s">
        <v>2683</v>
      </c>
      <c r="I418" t="s">
        <v>2687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25">
      <c r="A419">
        <v>621</v>
      </c>
      <c r="B419">
        <v>0.30425531914893622</v>
      </c>
      <c r="C419">
        <v>0.363855421686747</v>
      </c>
      <c r="D419">
        <v>0.156</v>
      </c>
      <c r="E419">
        <v>4.652241112828439E-2</v>
      </c>
      <c r="F419" t="s">
        <v>1235</v>
      </c>
      <c r="G419" t="s">
        <v>1236</v>
      </c>
      <c r="H419" t="s">
        <v>2684</v>
      </c>
      <c r="I419" t="s">
        <v>2687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25">
      <c r="A420">
        <v>622</v>
      </c>
      <c r="B420">
        <v>0.34787234042553189</v>
      </c>
      <c r="C420">
        <v>0.1975903614457831</v>
      </c>
      <c r="D420">
        <v>4.2999999999999997E-2</v>
      </c>
      <c r="E420">
        <v>8.6244204018547141E-2</v>
      </c>
      <c r="F420" t="s">
        <v>1237</v>
      </c>
      <c r="G420" t="s">
        <v>1238</v>
      </c>
      <c r="H420" t="s">
        <v>2684</v>
      </c>
      <c r="I420" t="s">
        <v>2687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>
        <v>623</v>
      </c>
      <c r="B421">
        <v>0.37765957446808512</v>
      </c>
      <c r="C421">
        <v>0.20481927710843381</v>
      </c>
      <c r="D421">
        <v>2.5000000000000001E-2</v>
      </c>
      <c r="E421">
        <v>0.1020092735703246</v>
      </c>
      <c r="F421" t="s">
        <v>1239</v>
      </c>
      <c r="G421" t="s">
        <v>1240</v>
      </c>
      <c r="H421" t="s">
        <v>2684</v>
      </c>
      <c r="I421" t="s">
        <v>2687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25">
      <c r="A422">
        <v>624</v>
      </c>
      <c r="B422">
        <v>0.36808510638297881</v>
      </c>
      <c r="C422">
        <v>0.1987951807228916</v>
      </c>
      <c r="D422">
        <v>1.4999999999999999E-2</v>
      </c>
      <c r="E422">
        <v>0.1029366306027821</v>
      </c>
      <c r="F422" t="s">
        <v>1241</v>
      </c>
      <c r="G422" t="s">
        <v>1242</v>
      </c>
      <c r="H422" t="s">
        <v>2684</v>
      </c>
      <c r="I422" t="s">
        <v>2687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5">
      <c r="A423">
        <v>625</v>
      </c>
      <c r="B423">
        <v>2.3404255319148939E-2</v>
      </c>
      <c r="C423">
        <v>1.3253012048192771E-2</v>
      </c>
      <c r="D423">
        <v>0.01</v>
      </c>
      <c r="E423">
        <v>5.2550231839258114E-3</v>
      </c>
      <c r="F423" t="s">
        <v>1243</v>
      </c>
      <c r="G423" t="s">
        <v>1244</v>
      </c>
      <c r="H423" t="s">
        <v>2684</v>
      </c>
      <c r="I423" t="s">
        <v>2687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25">
      <c r="A424">
        <v>626</v>
      </c>
      <c r="B424">
        <v>0.36595744680851072</v>
      </c>
      <c r="C424">
        <v>0.2012048192771084</v>
      </c>
      <c r="D424">
        <v>2.1000000000000001E-2</v>
      </c>
      <c r="E424">
        <v>9.9845440494590404E-2</v>
      </c>
      <c r="F424" t="s">
        <v>1245</v>
      </c>
      <c r="G424" t="s">
        <v>1246</v>
      </c>
      <c r="H424" t="s">
        <v>2683</v>
      </c>
      <c r="I424" t="s">
        <v>2693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</row>
    <row r="425" spans="1:28" x14ac:dyDescent="0.25">
      <c r="A425">
        <v>627</v>
      </c>
      <c r="B425">
        <v>0.35744680851063831</v>
      </c>
      <c r="C425">
        <v>0.27831325301204818</v>
      </c>
      <c r="D425">
        <v>1.7000000000000001E-2</v>
      </c>
      <c r="E425">
        <v>9.1962905718701693E-2</v>
      </c>
      <c r="F425" t="s">
        <v>1247</v>
      </c>
      <c r="G425" t="s">
        <v>1248</v>
      </c>
      <c r="H425" t="s">
        <v>2684</v>
      </c>
      <c r="I425" t="s">
        <v>2687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25">
      <c r="A426">
        <v>628</v>
      </c>
      <c r="B426">
        <v>0.37234042553191488</v>
      </c>
      <c r="C426">
        <v>0.1674698795180723</v>
      </c>
      <c r="D426">
        <v>0.03</v>
      </c>
      <c r="E426">
        <v>0.1034003091190108</v>
      </c>
      <c r="F426" t="s">
        <v>1249</v>
      </c>
      <c r="G426" t="s">
        <v>1250</v>
      </c>
      <c r="H426" t="s">
        <v>2684</v>
      </c>
      <c r="I426" t="s">
        <v>2687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25">
      <c r="A427">
        <v>629</v>
      </c>
      <c r="B427">
        <v>0.33404255319148929</v>
      </c>
      <c r="C427">
        <v>0.26626506024096391</v>
      </c>
      <c r="D427">
        <v>1.0999999999999999E-2</v>
      </c>
      <c r="E427">
        <v>8.6862442040185478E-2</v>
      </c>
      <c r="F427" t="s">
        <v>1251</v>
      </c>
      <c r="G427" t="s">
        <v>1252</v>
      </c>
      <c r="H427" t="s">
        <v>2684</v>
      </c>
      <c r="I427" t="s">
        <v>2687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25">
      <c r="A428">
        <v>630</v>
      </c>
      <c r="B428">
        <v>0.16808510638297869</v>
      </c>
      <c r="C428">
        <v>0.1240963855421687</v>
      </c>
      <c r="D428">
        <v>9.0000000000000011E-3</v>
      </c>
      <c r="E428">
        <v>4.358578052550232E-2</v>
      </c>
      <c r="F428" t="s">
        <v>1253</v>
      </c>
      <c r="G428" t="s">
        <v>1254</v>
      </c>
      <c r="H428" t="s">
        <v>2683</v>
      </c>
      <c r="I428" t="s">
        <v>2687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25">
      <c r="A429">
        <v>631</v>
      </c>
      <c r="B429">
        <v>0.18191489361702129</v>
      </c>
      <c r="C429">
        <v>0.13253012048192769</v>
      </c>
      <c r="D429">
        <v>2.1999999999999999E-2</v>
      </c>
      <c r="E429">
        <v>4.3276661514683151E-2</v>
      </c>
      <c r="F429" t="s">
        <v>1255</v>
      </c>
      <c r="G429" t="s">
        <v>1256</v>
      </c>
      <c r="H429" t="s">
        <v>2684</v>
      </c>
      <c r="I429" t="s">
        <v>2687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25">
      <c r="A430">
        <v>632</v>
      </c>
      <c r="B430">
        <v>0.1531914893617021</v>
      </c>
      <c r="C430">
        <v>0.1204819277108434</v>
      </c>
      <c r="D430">
        <v>0.01</v>
      </c>
      <c r="E430">
        <v>3.8176197836166922E-2</v>
      </c>
      <c r="F430" t="s">
        <v>1257</v>
      </c>
      <c r="G430" t="s">
        <v>1258</v>
      </c>
      <c r="H430" t="s">
        <v>2683</v>
      </c>
      <c r="I430" t="s">
        <v>2687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25">
      <c r="A431">
        <v>633</v>
      </c>
      <c r="B431">
        <v>0.2978723404255319</v>
      </c>
      <c r="C431">
        <v>0.2012048192771084</v>
      </c>
      <c r="D431">
        <v>1.6E-2</v>
      </c>
      <c r="E431">
        <v>9.7681607418856259E-2</v>
      </c>
      <c r="F431" t="s">
        <v>1259</v>
      </c>
      <c r="G431" t="s">
        <v>1260</v>
      </c>
      <c r="H431" t="s">
        <v>2684</v>
      </c>
      <c r="I431" t="s">
        <v>2687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25">
      <c r="A432">
        <v>635</v>
      </c>
      <c r="B432">
        <v>0.65531914893617027</v>
      </c>
      <c r="C432">
        <v>0.19638554216867471</v>
      </c>
      <c r="D432">
        <v>0.48399999999999999</v>
      </c>
      <c r="E432">
        <v>4.4358578052550231E-2</v>
      </c>
      <c r="F432" t="s">
        <v>1263</v>
      </c>
      <c r="G432" t="s">
        <v>1264</v>
      </c>
      <c r="H432" t="s">
        <v>2684</v>
      </c>
      <c r="I432" t="s">
        <v>2687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25">
      <c r="A433">
        <v>636</v>
      </c>
      <c r="B433">
        <v>0.51063829787234039</v>
      </c>
      <c r="C433">
        <v>0.22168674698795179</v>
      </c>
      <c r="D433">
        <v>0.191</v>
      </c>
      <c r="E433">
        <v>9.0417310664605871E-2</v>
      </c>
      <c r="F433" t="s">
        <v>1265</v>
      </c>
      <c r="G433" t="s">
        <v>1266</v>
      </c>
      <c r="H433" t="s">
        <v>2684</v>
      </c>
      <c r="I433" t="s">
        <v>2687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25">
      <c r="A434">
        <v>637</v>
      </c>
      <c r="B434">
        <v>4.6808510638297871E-2</v>
      </c>
      <c r="C434">
        <v>3.2530120481927723E-2</v>
      </c>
      <c r="D434">
        <v>3.0000000000000001E-3</v>
      </c>
      <c r="E434">
        <v>1.205564142194745E-2</v>
      </c>
      <c r="F434" t="s">
        <v>1267</v>
      </c>
      <c r="G434" t="s">
        <v>1268</v>
      </c>
      <c r="H434" t="s">
        <v>2684</v>
      </c>
      <c r="I434" t="s">
        <v>2687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25">
      <c r="A435">
        <v>638</v>
      </c>
      <c r="B435">
        <v>0.37978723404255321</v>
      </c>
      <c r="C435">
        <v>0.20843373493975911</v>
      </c>
      <c r="D435">
        <v>1.4999999999999999E-2</v>
      </c>
      <c r="E435">
        <v>0.10819165378670791</v>
      </c>
      <c r="F435" t="s">
        <v>1269</v>
      </c>
      <c r="G435" t="s">
        <v>1270</v>
      </c>
      <c r="H435" t="s">
        <v>2688</v>
      </c>
      <c r="I435" t="s">
        <v>2687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25">
      <c r="A436">
        <v>640</v>
      </c>
      <c r="B436">
        <v>0.15957446808510639</v>
      </c>
      <c r="C436">
        <v>3.012048192771084E-2</v>
      </c>
      <c r="D436">
        <v>0.125</v>
      </c>
      <c r="E436">
        <v>1.081916537867079E-2</v>
      </c>
      <c r="F436" t="s">
        <v>1273</v>
      </c>
      <c r="G436" t="s">
        <v>1274</v>
      </c>
      <c r="H436" t="s">
        <v>2683</v>
      </c>
      <c r="I436" t="s">
        <v>2687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25">
      <c r="A437">
        <v>641</v>
      </c>
      <c r="B437">
        <v>3.9361702127659583E-2</v>
      </c>
      <c r="C437">
        <v>3.7349397590361447E-2</v>
      </c>
      <c r="D437">
        <v>2E-3</v>
      </c>
      <c r="E437">
        <v>1.2210200927357031E-2</v>
      </c>
      <c r="F437" t="s">
        <v>1275</v>
      </c>
      <c r="G437" t="s">
        <v>1276</v>
      </c>
      <c r="H437" t="s">
        <v>2684</v>
      </c>
      <c r="I437" t="s">
        <v>2687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5">
      <c r="A438">
        <v>642</v>
      </c>
      <c r="B438">
        <v>0.51489361702127656</v>
      </c>
      <c r="C438">
        <v>0.10602409638554219</v>
      </c>
      <c r="D438">
        <v>0.26100000000000001</v>
      </c>
      <c r="E438">
        <v>8.9180834621329211E-2</v>
      </c>
      <c r="F438" t="s">
        <v>1277</v>
      </c>
      <c r="G438" t="s">
        <v>1278</v>
      </c>
      <c r="H438" t="s">
        <v>2684</v>
      </c>
      <c r="I438" t="s">
        <v>2687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25">
      <c r="A439">
        <v>643</v>
      </c>
      <c r="B439">
        <v>0.51914893617021274</v>
      </c>
      <c r="C439">
        <v>0.30843373493975912</v>
      </c>
      <c r="D439">
        <v>0.25600000000000001</v>
      </c>
      <c r="E439">
        <v>9.2117465224111281E-2</v>
      </c>
      <c r="F439" t="s">
        <v>1279</v>
      </c>
      <c r="G439" t="s">
        <v>1280</v>
      </c>
      <c r="H439" t="s">
        <v>2684</v>
      </c>
      <c r="I439" t="s">
        <v>2687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25">
      <c r="A440">
        <v>644</v>
      </c>
      <c r="B440">
        <v>0.56914893617021278</v>
      </c>
      <c r="C440">
        <v>0.33493975903614459</v>
      </c>
      <c r="D440">
        <v>0.38100000000000001</v>
      </c>
      <c r="E440">
        <v>4.4513137557959812E-2</v>
      </c>
      <c r="F440" t="s">
        <v>1281</v>
      </c>
      <c r="G440" t="s">
        <v>1282</v>
      </c>
      <c r="H440" t="s">
        <v>2684</v>
      </c>
      <c r="I440" t="s">
        <v>2687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5">
      <c r="A441">
        <v>646</v>
      </c>
      <c r="B441">
        <v>0.59680851063829787</v>
      </c>
      <c r="C441">
        <v>0.30722891566265059</v>
      </c>
      <c r="D441">
        <v>0.438</v>
      </c>
      <c r="E441">
        <v>4.0185471406491501E-2</v>
      </c>
      <c r="F441" t="s">
        <v>1285</v>
      </c>
      <c r="G441" t="s">
        <v>1286</v>
      </c>
      <c r="H441" t="s">
        <v>2684</v>
      </c>
      <c r="I441" t="s">
        <v>2687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>
        <v>647</v>
      </c>
      <c r="B442">
        <v>0.5585106382978724</v>
      </c>
      <c r="C442">
        <v>0.33614457831325301</v>
      </c>
      <c r="D442">
        <v>0.42699999999999999</v>
      </c>
      <c r="E442">
        <v>2.6893353941267389E-2</v>
      </c>
      <c r="F442" t="s">
        <v>1287</v>
      </c>
      <c r="G442" t="s">
        <v>1288</v>
      </c>
      <c r="H442" t="s">
        <v>2684</v>
      </c>
      <c r="I442" t="s">
        <v>2687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25">
      <c r="A443">
        <v>648</v>
      </c>
      <c r="B443">
        <v>0.40957446808510639</v>
      </c>
      <c r="C443">
        <v>0.16867469879518071</v>
      </c>
      <c r="D443">
        <v>0.31</v>
      </c>
      <c r="E443">
        <v>2.009273570324575E-2</v>
      </c>
      <c r="F443" t="s">
        <v>1289</v>
      </c>
      <c r="G443" t="s">
        <v>1290</v>
      </c>
      <c r="H443" t="s">
        <v>2683</v>
      </c>
      <c r="I443" t="s">
        <v>2687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x14ac:dyDescent="0.25">
      <c r="A444">
        <v>649</v>
      </c>
      <c r="B444">
        <v>0.38297872340425532</v>
      </c>
      <c r="C444">
        <v>0.16265060240963861</v>
      </c>
      <c r="D444">
        <v>0.312</v>
      </c>
      <c r="E444">
        <v>1.9783616692426589E-2</v>
      </c>
      <c r="F444" t="s">
        <v>1291</v>
      </c>
      <c r="G444" t="s">
        <v>1292</v>
      </c>
      <c r="H444" t="s">
        <v>2683</v>
      </c>
      <c r="I444" t="s">
        <v>2687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x14ac:dyDescent="0.25">
      <c r="A445">
        <v>650</v>
      </c>
      <c r="B445">
        <v>0.54574468085106387</v>
      </c>
      <c r="C445">
        <v>0.21084337349397589</v>
      </c>
      <c r="D445">
        <v>0.32500000000000001</v>
      </c>
      <c r="E445">
        <v>6.846986089644512E-2</v>
      </c>
      <c r="F445" t="s">
        <v>1293</v>
      </c>
      <c r="G445" t="s">
        <v>1294</v>
      </c>
      <c r="H445" t="s">
        <v>2684</v>
      </c>
      <c r="I445" t="s">
        <v>2687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25">
      <c r="A446">
        <v>651</v>
      </c>
      <c r="B446">
        <v>0.60531914893617023</v>
      </c>
      <c r="C446">
        <v>0.34698795180722902</v>
      </c>
      <c r="D446">
        <v>0.48399999999999999</v>
      </c>
      <c r="E446">
        <v>2.4420401854714061E-2</v>
      </c>
      <c r="F446" t="s">
        <v>1295</v>
      </c>
      <c r="G446" t="s">
        <v>1296</v>
      </c>
      <c r="H446" t="s">
        <v>2684</v>
      </c>
      <c r="I446" t="s">
        <v>2687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25">
      <c r="A447">
        <v>652</v>
      </c>
      <c r="B447">
        <v>0.59468085106382984</v>
      </c>
      <c r="C447">
        <v>0.32409638554216869</v>
      </c>
      <c r="D447">
        <v>0.44200000000000012</v>
      </c>
      <c r="E447">
        <v>3.6476043276661513E-2</v>
      </c>
      <c r="F447" t="s">
        <v>1297</v>
      </c>
      <c r="G447" t="s">
        <v>1298</v>
      </c>
      <c r="H447" t="s">
        <v>2684</v>
      </c>
      <c r="I447" t="s">
        <v>2687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25">
      <c r="A448">
        <v>653</v>
      </c>
      <c r="B448">
        <v>0.59680851063829787</v>
      </c>
      <c r="C448">
        <v>0.30722891566265059</v>
      </c>
      <c r="D448">
        <v>0.438</v>
      </c>
      <c r="E448">
        <v>4.0185471406491501E-2</v>
      </c>
      <c r="F448" t="s">
        <v>1299</v>
      </c>
      <c r="G448" t="s">
        <v>1300</v>
      </c>
      <c r="H448" t="s">
        <v>2684</v>
      </c>
      <c r="I448" t="s">
        <v>2687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25">
      <c r="A449">
        <v>654</v>
      </c>
      <c r="B449">
        <v>0.79574468085106387</v>
      </c>
      <c r="C449">
        <v>0.25060240963855418</v>
      </c>
      <c r="D449">
        <v>0.20799999999999999</v>
      </c>
      <c r="E449">
        <v>0.1928902627511592</v>
      </c>
      <c r="F449" t="s">
        <v>1301</v>
      </c>
      <c r="G449" t="s">
        <v>1302</v>
      </c>
      <c r="H449" t="s">
        <v>2684</v>
      </c>
      <c r="I449" t="s">
        <v>2687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25">
      <c r="A450">
        <v>655</v>
      </c>
      <c r="B450">
        <v>0.35212765957446812</v>
      </c>
      <c r="C450">
        <v>0.29397590361445791</v>
      </c>
      <c r="D450">
        <v>1.9E-2</v>
      </c>
      <c r="E450">
        <v>8.7480680061823801E-2</v>
      </c>
      <c r="F450" t="s">
        <v>1303</v>
      </c>
      <c r="G450" t="s">
        <v>1304</v>
      </c>
      <c r="H450" t="s">
        <v>2684</v>
      </c>
      <c r="I450" t="s">
        <v>2687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25">
      <c r="A451">
        <v>656</v>
      </c>
      <c r="B451">
        <v>0.14680851063829789</v>
      </c>
      <c r="C451">
        <v>0.12891566265060239</v>
      </c>
      <c r="D451">
        <v>1.0999999999999999E-2</v>
      </c>
      <c r="E451">
        <v>3.4930448222565691E-2</v>
      </c>
      <c r="F451" t="s">
        <v>1305</v>
      </c>
      <c r="G451" t="s">
        <v>1306</v>
      </c>
      <c r="H451" t="s">
        <v>2683</v>
      </c>
      <c r="I451" t="s">
        <v>2687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25">
      <c r="A452">
        <v>657</v>
      </c>
      <c r="B452">
        <v>0.36382978723404258</v>
      </c>
      <c r="C452">
        <v>0.27590361445783129</v>
      </c>
      <c r="D452">
        <v>1.4E-2</v>
      </c>
      <c r="E452">
        <v>9.5208655332302938E-2</v>
      </c>
      <c r="F452" t="s">
        <v>1307</v>
      </c>
      <c r="G452" t="s">
        <v>1308</v>
      </c>
      <c r="H452" t="s">
        <v>2684</v>
      </c>
      <c r="I452" t="s">
        <v>2687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25">
      <c r="A453">
        <v>658</v>
      </c>
      <c r="B453">
        <v>0.14680851063829789</v>
      </c>
      <c r="C453">
        <v>0.12891566265060239</v>
      </c>
      <c r="D453">
        <v>1.0999999999999999E-2</v>
      </c>
      <c r="E453">
        <v>3.4930448222565691E-2</v>
      </c>
      <c r="F453" t="s">
        <v>1309</v>
      </c>
      <c r="G453" t="s">
        <v>1310</v>
      </c>
      <c r="H453" t="s">
        <v>2683</v>
      </c>
      <c r="I453" t="s">
        <v>2687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25">
      <c r="A454">
        <v>659</v>
      </c>
      <c r="B454">
        <v>0.47978723404255319</v>
      </c>
      <c r="C454">
        <v>0.13493975903614461</v>
      </c>
      <c r="D454">
        <v>0.20200000000000001</v>
      </c>
      <c r="E454">
        <v>9.2272024729520868E-2</v>
      </c>
      <c r="F454" t="s">
        <v>1311</v>
      </c>
      <c r="G454" t="s">
        <v>1312</v>
      </c>
      <c r="H454" t="s">
        <v>2684</v>
      </c>
      <c r="I454" t="s">
        <v>2687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25">
      <c r="A455">
        <v>660</v>
      </c>
      <c r="B455">
        <v>0.37340425531914889</v>
      </c>
      <c r="C455">
        <v>0.1469879518072289</v>
      </c>
      <c r="D455">
        <v>1.2E-2</v>
      </c>
      <c r="E455">
        <v>0.1126738794435858</v>
      </c>
      <c r="F455" t="s">
        <v>1313</v>
      </c>
      <c r="G455" t="s">
        <v>1314</v>
      </c>
      <c r="H455" t="s">
        <v>2684</v>
      </c>
      <c r="I455" t="s">
        <v>2687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25">
      <c r="A456">
        <v>661</v>
      </c>
      <c r="B456">
        <v>0.38085106382978717</v>
      </c>
      <c r="C456">
        <v>0.28192771084337348</v>
      </c>
      <c r="D456">
        <v>2.4E-2</v>
      </c>
      <c r="E456">
        <v>9.3663060278207116E-2</v>
      </c>
      <c r="F456" t="s">
        <v>1315</v>
      </c>
      <c r="G456" t="s">
        <v>1316</v>
      </c>
      <c r="H456" t="s">
        <v>2684</v>
      </c>
      <c r="I456" t="s">
        <v>2687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>
        <v>662</v>
      </c>
      <c r="B457">
        <v>0.37659574468085111</v>
      </c>
      <c r="C457">
        <v>0.1542168674698795</v>
      </c>
      <c r="D457">
        <v>1.7999999999999999E-2</v>
      </c>
      <c r="E457">
        <v>0.10710973724884081</v>
      </c>
      <c r="F457" t="s">
        <v>1317</v>
      </c>
      <c r="G457" t="s">
        <v>1318</v>
      </c>
      <c r="H457" t="s">
        <v>2684</v>
      </c>
      <c r="I457" t="s">
        <v>2687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5">
      <c r="A458">
        <v>671</v>
      </c>
      <c r="B458">
        <v>0.15851063829787229</v>
      </c>
      <c r="C458">
        <v>0.2</v>
      </c>
      <c r="D458">
        <v>9.1999999999999998E-2</v>
      </c>
      <c r="E458">
        <v>0</v>
      </c>
      <c r="F458" t="s">
        <v>1334</v>
      </c>
      <c r="G458" t="s">
        <v>1335</v>
      </c>
      <c r="H458" t="s">
        <v>2688</v>
      </c>
      <c r="I458" t="s">
        <v>2689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25">
      <c r="A459">
        <v>672</v>
      </c>
      <c r="B459">
        <v>0.17446808510638301</v>
      </c>
      <c r="C459">
        <v>3.6144578313253017E-2</v>
      </c>
      <c r="D459">
        <v>2.4E-2</v>
      </c>
      <c r="E459">
        <v>5.0386398763523958E-2</v>
      </c>
      <c r="F459" t="s">
        <v>1336</v>
      </c>
      <c r="G459" t="s">
        <v>1337</v>
      </c>
      <c r="H459" t="s">
        <v>2683</v>
      </c>
      <c r="I459" t="s">
        <v>2691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</row>
    <row r="460" spans="1:28" x14ac:dyDescent="0.25">
      <c r="A460">
        <v>673</v>
      </c>
      <c r="B460">
        <v>3.085106382978723E-2</v>
      </c>
      <c r="C460">
        <v>3.6144578313253017E-2</v>
      </c>
      <c r="D460">
        <v>3.0000000000000001E-3</v>
      </c>
      <c r="E460">
        <v>8.3462132921174655E-3</v>
      </c>
      <c r="F460" t="s">
        <v>1338</v>
      </c>
      <c r="G460" t="s">
        <v>1339</v>
      </c>
      <c r="H460" t="s">
        <v>2683</v>
      </c>
      <c r="I460" t="s">
        <v>2685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</row>
    <row r="461" spans="1:28" x14ac:dyDescent="0.25">
      <c r="A461">
        <v>675</v>
      </c>
      <c r="B461">
        <v>2.3404255319148939E-2</v>
      </c>
      <c r="C461">
        <v>3.012048192771084E-2</v>
      </c>
      <c r="D461">
        <v>6.0000000000000001E-3</v>
      </c>
      <c r="E461">
        <v>4.7913446676970638E-3</v>
      </c>
      <c r="F461" t="s">
        <v>1342</v>
      </c>
      <c r="G461" t="s">
        <v>1343</v>
      </c>
      <c r="H461" t="s">
        <v>2683</v>
      </c>
      <c r="I461" t="s">
        <v>2685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</row>
    <row r="462" spans="1:28" x14ac:dyDescent="0.25">
      <c r="A462">
        <v>676</v>
      </c>
      <c r="B462">
        <v>4.5744680851063833E-2</v>
      </c>
      <c r="C462">
        <v>2.168674698795181E-2</v>
      </c>
      <c r="D462">
        <v>2E-3</v>
      </c>
      <c r="E462">
        <v>1.298299845440495E-2</v>
      </c>
      <c r="F462" t="s">
        <v>1344</v>
      </c>
      <c r="G462" t="s">
        <v>1345</v>
      </c>
      <c r="H462" t="s">
        <v>2683</v>
      </c>
      <c r="I462" t="s">
        <v>2685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</row>
    <row r="463" spans="1:28" x14ac:dyDescent="0.25">
      <c r="A463">
        <v>677</v>
      </c>
      <c r="B463">
        <v>5.5319148936170223E-2</v>
      </c>
      <c r="C463">
        <v>2.168674698795181E-2</v>
      </c>
      <c r="D463">
        <v>3.5999999999999997E-2</v>
      </c>
      <c r="E463">
        <v>4.6367851622874804E-3</v>
      </c>
      <c r="F463" t="s">
        <v>1346</v>
      </c>
      <c r="G463" t="s">
        <v>1347</v>
      </c>
      <c r="H463" t="s">
        <v>2683</v>
      </c>
      <c r="I463" t="s">
        <v>2685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</row>
    <row r="464" spans="1:28" x14ac:dyDescent="0.25">
      <c r="A464">
        <v>678</v>
      </c>
      <c r="B464">
        <v>4.042553191489362E-2</v>
      </c>
      <c r="C464">
        <v>2.891566265060241E-2</v>
      </c>
      <c r="D464">
        <v>0.02</v>
      </c>
      <c r="E464">
        <v>4.0185471406491502E-3</v>
      </c>
      <c r="F464" t="s">
        <v>1348</v>
      </c>
      <c r="G464" t="s">
        <v>1349</v>
      </c>
      <c r="H464" t="s">
        <v>2683</v>
      </c>
      <c r="I464" t="s">
        <v>2685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>
        <v>680</v>
      </c>
      <c r="B465">
        <v>4.3617021276595752E-2</v>
      </c>
      <c r="C465">
        <v>2.4096385542168679E-2</v>
      </c>
      <c r="D465">
        <v>3.0000000000000001E-3</v>
      </c>
      <c r="E465">
        <v>1.205564142194745E-2</v>
      </c>
      <c r="F465" t="s">
        <v>1352</v>
      </c>
      <c r="G465" t="s">
        <v>1353</v>
      </c>
      <c r="H465" t="s">
        <v>2688</v>
      </c>
      <c r="I465" t="s">
        <v>2690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</row>
    <row r="466" spans="1:28" x14ac:dyDescent="0.25">
      <c r="A466">
        <v>681</v>
      </c>
      <c r="B466">
        <v>0.16808510638297869</v>
      </c>
      <c r="C466">
        <v>5.301204819277109E-2</v>
      </c>
      <c r="D466">
        <v>3.2000000000000001E-2</v>
      </c>
      <c r="E466">
        <v>4.296754250386399E-2</v>
      </c>
      <c r="F466" t="s">
        <v>1354</v>
      </c>
      <c r="G466" t="s">
        <v>1355</v>
      </c>
      <c r="H466" t="s">
        <v>2683</v>
      </c>
      <c r="I466" t="s">
        <v>2691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</row>
    <row r="467" spans="1:28" x14ac:dyDescent="0.25">
      <c r="A467">
        <v>684</v>
      </c>
      <c r="B467">
        <v>9.7872340425531917E-2</v>
      </c>
      <c r="C467">
        <v>2.6506024096385541E-2</v>
      </c>
      <c r="D467">
        <v>3.3000000000000002E-2</v>
      </c>
      <c r="E467">
        <v>2.179289026275116E-2</v>
      </c>
      <c r="F467" t="s">
        <v>1360</v>
      </c>
      <c r="G467" t="s">
        <v>1361</v>
      </c>
      <c r="H467" t="s">
        <v>2684</v>
      </c>
      <c r="I467" t="s">
        <v>2685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</row>
    <row r="468" spans="1:28" x14ac:dyDescent="0.25">
      <c r="A468">
        <v>687</v>
      </c>
      <c r="B468">
        <v>0.29255319148936171</v>
      </c>
      <c r="C468">
        <v>0.15180722891566259</v>
      </c>
      <c r="D468">
        <v>0.14799999999999999</v>
      </c>
      <c r="E468">
        <v>8.4389489953632144E-2</v>
      </c>
      <c r="F468" t="s">
        <v>1366</v>
      </c>
      <c r="G468" t="s">
        <v>1367</v>
      </c>
      <c r="H468" t="s">
        <v>2688</v>
      </c>
      <c r="I468" t="s">
        <v>2691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</row>
    <row r="469" spans="1:28" x14ac:dyDescent="0.25">
      <c r="A469">
        <v>688</v>
      </c>
      <c r="B469">
        <v>0.37872340425531908</v>
      </c>
      <c r="C469">
        <v>0.108433734939759</v>
      </c>
      <c r="D469">
        <v>8.5000000000000006E-2</v>
      </c>
      <c r="E469">
        <v>9.969088098918083E-2</v>
      </c>
      <c r="F469" t="s">
        <v>1368</v>
      </c>
      <c r="G469" t="s">
        <v>1369</v>
      </c>
      <c r="H469" t="s">
        <v>2688</v>
      </c>
      <c r="I469" t="s">
        <v>2691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</row>
    <row r="470" spans="1:28" x14ac:dyDescent="0.25">
      <c r="A470">
        <v>692</v>
      </c>
      <c r="B470">
        <v>0.43085106382978722</v>
      </c>
      <c r="C470">
        <v>0.39518072289156619</v>
      </c>
      <c r="D470">
        <v>0.17</v>
      </c>
      <c r="E470">
        <v>5.6414219474497679E-2</v>
      </c>
      <c r="F470" t="s">
        <v>1376</v>
      </c>
      <c r="G470" t="s">
        <v>1377</v>
      </c>
      <c r="H470" t="s">
        <v>2688</v>
      </c>
      <c r="I470" t="s">
        <v>2690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</row>
    <row r="471" spans="1:28" x14ac:dyDescent="0.25">
      <c r="A471">
        <v>693</v>
      </c>
      <c r="B471">
        <v>3.7234042553191488E-2</v>
      </c>
      <c r="C471">
        <v>3.4939759036144581E-2</v>
      </c>
      <c r="D471">
        <v>2E-3</v>
      </c>
      <c r="E471">
        <v>1.236476043276662E-3</v>
      </c>
      <c r="F471" t="s">
        <v>1378</v>
      </c>
      <c r="G471" t="s">
        <v>1379</v>
      </c>
      <c r="H471" t="s">
        <v>2684</v>
      </c>
      <c r="I471" t="s">
        <v>2686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25">
      <c r="A472">
        <v>697</v>
      </c>
      <c r="B472">
        <v>0.34680851063829787</v>
      </c>
      <c r="C472">
        <v>0.27469879518072288</v>
      </c>
      <c r="D472">
        <v>0.20300000000000001</v>
      </c>
      <c r="E472">
        <v>2.0247295208655331E-2</v>
      </c>
      <c r="F472" t="s">
        <v>1386</v>
      </c>
      <c r="G472" t="s">
        <v>1387</v>
      </c>
      <c r="H472" t="s">
        <v>2683</v>
      </c>
      <c r="I472" t="s">
        <v>2693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</row>
    <row r="473" spans="1:28" x14ac:dyDescent="0.25">
      <c r="A473">
        <v>698</v>
      </c>
      <c r="B473">
        <v>0.62765957446808507</v>
      </c>
      <c r="C473">
        <v>0.3253012048192771</v>
      </c>
      <c r="D473">
        <v>0.49</v>
      </c>
      <c r="E473">
        <v>3.2302936630602783E-2</v>
      </c>
      <c r="F473" t="s">
        <v>1388</v>
      </c>
      <c r="G473" t="s">
        <v>1389</v>
      </c>
      <c r="H473" t="s">
        <v>2683</v>
      </c>
      <c r="I473" t="s">
        <v>2693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</row>
    <row r="474" spans="1:28" x14ac:dyDescent="0.25">
      <c r="A474">
        <v>699</v>
      </c>
      <c r="B474">
        <v>0.66276595744680855</v>
      </c>
      <c r="C474">
        <v>2.4096385542168679E-2</v>
      </c>
      <c r="D474">
        <v>0.52100000000000002</v>
      </c>
      <c r="E474">
        <v>5.6414219474497679E-2</v>
      </c>
      <c r="F474" t="s">
        <v>1390</v>
      </c>
      <c r="G474" t="s">
        <v>1391</v>
      </c>
      <c r="H474" t="s">
        <v>2688</v>
      </c>
      <c r="I474" t="s">
        <v>2686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25">
      <c r="A475">
        <v>700</v>
      </c>
      <c r="B475">
        <v>1.8085106382978729E-2</v>
      </c>
      <c r="C475">
        <v>2.4096385542168681E-3</v>
      </c>
      <c r="D475">
        <v>1E-3</v>
      </c>
      <c r="E475">
        <v>5.8732612055641424E-3</v>
      </c>
      <c r="F475" t="s">
        <v>1392</v>
      </c>
      <c r="G475" t="s">
        <v>1393</v>
      </c>
      <c r="H475" t="s">
        <v>2688</v>
      </c>
      <c r="I475" t="s">
        <v>2686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5">
      <c r="A476">
        <v>701</v>
      </c>
      <c r="B476">
        <v>7.2340425531914901E-2</v>
      </c>
      <c r="C476">
        <v>1.204819277108434E-2</v>
      </c>
      <c r="D476">
        <v>9.0000000000000011E-3</v>
      </c>
      <c r="E476">
        <v>2.1638330757341579E-2</v>
      </c>
      <c r="F476" t="s">
        <v>1394</v>
      </c>
      <c r="G476" t="s">
        <v>1395</v>
      </c>
      <c r="H476" t="s">
        <v>2688</v>
      </c>
      <c r="I476" t="s">
        <v>2686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25">
      <c r="A477">
        <v>702</v>
      </c>
      <c r="B477">
        <v>0.19148936170212769</v>
      </c>
      <c r="C477">
        <v>4.8192771084337352E-2</v>
      </c>
      <c r="D477">
        <v>0.15</v>
      </c>
      <c r="E477">
        <v>1.5455950540958271E-2</v>
      </c>
      <c r="F477" t="s">
        <v>1396</v>
      </c>
      <c r="G477" t="s">
        <v>1397</v>
      </c>
      <c r="H477" t="s">
        <v>2688</v>
      </c>
      <c r="I477" t="s">
        <v>2686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25">
      <c r="A478">
        <v>703</v>
      </c>
      <c r="B478">
        <v>0.3819148936170213</v>
      </c>
      <c r="C478">
        <v>4.0963855421686748E-2</v>
      </c>
      <c r="D478">
        <v>0.34699999999999998</v>
      </c>
      <c r="E478">
        <v>2.1638330757341579E-2</v>
      </c>
      <c r="F478" t="s">
        <v>1398</v>
      </c>
      <c r="G478" t="s">
        <v>1399</v>
      </c>
      <c r="H478" t="s">
        <v>2688</v>
      </c>
      <c r="I478" t="s">
        <v>2686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25">
      <c r="A479">
        <v>704</v>
      </c>
      <c r="B479">
        <v>0.2276595744680851</v>
      </c>
      <c r="C479">
        <v>6.5060240963855431E-2</v>
      </c>
      <c r="D479">
        <v>5.4000000000000013E-2</v>
      </c>
      <c r="E479">
        <v>6.2132921174652238E-2</v>
      </c>
      <c r="F479" t="s">
        <v>1400</v>
      </c>
      <c r="G479" t="s">
        <v>1401</v>
      </c>
      <c r="H479" t="s">
        <v>2683</v>
      </c>
      <c r="I479" t="s">
        <v>2691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</row>
    <row r="480" spans="1:28" x14ac:dyDescent="0.25">
      <c r="A480">
        <v>708</v>
      </c>
      <c r="B480">
        <v>0.4042553191489362</v>
      </c>
      <c r="C480">
        <v>0.58915662650602407</v>
      </c>
      <c r="D480">
        <v>0.13800000000000001</v>
      </c>
      <c r="E480">
        <v>3.601236476043277E-2</v>
      </c>
      <c r="F480" t="s">
        <v>1408</v>
      </c>
      <c r="G480" t="s">
        <v>1409</v>
      </c>
      <c r="H480" t="s">
        <v>2683</v>
      </c>
      <c r="I480" t="s">
        <v>2687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25">
      <c r="A481">
        <v>709</v>
      </c>
      <c r="B481">
        <v>4.6808510638297871E-2</v>
      </c>
      <c r="C481">
        <v>2.168674698795181E-2</v>
      </c>
      <c r="D481">
        <v>6.0000000000000001E-3</v>
      </c>
      <c r="E481">
        <v>1.4837712519319941E-2</v>
      </c>
      <c r="F481" t="s">
        <v>1410</v>
      </c>
      <c r="G481" t="s">
        <v>1411</v>
      </c>
      <c r="H481" t="s">
        <v>2683</v>
      </c>
      <c r="I481" t="s">
        <v>2687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5">
      <c r="A482">
        <v>710</v>
      </c>
      <c r="B482">
        <v>0.67659574468085104</v>
      </c>
      <c r="C482">
        <v>0.2289156626506024</v>
      </c>
      <c r="D482">
        <v>0.63</v>
      </c>
      <c r="E482">
        <v>1.236476043276661E-2</v>
      </c>
      <c r="F482" t="s">
        <v>1412</v>
      </c>
      <c r="G482" t="s">
        <v>1413</v>
      </c>
      <c r="H482" t="s">
        <v>2683</v>
      </c>
      <c r="I482" t="s">
        <v>2691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</row>
    <row r="483" spans="1:28" x14ac:dyDescent="0.25">
      <c r="A483">
        <v>711</v>
      </c>
      <c r="B483">
        <v>0.69893617021276599</v>
      </c>
      <c r="C483">
        <v>0.18072289156626509</v>
      </c>
      <c r="D483">
        <v>0.66</v>
      </c>
      <c r="E483">
        <v>2.009273570324575E-2</v>
      </c>
      <c r="F483" t="s">
        <v>1414</v>
      </c>
      <c r="G483" t="s">
        <v>1415</v>
      </c>
      <c r="H483" t="s">
        <v>2688</v>
      </c>
      <c r="I483" t="s">
        <v>2687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25">
      <c r="A484">
        <v>712</v>
      </c>
      <c r="B484">
        <v>0.65531914893617027</v>
      </c>
      <c r="C484">
        <v>0.1674698795180723</v>
      </c>
      <c r="D484">
        <v>0.56200000000000006</v>
      </c>
      <c r="E484">
        <v>2.117465224111283E-2</v>
      </c>
      <c r="F484" t="s">
        <v>1416</v>
      </c>
      <c r="G484" t="s">
        <v>1417</v>
      </c>
      <c r="H484" t="s">
        <v>2688</v>
      </c>
      <c r="I484" t="s">
        <v>2687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25">
      <c r="A485">
        <v>713</v>
      </c>
      <c r="B485">
        <v>8.8297872340425534E-2</v>
      </c>
      <c r="C485">
        <v>2.4096385542168679E-2</v>
      </c>
      <c r="D485">
        <v>1E-3</v>
      </c>
      <c r="E485">
        <v>2.952086553323029E-2</v>
      </c>
      <c r="F485" t="s">
        <v>1418</v>
      </c>
      <c r="G485" t="s">
        <v>1419</v>
      </c>
      <c r="H485" t="s">
        <v>2688</v>
      </c>
      <c r="I485" t="s">
        <v>2690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</row>
    <row r="486" spans="1:28" x14ac:dyDescent="0.25">
      <c r="A486">
        <v>714</v>
      </c>
      <c r="B486">
        <v>0.15106382978723401</v>
      </c>
      <c r="C486">
        <v>1.084337349397591E-2</v>
      </c>
      <c r="D486">
        <v>4.0000000000000001E-3</v>
      </c>
      <c r="E486">
        <v>5.2086553323029368E-2</v>
      </c>
      <c r="F486" t="s">
        <v>1420</v>
      </c>
      <c r="G486" t="s">
        <v>1421</v>
      </c>
      <c r="H486" t="s">
        <v>2688</v>
      </c>
      <c r="I486" t="s">
        <v>2690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</row>
    <row r="487" spans="1:28" x14ac:dyDescent="0.25">
      <c r="A487">
        <v>716</v>
      </c>
      <c r="B487">
        <v>0.21702127659574469</v>
      </c>
      <c r="C487">
        <v>3.1325301204819279E-2</v>
      </c>
      <c r="D487">
        <v>0.2</v>
      </c>
      <c r="E487">
        <v>6.1823802163833066E-3</v>
      </c>
      <c r="F487" t="s">
        <v>1424</v>
      </c>
      <c r="G487" t="s">
        <v>1425</v>
      </c>
      <c r="H487" t="s">
        <v>2696</v>
      </c>
      <c r="I487" t="s">
        <v>2693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</row>
    <row r="488" spans="1:28" x14ac:dyDescent="0.25">
      <c r="A488">
        <v>721</v>
      </c>
      <c r="B488">
        <v>8.4042553191489358E-2</v>
      </c>
      <c r="C488">
        <v>0.2253012048192771</v>
      </c>
      <c r="D488">
        <v>5.0000000000000001E-3</v>
      </c>
      <c r="E488">
        <v>0</v>
      </c>
      <c r="F488" t="s">
        <v>1434</v>
      </c>
      <c r="G488" t="s">
        <v>1435</v>
      </c>
      <c r="H488" t="s">
        <v>2688</v>
      </c>
      <c r="I488" t="s">
        <v>2689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25">
      <c r="A489">
        <v>722</v>
      </c>
      <c r="B489">
        <v>0.50531914893617025</v>
      </c>
      <c r="C489">
        <v>1.9277108433734941E-2</v>
      </c>
      <c r="D489">
        <v>0.255</v>
      </c>
      <c r="E489">
        <v>9.9536321483771256E-2</v>
      </c>
      <c r="F489" t="s">
        <v>1436</v>
      </c>
      <c r="G489" t="s">
        <v>1437</v>
      </c>
      <c r="H489" t="s">
        <v>2683</v>
      </c>
      <c r="I489" t="s">
        <v>2690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</row>
    <row r="490" spans="1:28" x14ac:dyDescent="0.25">
      <c r="A490">
        <v>723</v>
      </c>
      <c r="B490">
        <v>0.14574468085106379</v>
      </c>
      <c r="C490">
        <v>1.566265060240964E-2</v>
      </c>
      <c r="D490">
        <v>1.0999999999999999E-2</v>
      </c>
      <c r="E490">
        <v>4.605873261205564E-2</v>
      </c>
      <c r="F490" t="s">
        <v>1438</v>
      </c>
      <c r="G490" t="s">
        <v>1439</v>
      </c>
      <c r="H490" t="s">
        <v>2688</v>
      </c>
      <c r="I490" t="s">
        <v>2690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</row>
    <row r="491" spans="1:28" x14ac:dyDescent="0.25">
      <c r="A491">
        <v>724</v>
      </c>
      <c r="B491">
        <v>0.62340425531914889</v>
      </c>
      <c r="C491">
        <v>5.9036144578313257E-2</v>
      </c>
      <c r="D491">
        <v>0.40600000000000003</v>
      </c>
      <c r="E491">
        <v>7.7588871715610519E-2</v>
      </c>
      <c r="F491" t="s">
        <v>1440</v>
      </c>
      <c r="G491" t="s">
        <v>1441</v>
      </c>
      <c r="H491" t="s">
        <v>2684</v>
      </c>
      <c r="I491" t="s">
        <v>2685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</row>
    <row r="492" spans="1:28" x14ac:dyDescent="0.25">
      <c r="A492">
        <v>725</v>
      </c>
      <c r="B492">
        <v>0.474468085106383</v>
      </c>
      <c r="C492">
        <v>3.3734939759036138E-2</v>
      </c>
      <c r="D492">
        <v>0.14499999999999999</v>
      </c>
      <c r="E492">
        <v>0.1174652241112828</v>
      </c>
      <c r="F492" t="s">
        <v>1442</v>
      </c>
      <c r="G492" t="s">
        <v>1443</v>
      </c>
      <c r="H492" t="s">
        <v>2684</v>
      </c>
      <c r="I492" t="s">
        <v>2690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</row>
    <row r="493" spans="1:28" x14ac:dyDescent="0.25">
      <c r="A493">
        <v>726</v>
      </c>
      <c r="B493">
        <v>0.47659574468085109</v>
      </c>
      <c r="C493">
        <v>3.2530120481927723E-2</v>
      </c>
      <c r="D493">
        <v>0.188</v>
      </c>
      <c r="E493">
        <v>0.10370942812983</v>
      </c>
      <c r="F493" t="s">
        <v>1444</v>
      </c>
      <c r="G493" t="s">
        <v>1445</v>
      </c>
      <c r="H493" t="s">
        <v>2684</v>
      </c>
      <c r="I493" t="s">
        <v>2690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</row>
    <row r="494" spans="1:28" x14ac:dyDescent="0.25">
      <c r="A494">
        <v>727</v>
      </c>
      <c r="B494">
        <v>0.51595744680851063</v>
      </c>
      <c r="C494">
        <v>2.0481927710843371E-2</v>
      </c>
      <c r="D494">
        <v>0.222</v>
      </c>
      <c r="E494">
        <v>0.1077279752704791</v>
      </c>
      <c r="F494" t="s">
        <v>1446</v>
      </c>
      <c r="G494" t="s">
        <v>1447</v>
      </c>
      <c r="H494" t="s">
        <v>2684</v>
      </c>
      <c r="I494" t="s">
        <v>2690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</row>
    <row r="495" spans="1:28" x14ac:dyDescent="0.25">
      <c r="A495">
        <v>728</v>
      </c>
      <c r="B495">
        <v>0.63617021276595742</v>
      </c>
      <c r="C495">
        <v>0.1</v>
      </c>
      <c r="D495">
        <v>0.438</v>
      </c>
      <c r="E495">
        <v>6.5842349304482226E-2</v>
      </c>
      <c r="F495" t="s">
        <v>1448</v>
      </c>
      <c r="G495" t="s">
        <v>1449</v>
      </c>
      <c r="H495" t="s">
        <v>2684</v>
      </c>
      <c r="I495" t="s">
        <v>2687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729</v>
      </c>
      <c r="B496">
        <v>0.50851063829787235</v>
      </c>
      <c r="C496">
        <v>1.084337349397591E-2</v>
      </c>
      <c r="D496">
        <v>0.20699999999999999</v>
      </c>
      <c r="E496">
        <v>0.11128284389489949</v>
      </c>
      <c r="F496" t="s">
        <v>1450</v>
      </c>
      <c r="G496" t="s">
        <v>1451</v>
      </c>
      <c r="H496" t="s">
        <v>2684</v>
      </c>
      <c r="I496" t="s">
        <v>2690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</row>
    <row r="497" spans="1:28" x14ac:dyDescent="0.25">
      <c r="A497">
        <v>730</v>
      </c>
      <c r="B497">
        <v>0.51170212765957446</v>
      </c>
      <c r="C497">
        <v>2.6506024096385541E-2</v>
      </c>
      <c r="D497">
        <v>0.19700000000000001</v>
      </c>
      <c r="E497">
        <v>0.1137557959814528</v>
      </c>
      <c r="F497" t="s">
        <v>1452</v>
      </c>
      <c r="G497" t="s">
        <v>1453</v>
      </c>
      <c r="H497" t="s">
        <v>2684</v>
      </c>
      <c r="I497" t="s">
        <v>2690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</row>
    <row r="498" spans="1:28" x14ac:dyDescent="0.25">
      <c r="A498">
        <v>731</v>
      </c>
      <c r="B498">
        <v>0.61808510638297876</v>
      </c>
      <c r="C498">
        <v>0.14578313253012051</v>
      </c>
      <c r="D498">
        <v>0.40600000000000003</v>
      </c>
      <c r="E498">
        <v>6.4451313755795991E-2</v>
      </c>
      <c r="F498" t="s">
        <v>1454</v>
      </c>
      <c r="G498" t="s">
        <v>1455</v>
      </c>
      <c r="H498" t="s">
        <v>2684</v>
      </c>
      <c r="I498" t="s">
        <v>2687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x14ac:dyDescent="0.25">
      <c r="A499">
        <v>732</v>
      </c>
      <c r="B499">
        <v>0.57659574468085106</v>
      </c>
      <c r="C499">
        <v>0.48554216867469879</v>
      </c>
      <c r="D499">
        <v>0.42399999999999999</v>
      </c>
      <c r="E499">
        <v>1.7928902627511591E-2</v>
      </c>
      <c r="F499" t="s">
        <v>1456</v>
      </c>
      <c r="G499" t="s">
        <v>1457</v>
      </c>
      <c r="H499" t="s">
        <v>2684</v>
      </c>
      <c r="I499" t="s">
        <v>2687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25">
      <c r="A500">
        <v>733</v>
      </c>
      <c r="B500">
        <v>0.54255319148936176</v>
      </c>
      <c r="C500">
        <v>0.1481927710843374</v>
      </c>
      <c r="D500">
        <v>0.27900000000000003</v>
      </c>
      <c r="E500">
        <v>8.0989180834621324E-2</v>
      </c>
      <c r="F500" t="s">
        <v>1458</v>
      </c>
      <c r="G500" t="s">
        <v>1459</v>
      </c>
      <c r="H500" t="s">
        <v>2684</v>
      </c>
      <c r="I500" t="s">
        <v>2687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25">
      <c r="A501">
        <v>734</v>
      </c>
      <c r="B501">
        <v>0.56276595744680857</v>
      </c>
      <c r="C501">
        <v>0.25060240963855418</v>
      </c>
      <c r="D501">
        <v>0.317</v>
      </c>
      <c r="E501">
        <v>6.2132921174652238E-2</v>
      </c>
      <c r="F501" t="s">
        <v>1460</v>
      </c>
      <c r="G501" t="s">
        <v>1461</v>
      </c>
      <c r="H501" t="s">
        <v>2684</v>
      </c>
      <c r="I501" t="s">
        <v>2698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</row>
    <row r="502" spans="1:28" x14ac:dyDescent="0.25">
      <c r="A502">
        <v>735</v>
      </c>
      <c r="B502">
        <v>0.51702127659574471</v>
      </c>
      <c r="C502">
        <v>2.4096385542168681E-3</v>
      </c>
      <c r="D502">
        <v>0.23899999999999999</v>
      </c>
      <c r="E502">
        <v>0.1044822256568779</v>
      </c>
      <c r="F502" t="s">
        <v>1462</v>
      </c>
      <c r="G502" t="s">
        <v>1463</v>
      </c>
      <c r="H502" t="s">
        <v>2684</v>
      </c>
      <c r="I502" t="s">
        <v>2690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</row>
    <row r="503" spans="1:28" x14ac:dyDescent="0.25">
      <c r="A503">
        <v>737</v>
      </c>
      <c r="B503">
        <v>0.37234042553191488</v>
      </c>
      <c r="C503">
        <v>6.024096385542169E-3</v>
      </c>
      <c r="D503">
        <v>2E-3</v>
      </c>
      <c r="E503">
        <v>0.1327666151468315</v>
      </c>
      <c r="F503" t="s">
        <v>1466</v>
      </c>
      <c r="G503" t="s">
        <v>1467</v>
      </c>
      <c r="H503" t="s">
        <v>2684</v>
      </c>
      <c r="I503" t="s">
        <v>2690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</row>
    <row r="504" spans="1:28" x14ac:dyDescent="0.25">
      <c r="A504">
        <v>739</v>
      </c>
      <c r="B504">
        <v>0.36382978723404258</v>
      </c>
      <c r="C504">
        <v>0.19277108433734941</v>
      </c>
      <c r="D504">
        <v>4.0000000000000001E-3</v>
      </c>
      <c r="E504">
        <v>0.1013910355486862</v>
      </c>
      <c r="F504" t="s">
        <v>1470</v>
      </c>
      <c r="G504" t="s">
        <v>1471</v>
      </c>
      <c r="H504" t="s">
        <v>2688</v>
      </c>
      <c r="I504" t="s">
        <v>2689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25">
      <c r="A505">
        <v>740</v>
      </c>
      <c r="B505">
        <v>0.34574468085106391</v>
      </c>
      <c r="C505">
        <v>2.168674698795181E-2</v>
      </c>
      <c r="D505">
        <v>4.0000000000000001E-3</v>
      </c>
      <c r="E505">
        <v>0.12132921174652241</v>
      </c>
      <c r="F505" t="s">
        <v>1472</v>
      </c>
      <c r="G505" t="s">
        <v>1473</v>
      </c>
      <c r="H505" t="s">
        <v>2688</v>
      </c>
      <c r="I505" t="s">
        <v>2689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25">
      <c r="A506">
        <v>742</v>
      </c>
      <c r="B506">
        <v>0.37872340425531908</v>
      </c>
      <c r="C506">
        <v>0.1168674698795181</v>
      </c>
      <c r="D506">
        <v>1.0999999999999999E-2</v>
      </c>
      <c r="E506">
        <v>0.1188562596599691</v>
      </c>
      <c r="F506" t="s">
        <v>1476</v>
      </c>
      <c r="G506" t="s">
        <v>1477</v>
      </c>
      <c r="H506" t="s">
        <v>2684</v>
      </c>
      <c r="I506" t="s">
        <v>2690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</row>
    <row r="507" spans="1:28" x14ac:dyDescent="0.25">
      <c r="A507">
        <v>743</v>
      </c>
      <c r="B507">
        <v>0.44893617021276588</v>
      </c>
      <c r="C507">
        <v>1</v>
      </c>
      <c r="D507">
        <v>0.04</v>
      </c>
      <c r="E507">
        <v>0</v>
      </c>
      <c r="F507" t="s">
        <v>1478</v>
      </c>
      <c r="G507" t="s">
        <v>1479</v>
      </c>
      <c r="H507" t="s">
        <v>2688</v>
      </c>
      <c r="I507" t="s">
        <v>2689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>
        <v>744</v>
      </c>
      <c r="B508">
        <v>0.36702127659574468</v>
      </c>
      <c r="C508">
        <v>0.1445783132530121</v>
      </c>
      <c r="D508">
        <v>1.4999999999999999E-2</v>
      </c>
      <c r="E508">
        <v>0.1105100463678516</v>
      </c>
      <c r="F508" t="s">
        <v>1480</v>
      </c>
      <c r="G508" t="s">
        <v>1481</v>
      </c>
      <c r="H508" t="s">
        <v>2688</v>
      </c>
      <c r="I508" t="s">
        <v>2687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25">
      <c r="A509">
        <v>749</v>
      </c>
      <c r="B509">
        <v>4.9680851063829787E-2</v>
      </c>
      <c r="C509">
        <v>0.20843373493975911</v>
      </c>
      <c r="D509">
        <v>0.17299999999999999</v>
      </c>
      <c r="E509">
        <v>0.12565687789799071</v>
      </c>
      <c r="F509" t="s">
        <v>1488</v>
      </c>
      <c r="G509" t="s">
        <v>1489</v>
      </c>
      <c r="H509" t="s">
        <v>2684</v>
      </c>
      <c r="I509" t="s">
        <v>2690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</row>
    <row r="510" spans="1:28" x14ac:dyDescent="0.25">
      <c r="A510">
        <v>750</v>
      </c>
      <c r="B510">
        <v>0.36170212765957449</v>
      </c>
      <c r="C510">
        <v>0.36144578313253012</v>
      </c>
      <c r="D510">
        <v>0.3</v>
      </c>
      <c r="E510">
        <v>8.0370942812983001E-2</v>
      </c>
      <c r="F510" t="s">
        <v>1490</v>
      </c>
      <c r="G510" t="s">
        <v>1491</v>
      </c>
      <c r="H510" t="s">
        <v>2688</v>
      </c>
      <c r="I510" t="s">
        <v>2690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</row>
    <row r="511" spans="1:28" x14ac:dyDescent="0.25">
      <c r="A511">
        <v>751</v>
      </c>
      <c r="B511">
        <v>0.3819148936170213</v>
      </c>
      <c r="C511">
        <v>0.20722891566265059</v>
      </c>
      <c r="D511">
        <v>0.68200000000000005</v>
      </c>
      <c r="E511">
        <v>0.51313755795981453</v>
      </c>
      <c r="F511" t="s">
        <v>1492</v>
      </c>
      <c r="G511" t="s">
        <v>1493</v>
      </c>
      <c r="H511" t="s">
        <v>2688</v>
      </c>
      <c r="I511" t="s">
        <v>2690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</row>
    <row r="512" spans="1:28" x14ac:dyDescent="0.25">
      <c r="A512">
        <v>753</v>
      </c>
      <c r="B512">
        <v>0.62553191489361704</v>
      </c>
      <c r="C512">
        <v>0.64698795180722901</v>
      </c>
      <c r="D512">
        <v>0.40899999999999997</v>
      </c>
      <c r="E512">
        <v>1.8547140649149919E-3</v>
      </c>
      <c r="F512" t="s">
        <v>1496</v>
      </c>
      <c r="G512" t="s">
        <v>1497</v>
      </c>
      <c r="H512" t="s">
        <v>2684</v>
      </c>
      <c r="I512" t="s">
        <v>2690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</row>
    <row r="513" spans="1:28" x14ac:dyDescent="0.25">
      <c r="A513">
        <v>755</v>
      </c>
      <c r="B513">
        <v>0.1925531914893617</v>
      </c>
      <c r="C513">
        <v>4.8192771084337352E-2</v>
      </c>
      <c r="D513">
        <v>1.2E-2</v>
      </c>
      <c r="E513">
        <v>5.7650695517774339E-2</v>
      </c>
      <c r="F513" t="s">
        <v>1500</v>
      </c>
      <c r="G513" t="s">
        <v>1501</v>
      </c>
      <c r="H513" t="s">
        <v>2683</v>
      </c>
      <c r="I513" t="s">
        <v>2691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</row>
    <row r="514" spans="1:28" x14ac:dyDescent="0.25">
      <c r="A514">
        <v>756</v>
      </c>
      <c r="B514">
        <v>0.17340425531914891</v>
      </c>
      <c r="C514">
        <v>3.6144578313253017E-2</v>
      </c>
      <c r="D514">
        <v>4.0000000000000001E-3</v>
      </c>
      <c r="E514">
        <v>5.5177743431221032E-2</v>
      </c>
      <c r="F514" t="s">
        <v>1502</v>
      </c>
      <c r="G514" t="s">
        <v>1503</v>
      </c>
      <c r="H514" t="s">
        <v>2683</v>
      </c>
      <c r="I514" t="s">
        <v>2691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</row>
    <row r="515" spans="1:28" x14ac:dyDescent="0.25">
      <c r="A515">
        <v>759</v>
      </c>
      <c r="B515">
        <v>0.1638297872340426</v>
      </c>
      <c r="C515">
        <v>1.204819277108434E-2</v>
      </c>
      <c r="D515">
        <v>3.0000000000000001E-3</v>
      </c>
      <c r="E515">
        <v>5.6877897990726421E-2</v>
      </c>
      <c r="F515" t="s">
        <v>1508</v>
      </c>
      <c r="G515" t="s">
        <v>1509</v>
      </c>
      <c r="H515" t="s">
        <v>2688</v>
      </c>
      <c r="I515" t="s">
        <v>2690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</row>
    <row r="516" spans="1:28" x14ac:dyDescent="0.25">
      <c r="A516">
        <v>765</v>
      </c>
      <c r="B516">
        <v>0.22553191489361701</v>
      </c>
      <c r="C516">
        <v>4.8192771084337352E-2</v>
      </c>
      <c r="D516">
        <v>4.5999999999999999E-2</v>
      </c>
      <c r="E516">
        <v>5.9659969088098917E-2</v>
      </c>
      <c r="F516" t="s">
        <v>1520</v>
      </c>
      <c r="G516" t="s">
        <v>1521</v>
      </c>
      <c r="H516" t="s">
        <v>2683</v>
      </c>
      <c r="I516" t="s">
        <v>2691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</row>
    <row r="517" spans="1:28" x14ac:dyDescent="0.25">
      <c r="A517">
        <v>766</v>
      </c>
      <c r="B517">
        <v>0.1165957446808511</v>
      </c>
      <c r="C517">
        <v>3.1325301204819279E-2</v>
      </c>
      <c r="D517">
        <v>2.5999999999999999E-2</v>
      </c>
      <c r="E517">
        <v>2.8748068006182379E-2</v>
      </c>
      <c r="F517" t="s">
        <v>1522</v>
      </c>
      <c r="G517" t="s">
        <v>1523</v>
      </c>
      <c r="H517" t="s">
        <v>2683</v>
      </c>
      <c r="I517" t="s">
        <v>2687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25">
      <c r="A518">
        <v>770</v>
      </c>
      <c r="B518">
        <v>0.1053191489361702</v>
      </c>
      <c r="C518">
        <v>3.9759036144578312E-2</v>
      </c>
      <c r="D518">
        <v>1E-3</v>
      </c>
      <c r="E518">
        <v>3.2766615146831532E-2</v>
      </c>
      <c r="F518" t="s">
        <v>1530</v>
      </c>
      <c r="G518" t="s">
        <v>1531</v>
      </c>
      <c r="H518" t="s">
        <v>2684</v>
      </c>
      <c r="I518" t="s">
        <v>2687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25">
      <c r="A519">
        <v>771</v>
      </c>
      <c r="B519">
        <v>2.6595744680851061E-2</v>
      </c>
      <c r="C519">
        <v>2.891566265060241E-2</v>
      </c>
      <c r="D519">
        <v>2E-3</v>
      </c>
      <c r="E519">
        <v>7.573415765069552E-3</v>
      </c>
      <c r="F519" t="s">
        <v>1532</v>
      </c>
      <c r="G519" t="s">
        <v>1533</v>
      </c>
      <c r="H519" t="s">
        <v>2684</v>
      </c>
      <c r="I519" t="s">
        <v>2687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25">
      <c r="A520">
        <v>775</v>
      </c>
      <c r="B520">
        <v>0.37872340425531908</v>
      </c>
      <c r="C520">
        <v>0.24698795180722891</v>
      </c>
      <c r="D520">
        <v>4.0999999999999988E-2</v>
      </c>
      <c r="E520">
        <v>9.5208655332302938E-2</v>
      </c>
      <c r="F520" t="s">
        <v>1540</v>
      </c>
      <c r="G520" t="s">
        <v>1541</v>
      </c>
      <c r="H520" t="s">
        <v>2684</v>
      </c>
      <c r="I520" t="s">
        <v>2687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25">
      <c r="A521">
        <v>776</v>
      </c>
      <c r="B521">
        <v>0.35319148936170208</v>
      </c>
      <c r="C521">
        <v>0.28915662650602408</v>
      </c>
      <c r="D521">
        <v>0.03</v>
      </c>
      <c r="E521">
        <v>8.5007727975270481E-2</v>
      </c>
      <c r="F521" t="s">
        <v>1542</v>
      </c>
      <c r="G521" t="s">
        <v>1543</v>
      </c>
      <c r="H521" t="s">
        <v>2688</v>
      </c>
      <c r="I521" t="s">
        <v>2687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x14ac:dyDescent="0.25">
      <c r="A522">
        <v>777</v>
      </c>
      <c r="B522">
        <v>0.15</v>
      </c>
      <c r="C522">
        <v>0.1228915662650602</v>
      </c>
      <c r="D522">
        <v>1.2999999999999999E-2</v>
      </c>
      <c r="E522">
        <v>3.5857805255023183E-2</v>
      </c>
      <c r="F522" t="s">
        <v>1544</v>
      </c>
      <c r="G522" t="s">
        <v>1545</v>
      </c>
      <c r="H522" t="s">
        <v>2684</v>
      </c>
      <c r="I522" t="s">
        <v>2687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25">
      <c r="A523">
        <v>778</v>
      </c>
      <c r="B523">
        <v>0.13297872340425529</v>
      </c>
      <c r="C523">
        <v>0.1</v>
      </c>
      <c r="D523">
        <v>6.9999999999999993E-3</v>
      </c>
      <c r="E523">
        <v>3.4157650695517773E-2</v>
      </c>
      <c r="F523" t="s">
        <v>1546</v>
      </c>
      <c r="G523" t="s">
        <v>1547</v>
      </c>
      <c r="H523" t="s">
        <v>2684</v>
      </c>
      <c r="I523" t="s">
        <v>2690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</row>
    <row r="524" spans="1:28" x14ac:dyDescent="0.25">
      <c r="A524">
        <v>779</v>
      </c>
      <c r="B524">
        <v>3.5106382978723413E-2</v>
      </c>
      <c r="C524">
        <v>3.2530120481927723E-2</v>
      </c>
      <c r="D524">
        <v>2E-3</v>
      </c>
      <c r="E524">
        <v>1.2210200927357031E-2</v>
      </c>
      <c r="F524" t="s">
        <v>1548</v>
      </c>
      <c r="G524" t="s">
        <v>1549</v>
      </c>
      <c r="H524" t="s">
        <v>2688</v>
      </c>
      <c r="I524" t="s">
        <v>2687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25">
      <c r="A525">
        <v>780</v>
      </c>
      <c r="B525">
        <v>0.36595744680851072</v>
      </c>
      <c r="C525">
        <v>0.1506024096385542</v>
      </c>
      <c r="D525">
        <v>2.1000000000000001E-2</v>
      </c>
      <c r="E525">
        <v>0.10726429675425039</v>
      </c>
      <c r="F525" t="s">
        <v>1550</v>
      </c>
      <c r="G525" t="s">
        <v>1551</v>
      </c>
      <c r="H525" t="s">
        <v>2688</v>
      </c>
      <c r="I525" t="s">
        <v>2687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x14ac:dyDescent="0.25">
      <c r="A526">
        <v>781</v>
      </c>
      <c r="B526">
        <v>0.3595744680851064</v>
      </c>
      <c r="C526">
        <v>0.26746987951807227</v>
      </c>
      <c r="D526">
        <v>1.4999999999999999E-2</v>
      </c>
      <c r="E526">
        <v>9.428129829984544E-2</v>
      </c>
      <c r="F526" t="s">
        <v>1552</v>
      </c>
      <c r="G526" t="s">
        <v>1202</v>
      </c>
      <c r="H526" t="s">
        <v>2688</v>
      </c>
      <c r="I526" t="s">
        <v>2687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25">
      <c r="A527">
        <v>782</v>
      </c>
      <c r="B527">
        <v>4.042553191489362E-2</v>
      </c>
      <c r="C527">
        <v>3.6144578313253017E-2</v>
      </c>
      <c r="D527">
        <v>3.0000000000000001E-3</v>
      </c>
      <c r="E527">
        <v>1.2210200927357031E-2</v>
      </c>
      <c r="F527" t="s">
        <v>1553</v>
      </c>
      <c r="G527" t="s">
        <v>1554</v>
      </c>
      <c r="H527" t="s">
        <v>2684</v>
      </c>
      <c r="I527" t="s">
        <v>2687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x14ac:dyDescent="0.25">
      <c r="A528">
        <v>783</v>
      </c>
      <c r="B528">
        <v>4.8936170212765959E-2</v>
      </c>
      <c r="C528">
        <v>3.6144578313253017E-2</v>
      </c>
      <c r="D528">
        <v>3.0000000000000001E-3</v>
      </c>
      <c r="E528">
        <v>1.2210200927357031E-2</v>
      </c>
      <c r="F528" t="s">
        <v>1555</v>
      </c>
      <c r="G528" t="s">
        <v>1556</v>
      </c>
      <c r="H528" t="s">
        <v>2684</v>
      </c>
      <c r="I528" t="s">
        <v>2687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25">
      <c r="A529">
        <v>785</v>
      </c>
      <c r="B529">
        <v>0.38936170212765958</v>
      </c>
      <c r="C529">
        <v>5.0602409638554217E-2</v>
      </c>
      <c r="D529">
        <v>4.2999999999999997E-2</v>
      </c>
      <c r="E529">
        <v>0.1197836166924266</v>
      </c>
      <c r="F529" t="s">
        <v>1558</v>
      </c>
      <c r="G529" t="s">
        <v>1559</v>
      </c>
      <c r="H529" t="s">
        <v>2694</v>
      </c>
      <c r="I529" t="s">
        <v>2691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</row>
    <row r="530" spans="1:28" x14ac:dyDescent="0.25">
      <c r="A530">
        <v>786</v>
      </c>
      <c r="B530">
        <v>0.39361702127659581</v>
      </c>
      <c r="C530">
        <v>9.6385542168674704E-2</v>
      </c>
      <c r="D530">
        <v>0.01</v>
      </c>
      <c r="E530">
        <v>0.12704791344667701</v>
      </c>
      <c r="F530" t="s">
        <v>1560</v>
      </c>
      <c r="G530" t="s">
        <v>1561</v>
      </c>
      <c r="H530" t="s">
        <v>2683</v>
      </c>
      <c r="I530" t="s">
        <v>2691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</row>
    <row r="531" spans="1:28" x14ac:dyDescent="0.25">
      <c r="A531">
        <v>812</v>
      </c>
      <c r="B531">
        <v>0.1180851063829787</v>
      </c>
      <c r="C531">
        <v>5.4216867469879519E-2</v>
      </c>
      <c r="D531">
        <v>1.0999999999999999E-2</v>
      </c>
      <c r="E531">
        <v>3.1993817619783607E-2</v>
      </c>
      <c r="F531" t="s">
        <v>1611</v>
      </c>
      <c r="G531" t="s">
        <v>1612</v>
      </c>
      <c r="H531" t="s">
        <v>2683</v>
      </c>
      <c r="I531" t="s">
        <v>2687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25">
      <c r="A532">
        <v>814</v>
      </c>
      <c r="B532">
        <v>6.702127659574468E-2</v>
      </c>
      <c r="C532">
        <v>2.4096385542168679E-2</v>
      </c>
      <c r="D532">
        <v>2.7E-2</v>
      </c>
      <c r="E532">
        <v>1.4064914992272019E-2</v>
      </c>
      <c r="F532" t="s">
        <v>1615</v>
      </c>
      <c r="G532" t="s">
        <v>1616</v>
      </c>
      <c r="H532" t="s">
        <v>2688</v>
      </c>
      <c r="I532" t="s">
        <v>2692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25">
      <c r="A533">
        <v>816</v>
      </c>
      <c r="B533">
        <v>0.5478723404255319</v>
      </c>
      <c r="C533">
        <v>0.36867469879518078</v>
      </c>
      <c r="D533">
        <v>0.42099999999999999</v>
      </c>
      <c r="E533">
        <v>2.1329211746522411E-2</v>
      </c>
      <c r="F533" t="s">
        <v>1619</v>
      </c>
      <c r="G533" t="s">
        <v>1620</v>
      </c>
      <c r="H533" t="s">
        <v>2683</v>
      </c>
      <c r="I533" t="s">
        <v>2687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x14ac:dyDescent="0.25">
      <c r="A534">
        <v>822</v>
      </c>
      <c r="B534">
        <v>0.17691489361702131</v>
      </c>
      <c r="C534">
        <v>3.2530120481927723E-2</v>
      </c>
      <c r="D534">
        <v>3.9E-2</v>
      </c>
      <c r="E534">
        <v>4.5595054095826891E-2</v>
      </c>
      <c r="F534" t="s">
        <v>1631</v>
      </c>
      <c r="G534" t="s">
        <v>1632</v>
      </c>
      <c r="H534" t="s">
        <v>2684</v>
      </c>
      <c r="I534" t="s">
        <v>2691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</row>
    <row r="535" spans="1:28" x14ac:dyDescent="0.25">
      <c r="A535">
        <v>823</v>
      </c>
      <c r="B535">
        <v>9.0425531914893623E-2</v>
      </c>
      <c r="C535">
        <v>6.8674698795180733E-2</v>
      </c>
      <c r="D535">
        <v>3.0000000000000001E-3</v>
      </c>
      <c r="E535">
        <v>2.3802163833075731E-2</v>
      </c>
      <c r="F535" t="s">
        <v>1633</v>
      </c>
      <c r="G535" t="s">
        <v>1634</v>
      </c>
      <c r="H535" t="s">
        <v>2683</v>
      </c>
      <c r="I535" t="s">
        <v>2687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25">
      <c r="A536">
        <v>824</v>
      </c>
      <c r="B536">
        <v>0.1574468085106383</v>
      </c>
      <c r="C536">
        <v>0.127710843373494</v>
      </c>
      <c r="D536">
        <v>5.0000000000000001E-3</v>
      </c>
      <c r="E536">
        <v>4.0494590417310662E-2</v>
      </c>
      <c r="F536" t="s">
        <v>1635</v>
      </c>
      <c r="G536" t="s">
        <v>1636</v>
      </c>
      <c r="H536" t="s">
        <v>2683</v>
      </c>
      <c r="I536" t="s">
        <v>2687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25">
      <c r="A537">
        <v>825</v>
      </c>
      <c r="B537">
        <v>0.15106382978723401</v>
      </c>
      <c r="C537">
        <v>0.13253012048192769</v>
      </c>
      <c r="D537">
        <v>2.5000000000000001E-2</v>
      </c>
      <c r="E537">
        <v>3.1530139103554858E-2</v>
      </c>
      <c r="F537" t="s">
        <v>1637</v>
      </c>
      <c r="G537" t="s">
        <v>1638</v>
      </c>
      <c r="H537" t="s">
        <v>2683</v>
      </c>
      <c r="I537" t="s">
        <v>2687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25">
      <c r="A538">
        <v>826</v>
      </c>
      <c r="B538">
        <v>0.3904255319148936</v>
      </c>
      <c r="C538">
        <v>0.5590361445783133</v>
      </c>
      <c r="D538">
        <v>5.4000000000000013E-2</v>
      </c>
      <c r="E538">
        <v>5.0231839258114371E-2</v>
      </c>
      <c r="F538" t="s">
        <v>1639</v>
      </c>
      <c r="G538" t="s">
        <v>1640</v>
      </c>
      <c r="H538" t="s">
        <v>2683</v>
      </c>
      <c r="I538" t="s">
        <v>2687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25">
      <c r="A539">
        <v>827</v>
      </c>
      <c r="B539">
        <v>0.35744680851063831</v>
      </c>
      <c r="C539">
        <v>0.28674698795180731</v>
      </c>
      <c r="D539">
        <v>1.2E-2</v>
      </c>
      <c r="E539">
        <v>9.2272024729520868E-2</v>
      </c>
      <c r="F539" t="s">
        <v>1641</v>
      </c>
      <c r="G539" t="s">
        <v>1642</v>
      </c>
      <c r="H539" t="s">
        <v>2683</v>
      </c>
      <c r="I539" t="s">
        <v>2687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 x14ac:dyDescent="0.25">
      <c r="A540">
        <v>830</v>
      </c>
      <c r="B540">
        <v>0.44893617021276588</v>
      </c>
      <c r="C540">
        <v>1.084337349397591E-2</v>
      </c>
      <c r="D540">
        <v>0.108</v>
      </c>
      <c r="E540">
        <v>0.1242658423493045</v>
      </c>
      <c r="F540" t="s">
        <v>1647</v>
      </c>
      <c r="G540" t="s">
        <v>1648</v>
      </c>
      <c r="H540" t="s">
        <v>2683</v>
      </c>
      <c r="I540" t="s">
        <v>2690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</row>
    <row r="541" spans="1:28" x14ac:dyDescent="0.25">
      <c r="A541">
        <v>831</v>
      </c>
      <c r="B541">
        <v>0.41382978723404262</v>
      </c>
      <c r="C541">
        <v>7.9518072289156624E-2</v>
      </c>
      <c r="D541">
        <v>0.157</v>
      </c>
      <c r="E541">
        <v>8.5780525502318392E-2</v>
      </c>
      <c r="F541" t="s">
        <v>1649</v>
      </c>
      <c r="G541" t="s">
        <v>1650</v>
      </c>
      <c r="H541" t="s">
        <v>2688</v>
      </c>
      <c r="I541" t="s">
        <v>2691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</row>
    <row r="542" spans="1:28" x14ac:dyDescent="0.25">
      <c r="A542">
        <v>836</v>
      </c>
      <c r="B542">
        <v>0.43085106382978722</v>
      </c>
      <c r="C542">
        <v>5.7831325301204821E-2</v>
      </c>
      <c r="D542">
        <v>5.0999999999999997E-2</v>
      </c>
      <c r="E542">
        <v>0.1312210200927357</v>
      </c>
      <c r="F542" t="s">
        <v>1659</v>
      </c>
      <c r="G542" t="s">
        <v>1660</v>
      </c>
      <c r="H542" t="s">
        <v>2683</v>
      </c>
      <c r="I542" t="s">
        <v>2686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25">
      <c r="A543">
        <v>840</v>
      </c>
      <c r="B543">
        <v>0.39574468085106379</v>
      </c>
      <c r="C543">
        <v>0.1445783132530121</v>
      </c>
      <c r="D543">
        <v>0.29399999999999998</v>
      </c>
      <c r="E543">
        <v>2.2256568778979909E-2</v>
      </c>
      <c r="F543" t="s">
        <v>1667</v>
      </c>
      <c r="G543" t="s">
        <v>1668</v>
      </c>
      <c r="H543" t="s">
        <v>2683</v>
      </c>
      <c r="I543" t="s">
        <v>2699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25">
      <c r="A544">
        <v>841</v>
      </c>
      <c r="B544">
        <v>0.87021276595744679</v>
      </c>
      <c r="C544">
        <v>1.8072289156626509E-2</v>
      </c>
      <c r="D544">
        <v>0.9</v>
      </c>
      <c r="E544">
        <v>0</v>
      </c>
      <c r="F544" t="s">
        <v>1669</v>
      </c>
      <c r="G544" t="s">
        <v>1670</v>
      </c>
      <c r="H544" t="s">
        <v>2683</v>
      </c>
      <c r="I544" t="s">
        <v>2699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25">
      <c r="A545">
        <v>846</v>
      </c>
      <c r="B545">
        <v>0.34042553191489361</v>
      </c>
      <c r="C545">
        <v>4.2168674698795178E-2</v>
      </c>
      <c r="D545">
        <v>5.7000000000000002E-2</v>
      </c>
      <c r="E545">
        <v>9.845440494590417E-2</v>
      </c>
      <c r="F545" t="s">
        <v>1679</v>
      </c>
      <c r="G545" t="s">
        <v>1680</v>
      </c>
      <c r="H545" t="s">
        <v>2683</v>
      </c>
      <c r="I545" t="s">
        <v>2686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25">
      <c r="A546">
        <v>847</v>
      </c>
      <c r="B546">
        <v>0.1925531914893617</v>
      </c>
      <c r="C546">
        <v>3.3734939759036138E-2</v>
      </c>
      <c r="D546">
        <v>1.2E-2</v>
      </c>
      <c r="E546">
        <v>6.1514683153013908E-2</v>
      </c>
      <c r="F546" t="s">
        <v>1681</v>
      </c>
      <c r="G546" t="s">
        <v>1682</v>
      </c>
      <c r="H546" t="s">
        <v>2688</v>
      </c>
      <c r="I546" t="s">
        <v>2690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</row>
    <row r="547" spans="1:28" x14ac:dyDescent="0.25">
      <c r="A547">
        <v>848</v>
      </c>
      <c r="B547">
        <v>3.5106382978723413E-2</v>
      </c>
      <c r="C547">
        <v>2.289156626506024E-2</v>
      </c>
      <c r="D547">
        <v>1E-3</v>
      </c>
      <c r="E547">
        <v>1.143740340030912E-2</v>
      </c>
      <c r="F547" t="s">
        <v>1683</v>
      </c>
      <c r="G547" t="s">
        <v>1684</v>
      </c>
      <c r="H547" t="s">
        <v>2696</v>
      </c>
      <c r="I547" t="s">
        <v>2686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25">
      <c r="A548">
        <v>849</v>
      </c>
      <c r="B548">
        <v>0.25531914893617019</v>
      </c>
      <c r="C548">
        <v>9.3975903614457831E-2</v>
      </c>
      <c r="D548">
        <v>5.0000000000000001E-3</v>
      </c>
      <c r="E548">
        <v>7.9289026275115915E-2</v>
      </c>
      <c r="F548" t="s">
        <v>1685</v>
      </c>
      <c r="G548" t="s">
        <v>1686</v>
      </c>
      <c r="H548" t="s">
        <v>2683</v>
      </c>
      <c r="I548" t="s">
        <v>2691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</row>
    <row r="549" spans="1:28" x14ac:dyDescent="0.25">
      <c r="A549">
        <v>857</v>
      </c>
      <c r="B549">
        <v>0.17446808510638301</v>
      </c>
      <c r="C549">
        <v>2.168674698795181E-2</v>
      </c>
      <c r="D549">
        <v>2.1000000000000001E-2</v>
      </c>
      <c r="E549">
        <v>5.3323029366306028E-2</v>
      </c>
      <c r="F549" t="s">
        <v>1701</v>
      </c>
      <c r="G549" t="s">
        <v>1702</v>
      </c>
      <c r="H549" t="s">
        <v>2683</v>
      </c>
      <c r="I549" t="s">
        <v>2691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</row>
    <row r="550" spans="1:28" x14ac:dyDescent="0.25">
      <c r="A550">
        <v>859</v>
      </c>
      <c r="B550">
        <v>0.36276595744680851</v>
      </c>
      <c r="C550">
        <v>3.6144578313253009E-3</v>
      </c>
      <c r="D550">
        <v>0</v>
      </c>
      <c r="E550">
        <v>0.1313755795981453</v>
      </c>
      <c r="F550" t="s">
        <v>1705</v>
      </c>
      <c r="G550" t="s">
        <v>1706</v>
      </c>
      <c r="H550" t="s">
        <v>2694</v>
      </c>
      <c r="I550" t="s">
        <v>2691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</row>
    <row r="551" spans="1:28" x14ac:dyDescent="0.25">
      <c r="A551">
        <v>860</v>
      </c>
      <c r="B551">
        <v>0.38617021276595748</v>
      </c>
      <c r="C551">
        <v>0.10481927710843369</v>
      </c>
      <c r="D551">
        <v>4.0000000000000001E-3</v>
      </c>
      <c r="E551">
        <v>0.1216383307573416</v>
      </c>
      <c r="F551" t="s">
        <v>1707</v>
      </c>
      <c r="G551" t="s">
        <v>1708</v>
      </c>
      <c r="H551" t="s">
        <v>2683</v>
      </c>
      <c r="I551" t="s">
        <v>2691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</row>
    <row r="552" spans="1:28" x14ac:dyDescent="0.25">
      <c r="A552">
        <v>861</v>
      </c>
      <c r="B552">
        <v>6.702127659574468E-2</v>
      </c>
      <c r="C552">
        <v>2.891566265060241E-2</v>
      </c>
      <c r="D552">
        <v>4.0000000000000001E-3</v>
      </c>
      <c r="E552">
        <v>1.9165378670788259E-2</v>
      </c>
      <c r="F552" t="s">
        <v>1709</v>
      </c>
      <c r="G552" t="s">
        <v>1710</v>
      </c>
      <c r="H552" t="s">
        <v>2683</v>
      </c>
      <c r="I552" t="s">
        <v>2686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5">
      <c r="A553">
        <v>862</v>
      </c>
      <c r="B553">
        <v>4.6808510638297871E-2</v>
      </c>
      <c r="C553">
        <v>8.4337349397590362E-3</v>
      </c>
      <c r="D553">
        <v>2E-3</v>
      </c>
      <c r="E553">
        <v>1.7310664605873261E-2</v>
      </c>
      <c r="F553" t="s">
        <v>1711</v>
      </c>
      <c r="G553" t="s">
        <v>1712</v>
      </c>
      <c r="H553" t="s">
        <v>2683</v>
      </c>
      <c r="I553" t="s">
        <v>2686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25">
      <c r="A554">
        <v>863</v>
      </c>
      <c r="B554">
        <v>6.702127659574468E-2</v>
      </c>
      <c r="C554">
        <v>6.024096385542169E-3</v>
      </c>
      <c r="D554">
        <v>2E-3</v>
      </c>
      <c r="E554">
        <v>2.5811437403400309E-2</v>
      </c>
      <c r="F554" t="s">
        <v>1713</v>
      </c>
      <c r="G554" t="s">
        <v>1714</v>
      </c>
      <c r="H554" t="s">
        <v>2683</v>
      </c>
      <c r="I554" t="s">
        <v>2686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>
        <v>864</v>
      </c>
      <c r="B555">
        <v>4.8936170212765959E-2</v>
      </c>
      <c r="C555">
        <v>4.8192771084337354E-3</v>
      </c>
      <c r="D555">
        <v>2E-3</v>
      </c>
      <c r="E555">
        <v>1.8392581143740341E-2</v>
      </c>
      <c r="F555" t="s">
        <v>1715</v>
      </c>
      <c r="G555" t="s">
        <v>1716</v>
      </c>
      <c r="H555" t="s">
        <v>2683</v>
      </c>
      <c r="I555" t="s">
        <v>2686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25">
      <c r="A556">
        <v>865</v>
      </c>
      <c r="B556">
        <v>7.6595744680851063E-2</v>
      </c>
      <c r="C556">
        <v>9.6385542168674707E-3</v>
      </c>
      <c r="D556">
        <v>2E-3</v>
      </c>
      <c r="E556">
        <v>2.890262751159196E-2</v>
      </c>
      <c r="F556" t="s">
        <v>1717</v>
      </c>
      <c r="G556" t="s">
        <v>1718</v>
      </c>
      <c r="H556" t="s">
        <v>2683</v>
      </c>
      <c r="I556" t="s">
        <v>2686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25">
      <c r="A557">
        <v>866</v>
      </c>
      <c r="B557">
        <v>5.9574468085106393E-2</v>
      </c>
      <c r="C557">
        <v>4.8192771084337354E-3</v>
      </c>
      <c r="D557">
        <v>2E-3</v>
      </c>
      <c r="E557">
        <v>2.2565687789799071E-2</v>
      </c>
      <c r="F557" t="s">
        <v>1719</v>
      </c>
      <c r="G557" t="s">
        <v>1720</v>
      </c>
      <c r="H557" t="s">
        <v>2683</v>
      </c>
      <c r="I557" t="s">
        <v>2686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25">
      <c r="A558">
        <v>867</v>
      </c>
      <c r="B558">
        <v>9.1489361702127667E-2</v>
      </c>
      <c r="C558">
        <v>8.4337349397590362E-3</v>
      </c>
      <c r="D558">
        <v>5.0000000000000001E-3</v>
      </c>
      <c r="E558">
        <v>3.060278207109737E-2</v>
      </c>
      <c r="F558" t="s">
        <v>1721</v>
      </c>
      <c r="G558" t="s">
        <v>1722</v>
      </c>
      <c r="H558" t="s">
        <v>2683</v>
      </c>
      <c r="I558" t="s">
        <v>2686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25">
      <c r="A559">
        <v>868</v>
      </c>
      <c r="B559">
        <v>0.1414893617021277</v>
      </c>
      <c r="C559">
        <v>1.204819277108434E-2</v>
      </c>
      <c r="D559">
        <v>1E-3</v>
      </c>
      <c r="E559">
        <v>4.9613601236476047E-2</v>
      </c>
      <c r="F559" t="s">
        <v>1723</v>
      </c>
      <c r="G559" t="s">
        <v>1724</v>
      </c>
      <c r="H559" t="s">
        <v>2683</v>
      </c>
      <c r="I559" t="s">
        <v>2686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25">
      <c r="A560">
        <v>869</v>
      </c>
      <c r="B560">
        <v>6.2765957446808518E-2</v>
      </c>
      <c r="C560">
        <v>6.024096385542169E-3</v>
      </c>
      <c r="D560">
        <v>4.0000000000000001E-3</v>
      </c>
      <c r="E560">
        <v>2.3338485316846989E-2</v>
      </c>
      <c r="F560" t="s">
        <v>1725</v>
      </c>
      <c r="G560" t="s">
        <v>1726</v>
      </c>
      <c r="H560" t="s">
        <v>2683</v>
      </c>
      <c r="I560" t="s">
        <v>2686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5">
      <c r="A561">
        <v>870</v>
      </c>
      <c r="B561">
        <v>5.5319148936170223E-2</v>
      </c>
      <c r="C561">
        <v>8.4337349397590362E-3</v>
      </c>
      <c r="D561">
        <v>0</v>
      </c>
      <c r="E561">
        <v>1.9010819165378671E-2</v>
      </c>
      <c r="F561" t="s">
        <v>1727</v>
      </c>
      <c r="G561" t="s">
        <v>1728</v>
      </c>
      <c r="H561" t="s">
        <v>2683</v>
      </c>
      <c r="I561" t="s">
        <v>2686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25">
      <c r="A562">
        <v>880</v>
      </c>
      <c r="B562">
        <v>0.39255319148936169</v>
      </c>
      <c r="C562">
        <v>2.5301204819277109E-2</v>
      </c>
      <c r="D562">
        <v>7.0000000000000007E-2</v>
      </c>
      <c r="E562">
        <v>0.1145285935085008</v>
      </c>
      <c r="F562" t="s">
        <v>1746</v>
      </c>
      <c r="G562" t="s">
        <v>1747</v>
      </c>
      <c r="H562" t="s">
        <v>2683</v>
      </c>
      <c r="I562" t="s">
        <v>2691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</row>
    <row r="563" spans="1:28" x14ac:dyDescent="0.25">
      <c r="A563">
        <v>883</v>
      </c>
      <c r="B563">
        <v>7.0212765957446813E-2</v>
      </c>
      <c r="C563">
        <v>6.0240963855421693E-2</v>
      </c>
      <c r="D563">
        <v>6.9999999999999993E-3</v>
      </c>
      <c r="E563">
        <v>2.05564142194745E-2</v>
      </c>
      <c r="F563" t="s">
        <v>1752</v>
      </c>
      <c r="G563" t="s">
        <v>1753</v>
      </c>
      <c r="H563" t="s">
        <v>2688</v>
      </c>
      <c r="I563" t="s">
        <v>2687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25">
      <c r="A564">
        <v>885</v>
      </c>
      <c r="B564">
        <v>0.3425531914893617</v>
      </c>
      <c r="C564">
        <v>0.67228915662650601</v>
      </c>
      <c r="D564">
        <v>0.02</v>
      </c>
      <c r="E564">
        <v>3.5085007727975272E-2</v>
      </c>
      <c r="F564" t="s">
        <v>1756</v>
      </c>
      <c r="G564" t="s">
        <v>1757</v>
      </c>
      <c r="H564" t="s">
        <v>2688</v>
      </c>
      <c r="I564" t="s">
        <v>2689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25">
      <c r="A565">
        <v>886</v>
      </c>
      <c r="B565">
        <v>0.77127659574468088</v>
      </c>
      <c r="C565">
        <v>6.024096385542169E-3</v>
      </c>
      <c r="D565">
        <v>0.81599999999999995</v>
      </c>
      <c r="E565">
        <v>2.1638330757341581E-3</v>
      </c>
      <c r="F565" t="s">
        <v>1758</v>
      </c>
      <c r="G565" t="s">
        <v>1759</v>
      </c>
      <c r="H565" t="s">
        <v>2683</v>
      </c>
      <c r="I565" t="s">
        <v>2693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</row>
    <row r="566" spans="1:28" x14ac:dyDescent="0.25">
      <c r="A566">
        <v>888</v>
      </c>
      <c r="B566">
        <v>0.3819148936170213</v>
      </c>
      <c r="C566">
        <v>0.13855421686746991</v>
      </c>
      <c r="D566">
        <v>6.8000000000000005E-2</v>
      </c>
      <c r="E566">
        <v>9.9536321483771256E-2</v>
      </c>
      <c r="F566" t="s">
        <v>1762</v>
      </c>
      <c r="G566" t="s">
        <v>1763</v>
      </c>
      <c r="H566" t="s">
        <v>2694</v>
      </c>
      <c r="I566" t="s">
        <v>2692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>
        <v>889</v>
      </c>
      <c r="B567">
        <v>9.3617021276595741E-2</v>
      </c>
      <c r="C567">
        <v>7.2289156626506026E-3</v>
      </c>
      <c r="D567">
        <v>3.3000000000000002E-2</v>
      </c>
      <c r="E567">
        <v>2.1638330757341579E-2</v>
      </c>
      <c r="F567" t="s">
        <v>1764</v>
      </c>
      <c r="G567" t="s">
        <v>1765</v>
      </c>
      <c r="H567" t="s">
        <v>2683</v>
      </c>
      <c r="I567" t="s">
        <v>2691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</row>
    <row r="568" spans="1:28" x14ac:dyDescent="0.25">
      <c r="A568">
        <v>890</v>
      </c>
      <c r="B568">
        <v>7.5531914893617019E-2</v>
      </c>
      <c r="C568">
        <v>2.4096385542168681E-3</v>
      </c>
      <c r="D568">
        <v>8.0000000000000002E-3</v>
      </c>
      <c r="E568">
        <v>2.4574961360123649E-2</v>
      </c>
      <c r="F568" t="s">
        <v>1766</v>
      </c>
      <c r="G568" t="s">
        <v>1767</v>
      </c>
      <c r="H568" t="s">
        <v>2683</v>
      </c>
      <c r="I568" t="s">
        <v>2691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</row>
    <row r="569" spans="1:28" x14ac:dyDescent="0.25">
      <c r="A569">
        <v>891</v>
      </c>
      <c r="B569">
        <v>0.36063829787234042</v>
      </c>
      <c r="C569">
        <v>0.1204819277108434</v>
      </c>
      <c r="D569">
        <v>1.7000000000000001E-2</v>
      </c>
      <c r="E569">
        <v>9.7372488408037083E-3</v>
      </c>
      <c r="F569" t="s">
        <v>1768</v>
      </c>
      <c r="G569" t="s">
        <v>1769</v>
      </c>
      <c r="H569" t="s">
        <v>2683</v>
      </c>
      <c r="I569" t="s">
        <v>2691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</row>
    <row r="570" spans="1:28" x14ac:dyDescent="0.25">
      <c r="A570">
        <v>892</v>
      </c>
      <c r="B570">
        <v>0.1202127659574468</v>
      </c>
      <c r="C570">
        <v>3.6144578313253017E-2</v>
      </c>
      <c r="D570">
        <v>3.2000000000000001E-2</v>
      </c>
      <c r="E570">
        <v>2.7975270479134472E-2</v>
      </c>
      <c r="F570" t="s">
        <v>1770</v>
      </c>
      <c r="G570" t="s">
        <v>1771</v>
      </c>
      <c r="H570" t="s">
        <v>2683</v>
      </c>
      <c r="I570" t="s">
        <v>2691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</row>
    <row r="571" spans="1:28" x14ac:dyDescent="0.25">
      <c r="A571">
        <v>893</v>
      </c>
      <c r="B571">
        <v>0.1085106382978723</v>
      </c>
      <c r="C571">
        <v>7.4698795180722893E-2</v>
      </c>
      <c r="D571">
        <v>3.9E-2</v>
      </c>
      <c r="E571">
        <v>1.6228748068006182E-2</v>
      </c>
      <c r="F571" t="s">
        <v>1772</v>
      </c>
      <c r="G571" t="s">
        <v>1773</v>
      </c>
      <c r="H571" t="s">
        <v>2683</v>
      </c>
      <c r="I571" t="s">
        <v>2691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</row>
    <row r="572" spans="1:28" x14ac:dyDescent="0.25">
      <c r="A572">
        <v>894</v>
      </c>
      <c r="B572">
        <v>0.1212765957446809</v>
      </c>
      <c r="C572">
        <v>6.3855421686746988E-2</v>
      </c>
      <c r="D572">
        <v>0.03</v>
      </c>
      <c r="E572">
        <v>2.534775888717156E-2</v>
      </c>
      <c r="F572" t="s">
        <v>1774</v>
      </c>
      <c r="G572" t="s">
        <v>1775</v>
      </c>
      <c r="H572" t="s">
        <v>2683</v>
      </c>
      <c r="I572" t="s">
        <v>2691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</row>
    <row r="573" spans="1:28" x14ac:dyDescent="0.25">
      <c r="A573">
        <v>895</v>
      </c>
      <c r="B573">
        <v>9.1489361702127667E-2</v>
      </c>
      <c r="C573">
        <v>7.2289156626506026E-3</v>
      </c>
      <c r="D573">
        <v>3.3000000000000002E-2</v>
      </c>
      <c r="E573">
        <v>2.1638330757341579E-2</v>
      </c>
      <c r="F573" t="s">
        <v>1776</v>
      </c>
      <c r="G573" t="s">
        <v>1777</v>
      </c>
      <c r="H573" t="s">
        <v>2683</v>
      </c>
      <c r="I573" t="s">
        <v>2691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</row>
    <row r="574" spans="1:28" x14ac:dyDescent="0.25">
      <c r="A574">
        <v>896</v>
      </c>
      <c r="B574">
        <v>0.37553191489361698</v>
      </c>
      <c r="C574">
        <v>3.6144578313253009E-3</v>
      </c>
      <c r="D574">
        <v>0</v>
      </c>
      <c r="E574">
        <v>0.1360123647604328</v>
      </c>
      <c r="F574" t="s">
        <v>1778</v>
      </c>
      <c r="G574" t="s">
        <v>1779</v>
      </c>
      <c r="H574" t="s">
        <v>2683</v>
      </c>
      <c r="I574" t="s">
        <v>2691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</row>
    <row r="575" spans="1:28" x14ac:dyDescent="0.25">
      <c r="A575">
        <v>897</v>
      </c>
      <c r="B575">
        <v>0.1085106382978723</v>
      </c>
      <c r="C575">
        <v>3.6144578313253017E-2</v>
      </c>
      <c r="D575">
        <v>2.1000000000000001E-2</v>
      </c>
      <c r="E575">
        <v>2.7511591962905719E-2</v>
      </c>
      <c r="F575" t="s">
        <v>1780</v>
      </c>
      <c r="G575" t="s">
        <v>1781</v>
      </c>
      <c r="H575" t="s">
        <v>2683</v>
      </c>
      <c r="I575" t="s">
        <v>2691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</row>
    <row r="576" spans="1:28" x14ac:dyDescent="0.25">
      <c r="A576">
        <v>899</v>
      </c>
      <c r="B576">
        <v>0.35851063829787227</v>
      </c>
      <c r="C576">
        <v>9.5180722891566275E-2</v>
      </c>
      <c r="D576">
        <v>0.11799999999999999</v>
      </c>
      <c r="E576">
        <v>7.7279752704791344E-2</v>
      </c>
      <c r="F576" t="s">
        <v>1784</v>
      </c>
      <c r="G576" t="s">
        <v>1785</v>
      </c>
      <c r="H576" t="s">
        <v>2683</v>
      </c>
      <c r="I576" t="s">
        <v>2691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</row>
    <row r="577" spans="1:28" x14ac:dyDescent="0.25">
      <c r="A577">
        <v>900</v>
      </c>
      <c r="B577">
        <v>0.1117021276595745</v>
      </c>
      <c r="C577">
        <v>7.1084337349397592E-2</v>
      </c>
      <c r="D577">
        <v>4.9000000000000002E-2</v>
      </c>
      <c r="E577">
        <v>1.452859350850077E-2</v>
      </c>
      <c r="F577" t="s">
        <v>1786</v>
      </c>
      <c r="G577" t="s">
        <v>1787</v>
      </c>
      <c r="H577" t="s">
        <v>2683</v>
      </c>
      <c r="I577" t="s">
        <v>2691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</row>
    <row r="578" spans="1:28" x14ac:dyDescent="0.25">
      <c r="A578">
        <v>901</v>
      </c>
      <c r="B578">
        <v>0.2021276595744681</v>
      </c>
      <c r="C578">
        <v>2.4096385542168681E-3</v>
      </c>
      <c r="D578">
        <v>4.0000000000000001E-3</v>
      </c>
      <c r="E578">
        <v>7.1870170015455953E-2</v>
      </c>
      <c r="F578" t="s">
        <v>1788</v>
      </c>
      <c r="G578" t="s">
        <v>1789</v>
      </c>
      <c r="H578" t="s">
        <v>2683</v>
      </c>
      <c r="I578" t="s">
        <v>2691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</row>
    <row r="579" spans="1:28" x14ac:dyDescent="0.25">
      <c r="A579">
        <v>903</v>
      </c>
      <c r="B579">
        <v>0.95957446808510638</v>
      </c>
      <c r="C579">
        <v>0</v>
      </c>
      <c r="D579">
        <v>1</v>
      </c>
      <c r="E579">
        <v>0</v>
      </c>
      <c r="F579" t="s">
        <v>1792</v>
      </c>
      <c r="G579" t="s">
        <v>1793</v>
      </c>
      <c r="H579" t="s">
        <v>2697</v>
      </c>
      <c r="I579" t="s">
        <v>2699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25">
      <c r="A580">
        <v>904</v>
      </c>
      <c r="B580">
        <v>0.95957446808510638</v>
      </c>
      <c r="C580">
        <v>0</v>
      </c>
      <c r="D580">
        <v>1</v>
      </c>
      <c r="E580">
        <v>0</v>
      </c>
      <c r="F580" t="s">
        <v>1794</v>
      </c>
      <c r="G580" t="s">
        <v>1795</v>
      </c>
      <c r="H580" t="s">
        <v>2697</v>
      </c>
      <c r="I580" t="s">
        <v>2699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5">
      <c r="A581">
        <v>905</v>
      </c>
      <c r="B581">
        <v>0.93936170212765957</v>
      </c>
      <c r="C581">
        <v>0</v>
      </c>
      <c r="D581">
        <v>0.99900000000000011</v>
      </c>
      <c r="E581">
        <v>0</v>
      </c>
      <c r="F581" t="s">
        <v>1796</v>
      </c>
      <c r="G581" t="s">
        <v>1797</v>
      </c>
      <c r="H581" t="s">
        <v>2697</v>
      </c>
      <c r="I581" t="s">
        <v>2699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25">
      <c r="A582">
        <v>906</v>
      </c>
      <c r="B582">
        <v>0.92553191489361708</v>
      </c>
      <c r="C582">
        <v>1.204819277108434E-2</v>
      </c>
      <c r="D582">
        <v>0.98</v>
      </c>
      <c r="E582">
        <v>0</v>
      </c>
      <c r="F582" t="s">
        <v>1798</v>
      </c>
      <c r="G582" t="s">
        <v>1799</v>
      </c>
      <c r="H582" t="s">
        <v>2697</v>
      </c>
      <c r="I582" t="s">
        <v>2686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25">
      <c r="A583">
        <v>907</v>
      </c>
      <c r="B583">
        <v>0.95957446808510638</v>
      </c>
      <c r="C583">
        <v>0</v>
      </c>
      <c r="D583">
        <v>1</v>
      </c>
      <c r="E583">
        <v>0</v>
      </c>
      <c r="F583" t="s">
        <v>1800</v>
      </c>
      <c r="G583" t="s">
        <v>1801</v>
      </c>
      <c r="H583" t="s">
        <v>2697</v>
      </c>
      <c r="I583" t="s">
        <v>2686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908</v>
      </c>
      <c r="B584">
        <v>0.95957446808510638</v>
      </c>
      <c r="C584">
        <v>0</v>
      </c>
      <c r="D584">
        <v>1</v>
      </c>
      <c r="E584">
        <v>0</v>
      </c>
      <c r="F584" t="s">
        <v>1802</v>
      </c>
      <c r="G584" t="s">
        <v>1803</v>
      </c>
      <c r="H584" t="s">
        <v>2697</v>
      </c>
      <c r="I584" t="s">
        <v>2699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909</v>
      </c>
      <c r="B585">
        <v>0.94042553191489364</v>
      </c>
      <c r="C585">
        <v>0</v>
      </c>
      <c r="D585">
        <v>1</v>
      </c>
      <c r="E585">
        <v>0</v>
      </c>
      <c r="F585" t="s">
        <v>1804</v>
      </c>
      <c r="G585" t="s">
        <v>1805</v>
      </c>
      <c r="H585" t="s">
        <v>2697</v>
      </c>
      <c r="I585" t="s">
        <v>2699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>
        <v>910</v>
      </c>
      <c r="B586">
        <v>0.36702127659574468</v>
      </c>
      <c r="C586">
        <v>0.10240963855421691</v>
      </c>
      <c r="D586">
        <v>2.1999999999999999E-2</v>
      </c>
      <c r="E586">
        <v>0.12055641421947449</v>
      </c>
      <c r="F586" t="s">
        <v>1806</v>
      </c>
      <c r="G586" t="s">
        <v>1807</v>
      </c>
      <c r="H586" t="s">
        <v>2683</v>
      </c>
      <c r="I586" t="s">
        <v>2691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</row>
    <row r="587" spans="1:28" x14ac:dyDescent="0.25">
      <c r="A587">
        <v>911</v>
      </c>
      <c r="B587">
        <v>0.23191489361702131</v>
      </c>
      <c r="C587">
        <v>9.6385542168674707E-3</v>
      </c>
      <c r="D587">
        <v>0.16</v>
      </c>
      <c r="E587">
        <v>7.7588871715610519E-2</v>
      </c>
      <c r="F587" t="s">
        <v>1808</v>
      </c>
      <c r="G587" t="s">
        <v>1809</v>
      </c>
      <c r="H587" t="s">
        <v>2683</v>
      </c>
      <c r="I587" t="s">
        <v>2691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</row>
    <row r="588" spans="1:28" x14ac:dyDescent="0.25">
      <c r="A588">
        <v>912</v>
      </c>
      <c r="B588">
        <v>0.13617021276595739</v>
      </c>
      <c r="C588">
        <v>9.6385542168674704E-2</v>
      </c>
      <c r="D588">
        <v>0.1</v>
      </c>
      <c r="E588">
        <v>2.0092735703245751E-3</v>
      </c>
      <c r="F588" t="s">
        <v>1810</v>
      </c>
      <c r="G588" t="s">
        <v>1811</v>
      </c>
      <c r="H588" t="s">
        <v>2683</v>
      </c>
      <c r="I588" t="s">
        <v>2687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5">
      <c r="A589">
        <v>913</v>
      </c>
      <c r="B589">
        <v>3.5106382978723413E-2</v>
      </c>
      <c r="C589">
        <v>2.7710843373493971E-2</v>
      </c>
      <c r="D589">
        <v>5.0000000000000001E-3</v>
      </c>
      <c r="E589">
        <v>7.2642967542503869E-3</v>
      </c>
      <c r="F589" t="s">
        <v>1812</v>
      </c>
      <c r="G589" t="s">
        <v>1813</v>
      </c>
      <c r="H589" t="s">
        <v>2684</v>
      </c>
      <c r="I589" t="s">
        <v>2685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>
        <v>916</v>
      </c>
      <c r="B590">
        <v>5.5319148936170223E-2</v>
      </c>
      <c r="C590">
        <v>4.8192771084337354E-3</v>
      </c>
      <c r="D590">
        <v>2E-3</v>
      </c>
      <c r="E590">
        <v>2.117465224111283E-2</v>
      </c>
      <c r="F590" t="s">
        <v>1817</v>
      </c>
      <c r="G590" t="s">
        <v>1818</v>
      </c>
      <c r="H590" t="s">
        <v>2683</v>
      </c>
      <c r="I590" t="s">
        <v>2686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25">
      <c r="A591">
        <v>917</v>
      </c>
      <c r="B591">
        <v>6.1702127659574467E-2</v>
      </c>
      <c r="C591">
        <v>8.4337349397590362E-3</v>
      </c>
      <c r="D591">
        <v>2E-3</v>
      </c>
      <c r="E591">
        <v>2.05564142194745E-2</v>
      </c>
      <c r="F591" t="s">
        <v>1819</v>
      </c>
      <c r="G591" t="s">
        <v>1820</v>
      </c>
      <c r="H591" t="s">
        <v>2683</v>
      </c>
      <c r="I591" t="s">
        <v>2686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25">
      <c r="A592">
        <v>918</v>
      </c>
      <c r="B592">
        <v>0.175531914893617</v>
      </c>
      <c r="C592">
        <v>5.0602409638554217E-2</v>
      </c>
      <c r="D592">
        <v>1E-3</v>
      </c>
      <c r="E592">
        <v>5.6723338485316847E-2</v>
      </c>
      <c r="F592" t="s">
        <v>1821</v>
      </c>
      <c r="G592" t="s">
        <v>1822</v>
      </c>
      <c r="H592" t="s">
        <v>2683</v>
      </c>
      <c r="I592" t="s">
        <v>2690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</row>
    <row r="593" spans="1:28" x14ac:dyDescent="0.25">
      <c r="A593">
        <v>921</v>
      </c>
      <c r="B593">
        <v>0.19148936170212769</v>
      </c>
      <c r="C593">
        <v>3.6144578313253017E-2</v>
      </c>
      <c r="D593">
        <v>3.0000000000000001E-3</v>
      </c>
      <c r="E593">
        <v>6.1514683153013908E-2</v>
      </c>
      <c r="F593" t="s">
        <v>1827</v>
      </c>
      <c r="G593" t="s">
        <v>1828</v>
      </c>
      <c r="H593" t="s">
        <v>2683</v>
      </c>
      <c r="I593" t="s">
        <v>2691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</row>
    <row r="594" spans="1:28" x14ac:dyDescent="0.25">
      <c r="A594">
        <v>922</v>
      </c>
      <c r="B594">
        <v>0.15851063829787229</v>
      </c>
      <c r="C594">
        <v>3.3734939759036138E-2</v>
      </c>
      <c r="D594">
        <v>4.0000000000000001E-3</v>
      </c>
      <c r="E594">
        <v>5.0231839258114371E-2</v>
      </c>
      <c r="F594" t="s">
        <v>1829</v>
      </c>
      <c r="G594" t="s">
        <v>1830</v>
      </c>
      <c r="H594" t="s">
        <v>2683</v>
      </c>
      <c r="I594" t="s">
        <v>2691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</row>
    <row r="595" spans="1:28" x14ac:dyDescent="0.25">
      <c r="A595">
        <v>923</v>
      </c>
      <c r="B595">
        <v>0.20425531914893619</v>
      </c>
      <c r="C595">
        <v>4.5783132530120479E-2</v>
      </c>
      <c r="D595">
        <v>8.8000000000000009E-2</v>
      </c>
      <c r="E595">
        <v>3.7712519319938173E-2</v>
      </c>
      <c r="F595" t="s">
        <v>1831</v>
      </c>
      <c r="G595" t="s">
        <v>1832</v>
      </c>
      <c r="H595" t="s">
        <v>2683</v>
      </c>
      <c r="I595" t="s">
        <v>2691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</row>
    <row r="596" spans="1:28" x14ac:dyDescent="0.25">
      <c r="A596">
        <v>925</v>
      </c>
      <c r="B596">
        <v>0.2021276595744681</v>
      </c>
      <c r="C596">
        <v>5.6626506024096392E-2</v>
      </c>
      <c r="D596">
        <v>7.4999999999999997E-2</v>
      </c>
      <c r="E596">
        <v>4.0185471406491501E-2</v>
      </c>
      <c r="F596" t="s">
        <v>1835</v>
      </c>
      <c r="G596" t="s">
        <v>1836</v>
      </c>
      <c r="H596" t="s">
        <v>2683</v>
      </c>
      <c r="I596" t="s">
        <v>2691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</row>
    <row r="597" spans="1:28" x14ac:dyDescent="0.25">
      <c r="A597">
        <v>926</v>
      </c>
      <c r="B597">
        <v>0.37978723404255321</v>
      </c>
      <c r="C597">
        <v>0.10602409638554219</v>
      </c>
      <c r="D597">
        <v>5.0000000000000001E-3</v>
      </c>
      <c r="E597">
        <v>0.1228748068006182</v>
      </c>
      <c r="F597" t="s">
        <v>1837</v>
      </c>
      <c r="G597" t="s">
        <v>1838</v>
      </c>
      <c r="H597" t="s">
        <v>2683</v>
      </c>
      <c r="I597" t="s">
        <v>2691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</row>
    <row r="598" spans="1:28" x14ac:dyDescent="0.25">
      <c r="A598">
        <v>927</v>
      </c>
      <c r="B598">
        <v>0.22021276595744679</v>
      </c>
      <c r="C598">
        <v>4.2168674698795178E-2</v>
      </c>
      <c r="D598">
        <v>0.05</v>
      </c>
      <c r="E598">
        <v>5.7341576506955177E-2</v>
      </c>
      <c r="F598" t="s">
        <v>1839</v>
      </c>
      <c r="G598" t="s">
        <v>1840</v>
      </c>
      <c r="H598" t="s">
        <v>2683</v>
      </c>
      <c r="I598" t="s">
        <v>2691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</row>
    <row r="599" spans="1:28" x14ac:dyDescent="0.25">
      <c r="A599">
        <v>928</v>
      </c>
      <c r="B599">
        <v>0.16489361702127661</v>
      </c>
      <c r="C599">
        <v>0.1240963855421687</v>
      </c>
      <c r="D599">
        <v>4.2000000000000003E-2</v>
      </c>
      <c r="E599">
        <v>2.952086553323029E-2</v>
      </c>
      <c r="F599" t="s">
        <v>1841</v>
      </c>
      <c r="G599" t="s">
        <v>1842</v>
      </c>
      <c r="H599" t="s">
        <v>2683</v>
      </c>
      <c r="I599" t="s">
        <v>2691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</row>
    <row r="600" spans="1:28" x14ac:dyDescent="0.25">
      <c r="A600">
        <v>929</v>
      </c>
      <c r="B600">
        <v>0.1276595744680851</v>
      </c>
      <c r="C600">
        <v>2.891566265060241E-2</v>
      </c>
      <c r="D600">
        <v>4.0000000000000001E-3</v>
      </c>
      <c r="E600">
        <v>4.0185471406491501E-2</v>
      </c>
      <c r="F600" t="s">
        <v>1843</v>
      </c>
      <c r="G600" t="s">
        <v>1844</v>
      </c>
      <c r="H600" t="s">
        <v>2683</v>
      </c>
      <c r="I600" t="s">
        <v>2691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</row>
    <row r="601" spans="1:28" x14ac:dyDescent="0.25">
      <c r="A601">
        <v>930</v>
      </c>
      <c r="B601">
        <v>0.26946808510638298</v>
      </c>
      <c r="C601">
        <v>5.1807228915662647E-2</v>
      </c>
      <c r="D601">
        <v>0.21</v>
      </c>
      <c r="E601">
        <v>1.8083462132921169E-2</v>
      </c>
      <c r="F601" t="s">
        <v>1845</v>
      </c>
      <c r="G601" t="s">
        <v>1846</v>
      </c>
      <c r="H601" t="s">
        <v>2683</v>
      </c>
      <c r="I601" t="s">
        <v>2691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</row>
    <row r="602" spans="1:28" x14ac:dyDescent="0.25">
      <c r="A602">
        <v>932</v>
      </c>
      <c r="B602">
        <v>0.63829787234042556</v>
      </c>
      <c r="C602">
        <v>0.16867469879518071</v>
      </c>
      <c r="D602">
        <v>0.41699999999999998</v>
      </c>
      <c r="E602">
        <v>6.4914992272024727E-2</v>
      </c>
      <c r="F602" t="s">
        <v>1849</v>
      </c>
      <c r="G602" t="s">
        <v>1850</v>
      </c>
      <c r="H602" t="s">
        <v>2684</v>
      </c>
      <c r="I602" t="s">
        <v>2687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>
        <v>933</v>
      </c>
      <c r="B603">
        <v>0.41170212765957448</v>
      </c>
      <c r="C603">
        <v>6.3855421686746988E-2</v>
      </c>
      <c r="D603">
        <v>7.5999999999999998E-2</v>
      </c>
      <c r="E603">
        <v>0.1148377125193199</v>
      </c>
      <c r="F603" t="s">
        <v>1851</v>
      </c>
      <c r="G603" t="s">
        <v>1852</v>
      </c>
      <c r="H603" t="s">
        <v>2683</v>
      </c>
      <c r="I603" t="s">
        <v>2691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</row>
    <row r="604" spans="1:28" x14ac:dyDescent="0.25">
      <c r="A604">
        <v>935</v>
      </c>
      <c r="B604">
        <v>0.19893617021276599</v>
      </c>
      <c r="C604">
        <v>0.15662650602409639</v>
      </c>
      <c r="D604">
        <v>0.06</v>
      </c>
      <c r="E604">
        <v>3.4930448222565691E-2</v>
      </c>
      <c r="F604" t="s">
        <v>1855</v>
      </c>
      <c r="G604" t="s">
        <v>1856</v>
      </c>
      <c r="H604" t="s">
        <v>2688</v>
      </c>
      <c r="I604" t="s">
        <v>2687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25">
      <c r="A605">
        <v>936</v>
      </c>
      <c r="B605">
        <v>0.4</v>
      </c>
      <c r="C605">
        <v>0.17951807228915659</v>
      </c>
      <c r="D605">
        <v>0.06</v>
      </c>
      <c r="E605">
        <v>0.1015455950540958</v>
      </c>
      <c r="F605" t="s">
        <v>1857</v>
      </c>
      <c r="G605" t="s">
        <v>1858</v>
      </c>
      <c r="H605" t="s">
        <v>2683</v>
      </c>
      <c r="I605" t="s">
        <v>2687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25">
      <c r="A606">
        <v>940</v>
      </c>
      <c r="B606">
        <v>0.37340425531914889</v>
      </c>
      <c r="C606">
        <v>0.13253012048192769</v>
      </c>
      <c r="D606">
        <v>5.2999999999999999E-2</v>
      </c>
      <c r="E606">
        <v>0.101854714064915</v>
      </c>
      <c r="F606" t="s">
        <v>1865</v>
      </c>
      <c r="G606" t="s">
        <v>1866</v>
      </c>
      <c r="H606" t="s">
        <v>2688</v>
      </c>
      <c r="I606" t="s">
        <v>2687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25">
      <c r="A607">
        <v>941</v>
      </c>
      <c r="B607">
        <v>0.1404255319148936</v>
      </c>
      <c r="C607">
        <v>0.15301204819277109</v>
      </c>
      <c r="D607">
        <v>3.7999999999999999E-2</v>
      </c>
      <c r="E607">
        <v>2.117465224111283E-2</v>
      </c>
      <c r="F607" t="s">
        <v>1867</v>
      </c>
      <c r="G607" t="s">
        <v>1868</v>
      </c>
      <c r="H607" t="s">
        <v>2683</v>
      </c>
      <c r="I607" t="s">
        <v>2687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25">
      <c r="A608">
        <v>942</v>
      </c>
      <c r="B608">
        <v>0.19893617021276599</v>
      </c>
      <c r="C608">
        <v>0.15662650602409639</v>
      </c>
      <c r="D608">
        <v>0.06</v>
      </c>
      <c r="E608">
        <v>3.4930448222565691E-2</v>
      </c>
      <c r="F608" t="s">
        <v>1869</v>
      </c>
      <c r="G608" t="s">
        <v>1870</v>
      </c>
      <c r="H608" t="s">
        <v>2688</v>
      </c>
      <c r="I608" t="s">
        <v>2687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25">
      <c r="A609">
        <v>945</v>
      </c>
      <c r="B609">
        <v>4.2553191489361701E-2</v>
      </c>
      <c r="C609">
        <v>2.4096385542168679E-2</v>
      </c>
      <c r="D609">
        <v>0.02</v>
      </c>
      <c r="E609">
        <v>4.6367851622874804E-3</v>
      </c>
      <c r="F609" t="s">
        <v>1874</v>
      </c>
      <c r="G609" t="s">
        <v>1875</v>
      </c>
      <c r="H609" t="s">
        <v>2696</v>
      </c>
      <c r="I609" t="s">
        <v>2687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25">
      <c r="A610">
        <v>946</v>
      </c>
      <c r="B610">
        <v>8.085106382978724E-2</v>
      </c>
      <c r="C610">
        <v>6.2650602409638559E-2</v>
      </c>
      <c r="D610">
        <v>1.7999999999999999E-2</v>
      </c>
      <c r="E610">
        <v>1.6383307573415759E-2</v>
      </c>
      <c r="F610" t="s">
        <v>1876</v>
      </c>
      <c r="G610" t="s">
        <v>1877</v>
      </c>
      <c r="H610" t="s">
        <v>2683</v>
      </c>
      <c r="I610" t="s">
        <v>2687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25">
      <c r="A611">
        <v>949</v>
      </c>
      <c r="B611">
        <v>0.1180851063829787</v>
      </c>
      <c r="C611">
        <v>3.6144578313253009E-3</v>
      </c>
      <c r="D611">
        <v>2.7E-2</v>
      </c>
      <c r="E611">
        <v>3.2766615146831532E-2</v>
      </c>
      <c r="F611" t="s">
        <v>1882</v>
      </c>
      <c r="G611" t="s">
        <v>1883</v>
      </c>
      <c r="H611" t="s">
        <v>2683</v>
      </c>
      <c r="I611" t="s">
        <v>2690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</row>
    <row r="612" spans="1:28" x14ac:dyDescent="0.25">
      <c r="A612">
        <v>953</v>
      </c>
      <c r="B612">
        <v>0.37340425531914889</v>
      </c>
      <c r="C612">
        <v>1.084337349397591E-2</v>
      </c>
      <c r="D612">
        <v>9.0000000000000011E-3</v>
      </c>
      <c r="E612">
        <v>0.1312210200927357</v>
      </c>
      <c r="F612" t="s">
        <v>1889</v>
      </c>
      <c r="G612" t="s">
        <v>1890</v>
      </c>
      <c r="H612" t="s">
        <v>2683</v>
      </c>
      <c r="I612" t="s">
        <v>2690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</row>
    <row r="613" spans="1:28" x14ac:dyDescent="0.25">
      <c r="A613">
        <v>954</v>
      </c>
      <c r="B613">
        <v>0.36382978723404258</v>
      </c>
      <c r="C613">
        <v>2.7710843373493971E-2</v>
      </c>
      <c r="D613">
        <v>1E-3</v>
      </c>
      <c r="E613">
        <v>0.12843894899536321</v>
      </c>
      <c r="F613" t="s">
        <v>1891</v>
      </c>
      <c r="G613" t="s">
        <v>1890</v>
      </c>
      <c r="H613" t="s">
        <v>2683</v>
      </c>
      <c r="I613" t="s">
        <v>2690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</row>
    <row r="614" spans="1:28" x14ac:dyDescent="0.25">
      <c r="A614">
        <v>956</v>
      </c>
      <c r="B614">
        <v>0.52553191489361706</v>
      </c>
      <c r="C614">
        <v>9.036144578313253E-2</v>
      </c>
      <c r="D614">
        <v>0.36399999999999999</v>
      </c>
      <c r="E614">
        <v>6.1978361669242657E-2</v>
      </c>
      <c r="F614" t="s">
        <v>1893</v>
      </c>
      <c r="G614" t="s">
        <v>1894</v>
      </c>
      <c r="H614" t="s">
        <v>2688</v>
      </c>
      <c r="I614" t="s">
        <v>2692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>
        <v>957</v>
      </c>
      <c r="B615">
        <v>4.4680851063829789E-2</v>
      </c>
      <c r="C615">
        <v>3.6144578313253009E-3</v>
      </c>
      <c r="D615">
        <v>2E-3</v>
      </c>
      <c r="E615">
        <v>1.6846986089644508E-2</v>
      </c>
      <c r="F615" t="s">
        <v>1895</v>
      </c>
      <c r="G615" t="s">
        <v>1896</v>
      </c>
      <c r="H615" t="s">
        <v>2688</v>
      </c>
      <c r="I615" t="s">
        <v>2692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25">
      <c r="A616">
        <v>960</v>
      </c>
      <c r="B616">
        <v>6.4893617021276592E-2</v>
      </c>
      <c r="C616">
        <v>2.4096385542168681E-3</v>
      </c>
      <c r="D616">
        <v>1E-3</v>
      </c>
      <c r="E616">
        <v>2.302936630602782E-2</v>
      </c>
      <c r="F616" t="s">
        <v>1901</v>
      </c>
      <c r="G616" t="s">
        <v>1902</v>
      </c>
      <c r="H616" t="s">
        <v>2683</v>
      </c>
      <c r="I616" t="s">
        <v>2690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</row>
    <row r="617" spans="1:28" x14ac:dyDescent="0.25">
      <c r="A617">
        <v>965</v>
      </c>
      <c r="B617">
        <v>0.32659574468085112</v>
      </c>
      <c r="C617">
        <v>5.4216867469879519E-2</v>
      </c>
      <c r="D617">
        <v>0.13300000000000001</v>
      </c>
      <c r="E617">
        <v>6.553323029366305E-2</v>
      </c>
      <c r="F617" t="s">
        <v>1911</v>
      </c>
      <c r="G617" t="s">
        <v>1912</v>
      </c>
      <c r="H617" t="s">
        <v>2684</v>
      </c>
      <c r="I617" t="s">
        <v>2691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</row>
    <row r="618" spans="1:28" x14ac:dyDescent="0.25">
      <c r="A618">
        <v>968</v>
      </c>
      <c r="B618">
        <v>0.1659574468085106</v>
      </c>
      <c r="C618">
        <v>0.33734939759036148</v>
      </c>
      <c r="D618">
        <v>0.04</v>
      </c>
      <c r="E618">
        <v>0</v>
      </c>
      <c r="F618" t="s">
        <v>1917</v>
      </c>
      <c r="G618" t="s">
        <v>1918</v>
      </c>
      <c r="H618" t="s">
        <v>2688</v>
      </c>
      <c r="I618" t="s">
        <v>2689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25">
      <c r="A619">
        <v>969</v>
      </c>
      <c r="B619">
        <v>7.9787234042553196E-2</v>
      </c>
      <c r="C619">
        <v>3.012048192771084E-2</v>
      </c>
      <c r="D619">
        <v>2.8000000000000001E-2</v>
      </c>
      <c r="E619">
        <v>1.5455950540958271E-2</v>
      </c>
      <c r="F619" t="s">
        <v>1919</v>
      </c>
      <c r="G619" t="s">
        <v>1920</v>
      </c>
      <c r="H619" t="s">
        <v>2683</v>
      </c>
      <c r="I619" t="s">
        <v>2685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</row>
    <row r="620" spans="1:28" x14ac:dyDescent="0.25">
      <c r="A620">
        <v>980</v>
      </c>
      <c r="B620">
        <v>0.29255319148936171</v>
      </c>
      <c r="C620">
        <v>0.1397590361445783</v>
      </c>
      <c r="D620">
        <v>0.11600000000000001</v>
      </c>
      <c r="E620">
        <v>4.667697063369397E-2</v>
      </c>
      <c r="F620" t="s">
        <v>1941</v>
      </c>
      <c r="G620" t="s">
        <v>1942</v>
      </c>
      <c r="H620" t="s">
        <v>2683</v>
      </c>
      <c r="I620" t="s">
        <v>2686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25">
      <c r="A621">
        <v>981</v>
      </c>
      <c r="B621">
        <v>2.7659574468085112E-2</v>
      </c>
      <c r="C621">
        <v>2.5301204819277109E-2</v>
      </c>
      <c r="D621">
        <v>1E-3</v>
      </c>
      <c r="E621">
        <v>7.573415765069552E-3</v>
      </c>
      <c r="F621" t="s">
        <v>1943</v>
      </c>
      <c r="G621" t="s">
        <v>1944</v>
      </c>
      <c r="H621" t="s">
        <v>2683</v>
      </c>
      <c r="I621" t="s">
        <v>2686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25">
      <c r="A622">
        <v>982</v>
      </c>
      <c r="B622">
        <v>4.8936170212765959E-2</v>
      </c>
      <c r="C622">
        <v>6.024096385542169E-3</v>
      </c>
      <c r="D622">
        <v>0.12</v>
      </c>
      <c r="E622">
        <v>1.885625965996909E-2</v>
      </c>
      <c r="F622" t="s">
        <v>1945</v>
      </c>
      <c r="G622" t="s">
        <v>1946</v>
      </c>
      <c r="H622" t="s">
        <v>2683</v>
      </c>
      <c r="I622" t="s">
        <v>2686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>
        <v>983</v>
      </c>
      <c r="B623">
        <v>8.085106382978724E-2</v>
      </c>
      <c r="C623">
        <v>6.2650602409638559E-2</v>
      </c>
      <c r="D623">
        <v>1.7999999999999999E-2</v>
      </c>
      <c r="E623">
        <v>1.6383307573415759E-2</v>
      </c>
      <c r="F623" t="s">
        <v>1947</v>
      </c>
      <c r="G623" t="s">
        <v>1948</v>
      </c>
      <c r="H623" t="s">
        <v>2683</v>
      </c>
      <c r="I623" t="s">
        <v>2687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x14ac:dyDescent="0.25">
      <c r="A624">
        <v>984</v>
      </c>
      <c r="B624">
        <v>0.42553191489361702</v>
      </c>
      <c r="C624">
        <v>0</v>
      </c>
      <c r="D624">
        <v>0</v>
      </c>
      <c r="E624">
        <v>0.14683153013910349</v>
      </c>
      <c r="F624" t="s">
        <v>1949</v>
      </c>
      <c r="G624" t="s">
        <v>1950</v>
      </c>
      <c r="H624" t="s">
        <v>2688</v>
      </c>
      <c r="I624" t="s">
        <v>2695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987</v>
      </c>
      <c r="B625">
        <v>0.17127659574468079</v>
      </c>
      <c r="C625">
        <v>0.24096385542168669</v>
      </c>
      <c r="D625">
        <v>2E-3</v>
      </c>
      <c r="E625">
        <v>3.7094281298299843E-2</v>
      </c>
      <c r="F625" t="s">
        <v>1955</v>
      </c>
      <c r="G625" t="s">
        <v>1956</v>
      </c>
      <c r="H625" t="s">
        <v>2697</v>
      </c>
      <c r="I625" t="s">
        <v>2689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25">
      <c r="A626">
        <v>993</v>
      </c>
      <c r="B626">
        <v>0.1670212765957447</v>
      </c>
      <c r="C626">
        <v>0.33734939759036148</v>
      </c>
      <c r="D626">
        <v>4.2000000000000003E-2</v>
      </c>
      <c r="E626">
        <v>0</v>
      </c>
      <c r="F626" t="s">
        <v>1967</v>
      </c>
      <c r="G626" t="s">
        <v>1968</v>
      </c>
      <c r="H626" t="s">
        <v>2688</v>
      </c>
      <c r="I626" t="s">
        <v>2689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>
        <v>994</v>
      </c>
      <c r="B627">
        <v>0.18085106382978719</v>
      </c>
      <c r="C627">
        <v>0.37349397590361449</v>
      </c>
      <c r="D627">
        <v>4.2000000000000003E-2</v>
      </c>
      <c r="E627">
        <v>0</v>
      </c>
      <c r="F627" t="s">
        <v>1969</v>
      </c>
      <c r="G627" t="s">
        <v>1970</v>
      </c>
      <c r="H627" t="s">
        <v>2688</v>
      </c>
      <c r="I627" t="s">
        <v>2689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x14ac:dyDescent="0.25">
      <c r="A628">
        <v>995</v>
      </c>
      <c r="B628">
        <v>0.1627659574468085</v>
      </c>
      <c r="C628">
        <v>0.36144578313253012</v>
      </c>
      <c r="D628">
        <v>2.8000000000000001E-2</v>
      </c>
      <c r="E628">
        <v>0</v>
      </c>
      <c r="F628" t="s">
        <v>1971</v>
      </c>
      <c r="G628" t="s">
        <v>1972</v>
      </c>
      <c r="H628" t="s">
        <v>2688</v>
      </c>
      <c r="I628" t="s">
        <v>2689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x14ac:dyDescent="0.25">
      <c r="A629">
        <v>996</v>
      </c>
      <c r="B629">
        <v>0.15106382978723401</v>
      </c>
      <c r="C629">
        <v>0.3253012048192771</v>
      </c>
      <c r="D629">
        <v>0.03</v>
      </c>
      <c r="E629">
        <v>0</v>
      </c>
      <c r="F629" t="s">
        <v>1973</v>
      </c>
      <c r="G629" t="s">
        <v>1974</v>
      </c>
      <c r="H629" t="s">
        <v>2688</v>
      </c>
      <c r="I629" t="s">
        <v>2689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25">
      <c r="A630">
        <v>998</v>
      </c>
      <c r="B630">
        <v>0.1053191489361702</v>
      </c>
      <c r="C630">
        <v>1.445783132530121E-2</v>
      </c>
      <c r="D630">
        <v>2E-3</v>
      </c>
      <c r="E630">
        <v>3.9876352395672332E-2</v>
      </c>
      <c r="F630" t="s">
        <v>1977</v>
      </c>
      <c r="G630" t="s">
        <v>1978</v>
      </c>
      <c r="H630" t="s">
        <v>2683</v>
      </c>
      <c r="I630" t="s">
        <v>2686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25">
      <c r="A631">
        <v>999</v>
      </c>
      <c r="B631">
        <v>7.2340425531914901E-2</v>
      </c>
      <c r="C631">
        <v>1.566265060240964E-2</v>
      </c>
      <c r="D631">
        <v>2E-3</v>
      </c>
      <c r="E631">
        <v>2.658423493044822E-2</v>
      </c>
      <c r="F631" t="s">
        <v>1979</v>
      </c>
      <c r="G631" t="s">
        <v>1980</v>
      </c>
      <c r="H631" t="s">
        <v>2683</v>
      </c>
      <c r="I631" t="s">
        <v>2686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x14ac:dyDescent="0.25">
      <c r="A632">
        <v>1000</v>
      </c>
      <c r="B632">
        <v>0.1276595744680851</v>
      </c>
      <c r="C632">
        <v>1.3253012048192771E-2</v>
      </c>
      <c r="D632">
        <v>2E-3</v>
      </c>
      <c r="E632">
        <v>4.1421947449768161E-2</v>
      </c>
      <c r="F632" t="s">
        <v>1981</v>
      </c>
      <c r="G632" t="s">
        <v>1982</v>
      </c>
      <c r="H632" t="s">
        <v>2683</v>
      </c>
      <c r="I632" t="s">
        <v>2689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25">
      <c r="A633">
        <v>1001</v>
      </c>
      <c r="B633">
        <v>0.1351063829787234</v>
      </c>
      <c r="C633">
        <v>2.5301204819277109E-2</v>
      </c>
      <c r="D633">
        <v>3.0000000000000001E-3</v>
      </c>
      <c r="E633">
        <v>4.8068006182380218E-2</v>
      </c>
      <c r="F633" t="s">
        <v>1983</v>
      </c>
      <c r="G633" t="s">
        <v>1984</v>
      </c>
      <c r="H633" t="s">
        <v>2683</v>
      </c>
      <c r="I633" t="s">
        <v>2686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25">
      <c r="A634">
        <v>1003</v>
      </c>
      <c r="B634">
        <v>0.1223404255319149</v>
      </c>
      <c r="C634">
        <v>2.289156626506024E-2</v>
      </c>
      <c r="D634">
        <v>2E-3</v>
      </c>
      <c r="E634">
        <v>4.312210200927357E-2</v>
      </c>
      <c r="F634" t="s">
        <v>1987</v>
      </c>
      <c r="G634" t="s">
        <v>1988</v>
      </c>
      <c r="H634" t="s">
        <v>2683</v>
      </c>
      <c r="I634" t="s">
        <v>2686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25">
      <c r="A635">
        <v>1004</v>
      </c>
      <c r="B635">
        <v>0.12446808510638301</v>
      </c>
      <c r="C635">
        <v>2.4096385542168679E-2</v>
      </c>
      <c r="D635">
        <v>3.0000000000000001E-3</v>
      </c>
      <c r="E635">
        <v>4.4667697063369392E-2</v>
      </c>
      <c r="F635" t="s">
        <v>1989</v>
      </c>
      <c r="G635" t="s">
        <v>1990</v>
      </c>
      <c r="H635" t="s">
        <v>2683</v>
      </c>
      <c r="I635" t="s">
        <v>2686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25">
      <c r="A636">
        <v>1005</v>
      </c>
      <c r="B636">
        <v>0.1063829787234043</v>
      </c>
      <c r="C636">
        <v>1.6867469879518069E-2</v>
      </c>
      <c r="D636">
        <v>5.0000000000000001E-3</v>
      </c>
      <c r="E636">
        <v>3.6476043276661513E-2</v>
      </c>
      <c r="F636" t="s">
        <v>1991</v>
      </c>
      <c r="G636" t="s">
        <v>1992</v>
      </c>
      <c r="H636" t="s">
        <v>2683</v>
      </c>
      <c r="I636" t="s">
        <v>2686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25">
      <c r="A637">
        <v>1006</v>
      </c>
      <c r="B637">
        <v>0.1159574468085106</v>
      </c>
      <c r="C637">
        <v>9.6385542168674707E-3</v>
      </c>
      <c r="D637">
        <v>5.0000000000000001E-3</v>
      </c>
      <c r="E637">
        <v>4.064914992272025E-2</v>
      </c>
      <c r="F637" t="s">
        <v>1993</v>
      </c>
      <c r="G637" t="s">
        <v>1994</v>
      </c>
      <c r="H637" t="s">
        <v>2683</v>
      </c>
      <c r="I637" t="s">
        <v>2686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25">
      <c r="A638">
        <v>1007</v>
      </c>
      <c r="B638">
        <v>0.1542553191489362</v>
      </c>
      <c r="C638">
        <v>1.3253012048192771E-2</v>
      </c>
      <c r="D638">
        <v>3.0000000000000001E-3</v>
      </c>
      <c r="E638">
        <v>5.3323029366306028E-2</v>
      </c>
      <c r="F638" t="s">
        <v>1995</v>
      </c>
      <c r="G638" t="s">
        <v>1996</v>
      </c>
      <c r="H638" t="s">
        <v>2683</v>
      </c>
      <c r="I638" t="s">
        <v>2686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25">
      <c r="A639">
        <v>1008</v>
      </c>
      <c r="B639">
        <v>0.10212765957446809</v>
      </c>
      <c r="C639">
        <v>1.204819277108434E-2</v>
      </c>
      <c r="D639">
        <v>2E-3</v>
      </c>
      <c r="E639">
        <v>3.4775888717156103E-2</v>
      </c>
      <c r="F639" t="s">
        <v>1997</v>
      </c>
      <c r="G639" t="s">
        <v>1998</v>
      </c>
      <c r="H639" t="s">
        <v>2683</v>
      </c>
      <c r="I639" t="s">
        <v>2686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5">
      <c r="A640">
        <v>1009</v>
      </c>
      <c r="B640">
        <v>0.1053191489361702</v>
      </c>
      <c r="C640">
        <v>1.566265060240964E-2</v>
      </c>
      <c r="D640">
        <v>2E-3</v>
      </c>
      <c r="E640">
        <v>3.956723338485317E-2</v>
      </c>
      <c r="F640" t="s">
        <v>1999</v>
      </c>
      <c r="G640" t="s">
        <v>2000</v>
      </c>
      <c r="H640" t="s">
        <v>2683</v>
      </c>
      <c r="I640" t="s">
        <v>2686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>
        <v>1010</v>
      </c>
      <c r="B641">
        <v>0.1351063829787234</v>
      </c>
      <c r="C641">
        <v>1.6867469879518069E-2</v>
      </c>
      <c r="D641">
        <v>2E-3</v>
      </c>
      <c r="E641">
        <v>5.1931993817619787E-2</v>
      </c>
      <c r="F641" t="s">
        <v>2001</v>
      </c>
      <c r="G641" t="s">
        <v>2002</v>
      </c>
      <c r="H641" t="s">
        <v>2683</v>
      </c>
      <c r="I641" t="s">
        <v>2686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25">
      <c r="A642">
        <v>1011</v>
      </c>
      <c r="B642">
        <v>0.1351063829787234</v>
      </c>
      <c r="C642">
        <v>1.6867469879518069E-2</v>
      </c>
      <c r="D642">
        <v>2E-3</v>
      </c>
      <c r="E642">
        <v>4.9149922720247298E-2</v>
      </c>
      <c r="F642" t="s">
        <v>2003</v>
      </c>
      <c r="G642" t="s">
        <v>2004</v>
      </c>
      <c r="H642" t="s">
        <v>2683</v>
      </c>
      <c r="I642" t="s">
        <v>2686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25">
      <c r="A643">
        <v>1012</v>
      </c>
      <c r="B643">
        <v>0.14255319148936171</v>
      </c>
      <c r="C643">
        <v>1.3253012048192771E-2</v>
      </c>
      <c r="D643">
        <v>5.0000000000000001E-3</v>
      </c>
      <c r="E643">
        <v>5.4868624420401857E-2</v>
      </c>
      <c r="F643" t="s">
        <v>2005</v>
      </c>
      <c r="G643" t="s">
        <v>2006</v>
      </c>
      <c r="H643" t="s">
        <v>2683</v>
      </c>
      <c r="I643" t="s">
        <v>2686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1013</v>
      </c>
      <c r="B644">
        <v>0.1276595744680851</v>
      </c>
      <c r="C644">
        <v>1.445783132530121E-2</v>
      </c>
      <c r="D644">
        <v>2E-3</v>
      </c>
      <c r="E644">
        <v>4.9149922720247298E-2</v>
      </c>
      <c r="F644" t="s">
        <v>2007</v>
      </c>
      <c r="G644" t="s">
        <v>2008</v>
      </c>
      <c r="H644" t="s">
        <v>2683</v>
      </c>
      <c r="I644" t="s">
        <v>2686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1014</v>
      </c>
      <c r="B645">
        <v>0.12553191489361701</v>
      </c>
      <c r="C645">
        <v>1.445783132530121E-2</v>
      </c>
      <c r="D645">
        <v>2E-3</v>
      </c>
      <c r="E645">
        <v>4.8068006182380218E-2</v>
      </c>
      <c r="F645" t="s">
        <v>2009</v>
      </c>
      <c r="G645" t="s">
        <v>2010</v>
      </c>
      <c r="H645" t="s">
        <v>2696</v>
      </c>
      <c r="I645" t="s">
        <v>2693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</row>
    <row r="646" spans="1:28" x14ac:dyDescent="0.25">
      <c r="A646">
        <v>1015</v>
      </c>
      <c r="B646">
        <v>0.1042553191489362</v>
      </c>
      <c r="C646">
        <v>1.566265060240964E-2</v>
      </c>
      <c r="D646">
        <v>1.2E-2</v>
      </c>
      <c r="E646">
        <v>3.1684698608964453E-2</v>
      </c>
      <c r="F646" t="s">
        <v>2011</v>
      </c>
      <c r="G646" t="s">
        <v>2012</v>
      </c>
      <c r="H646" t="s">
        <v>2683</v>
      </c>
      <c r="I646" t="s">
        <v>2686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25">
      <c r="A647">
        <v>1017</v>
      </c>
      <c r="B647">
        <v>0.1202127659574468</v>
      </c>
      <c r="C647">
        <v>1.445783132530121E-2</v>
      </c>
      <c r="D647">
        <v>2E-3</v>
      </c>
      <c r="E647">
        <v>4.1267387944358573E-2</v>
      </c>
      <c r="F647" t="s">
        <v>2015</v>
      </c>
      <c r="G647" t="s">
        <v>2016</v>
      </c>
      <c r="H647" t="s">
        <v>2683</v>
      </c>
      <c r="I647" t="s">
        <v>2686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25">
      <c r="A648">
        <v>1018</v>
      </c>
      <c r="B648">
        <v>4.7872340425531908E-2</v>
      </c>
      <c r="C648">
        <v>2.6506024096385541E-2</v>
      </c>
      <c r="D648">
        <v>3.0000000000000001E-3</v>
      </c>
      <c r="E648">
        <v>1.591962905718702E-2</v>
      </c>
      <c r="F648" t="s">
        <v>2017</v>
      </c>
      <c r="G648" t="s">
        <v>472</v>
      </c>
      <c r="H648" t="s">
        <v>2683</v>
      </c>
      <c r="I648" t="s">
        <v>2692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x14ac:dyDescent="0.25">
      <c r="A649">
        <v>1019</v>
      </c>
      <c r="B649">
        <v>3.5106382978723413E-2</v>
      </c>
      <c r="C649">
        <v>5.4216867469879519E-2</v>
      </c>
      <c r="D649">
        <v>4.0000000000000001E-3</v>
      </c>
      <c r="E649">
        <v>4.3276661514683153E-3</v>
      </c>
      <c r="F649" t="s">
        <v>2018</v>
      </c>
      <c r="G649" t="s">
        <v>2019</v>
      </c>
      <c r="H649" t="s">
        <v>2683</v>
      </c>
      <c r="I649" t="s">
        <v>2685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</row>
    <row r="650" spans="1:28" x14ac:dyDescent="0.25">
      <c r="A650">
        <v>1020</v>
      </c>
      <c r="B650">
        <v>0.22978723404255319</v>
      </c>
      <c r="C650">
        <v>3.1325301204819279E-2</v>
      </c>
      <c r="D650">
        <v>3.1E-2</v>
      </c>
      <c r="E650">
        <v>6.8624420401854708E-2</v>
      </c>
      <c r="F650" t="s">
        <v>2020</v>
      </c>
      <c r="G650" t="s">
        <v>2021</v>
      </c>
      <c r="H650" t="s">
        <v>2683</v>
      </c>
      <c r="I650" t="s">
        <v>2691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</row>
    <row r="651" spans="1:28" x14ac:dyDescent="0.25">
      <c r="A651">
        <v>1022</v>
      </c>
      <c r="B651">
        <v>0.1106382978723404</v>
      </c>
      <c r="C651">
        <v>2.289156626506024E-2</v>
      </c>
      <c r="D651">
        <v>4.0999999999999988E-2</v>
      </c>
      <c r="E651">
        <v>2.3338485316846989E-2</v>
      </c>
      <c r="F651" t="s">
        <v>2024</v>
      </c>
      <c r="G651" t="s">
        <v>2025</v>
      </c>
      <c r="H651" t="s">
        <v>2683</v>
      </c>
      <c r="I651" t="s">
        <v>2691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</row>
    <row r="652" spans="1:28" x14ac:dyDescent="0.25">
      <c r="A652">
        <v>1026</v>
      </c>
      <c r="B652">
        <v>0.17340425531914891</v>
      </c>
      <c r="C652">
        <v>2.6506024096385541E-2</v>
      </c>
      <c r="D652">
        <v>6.5000000000000002E-2</v>
      </c>
      <c r="E652">
        <v>3.6785162287480681E-2</v>
      </c>
      <c r="F652" t="s">
        <v>2031</v>
      </c>
      <c r="G652" t="s">
        <v>2032</v>
      </c>
      <c r="H652" t="s">
        <v>2683</v>
      </c>
      <c r="I652" t="s">
        <v>2691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</row>
    <row r="653" spans="1:28" x14ac:dyDescent="0.25">
      <c r="A653">
        <v>1027</v>
      </c>
      <c r="B653">
        <v>0.21276595744680851</v>
      </c>
      <c r="C653">
        <v>1.204819277108434E-2</v>
      </c>
      <c r="D653">
        <v>2.4E-2</v>
      </c>
      <c r="E653">
        <v>6.7697063369397209E-2</v>
      </c>
      <c r="F653" t="s">
        <v>2033</v>
      </c>
      <c r="G653" t="s">
        <v>2034</v>
      </c>
      <c r="H653" t="s">
        <v>2683</v>
      </c>
      <c r="I653" t="s">
        <v>2691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</row>
    <row r="654" spans="1:28" x14ac:dyDescent="0.25">
      <c r="A654">
        <v>1035</v>
      </c>
      <c r="B654">
        <v>0.41914893617021282</v>
      </c>
      <c r="C654">
        <v>2.6506024096385541E-2</v>
      </c>
      <c r="D654">
        <v>8.8000000000000009E-2</v>
      </c>
      <c r="E654">
        <v>0.11839258114374029</v>
      </c>
      <c r="F654" t="s">
        <v>2049</v>
      </c>
      <c r="G654" t="s">
        <v>2050</v>
      </c>
      <c r="H654" t="s">
        <v>2688</v>
      </c>
      <c r="I654" t="s">
        <v>2690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</row>
    <row r="655" spans="1:28" x14ac:dyDescent="0.25">
      <c r="A655">
        <v>1036</v>
      </c>
      <c r="B655">
        <v>0.37234042553191488</v>
      </c>
      <c r="C655">
        <v>1.084337349397591E-2</v>
      </c>
      <c r="D655">
        <v>4.0000000000000001E-3</v>
      </c>
      <c r="E655">
        <v>0.1324574961360124</v>
      </c>
      <c r="F655" t="s">
        <v>2051</v>
      </c>
      <c r="G655" t="s">
        <v>2050</v>
      </c>
      <c r="H655" t="s">
        <v>2688</v>
      </c>
      <c r="I655" t="s">
        <v>2691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</row>
    <row r="656" spans="1:28" x14ac:dyDescent="0.25">
      <c r="A656">
        <v>1043</v>
      </c>
      <c r="B656">
        <v>0.47978723404255319</v>
      </c>
      <c r="C656">
        <v>0.13493975903614461</v>
      </c>
      <c r="D656">
        <v>0.20200000000000001</v>
      </c>
      <c r="E656">
        <v>9.2272024729520868E-2</v>
      </c>
      <c r="F656" t="s">
        <v>2063</v>
      </c>
      <c r="G656" t="s">
        <v>2064</v>
      </c>
      <c r="H656" t="s">
        <v>2684</v>
      </c>
      <c r="I656" t="s">
        <v>2687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25">
      <c r="A657">
        <v>1044</v>
      </c>
      <c r="B657">
        <v>0.52872340425531916</v>
      </c>
      <c r="C657">
        <v>0.20481927710843381</v>
      </c>
      <c r="D657">
        <v>0.27600000000000002</v>
      </c>
      <c r="E657">
        <v>7.8516228748068004E-2</v>
      </c>
      <c r="F657" t="s">
        <v>2065</v>
      </c>
      <c r="G657" t="s">
        <v>2066</v>
      </c>
      <c r="H657" t="s">
        <v>2684</v>
      </c>
      <c r="I657" t="s">
        <v>2687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25">
      <c r="A658">
        <v>1049</v>
      </c>
      <c r="B658">
        <v>0.36276595744680851</v>
      </c>
      <c r="C658">
        <v>6.6265060240963861E-2</v>
      </c>
      <c r="D658">
        <v>0.16200000000000001</v>
      </c>
      <c r="E658">
        <v>6.6924265842349298E-2</v>
      </c>
      <c r="F658" t="s">
        <v>2075</v>
      </c>
      <c r="G658" t="s">
        <v>2076</v>
      </c>
      <c r="H658" t="s">
        <v>2683</v>
      </c>
      <c r="I658" t="s">
        <v>2691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</row>
    <row r="659" spans="1:28" x14ac:dyDescent="0.25">
      <c r="A659">
        <v>1050</v>
      </c>
      <c r="B659">
        <v>0.37234042553191488</v>
      </c>
      <c r="C659">
        <v>9.036144578313253E-2</v>
      </c>
      <c r="D659">
        <v>0.02</v>
      </c>
      <c r="E659">
        <v>0.1166924265842349</v>
      </c>
      <c r="F659" t="s">
        <v>2077</v>
      </c>
      <c r="G659" t="s">
        <v>2078</v>
      </c>
      <c r="H659" t="s">
        <v>2683</v>
      </c>
      <c r="I659" t="s">
        <v>2691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</row>
    <row r="660" spans="1:28" x14ac:dyDescent="0.25">
      <c r="A660">
        <v>1051</v>
      </c>
      <c r="B660">
        <v>0.26382978723404249</v>
      </c>
      <c r="C660">
        <v>9.6385542168674704E-2</v>
      </c>
      <c r="D660">
        <v>1.2E-2</v>
      </c>
      <c r="E660">
        <v>7.7279752704791344E-2</v>
      </c>
      <c r="F660" t="s">
        <v>2079</v>
      </c>
      <c r="G660" t="s">
        <v>2080</v>
      </c>
      <c r="H660" t="s">
        <v>2683</v>
      </c>
      <c r="I660" t="s">
        <v>2691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</row>
    <row r="661" spans="1:28" x14ac:dyDescent="0.25">
      <c r="A661">
        <v>1052</v>
      </c>
      <c r="B661">
        <v>0.26489361702127662</v>
      </c>
      <c r="C661">
        <v>9.5180722891566275E-2</v>
      </c>
      <c r="D661">
        <v>1.4999999999999999E-2</v>
      </c>
      <c r="E661">
        <v>7.6816074188562594E-2</v>
      </c>
      <c r="F661" t="s">
        <v>2081</v>
      </c>
      <c r="G661" t="s">
        <v>2082</v>
      </c>
      <c r="H661" t="s">
        <v>2683</v>
      </c>
      <c r="I661" t="s">
        <v>2691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</row>
    <row r="662" spans="1:28" x14ac:dyDescent="0.25">
      <c r="A662">
        <v>1058</v>
      </c>
      <c r="B662">
        <v>0.4776595744680851</v>
      </c>
      <c r="C662">
        <v>0.36867469879518078</v>
      </c>
      <c r="D662">
        <v>0.255</v>
      </c>
      <c r="E662">
        <v>4.9304482225656872E-2</v>
      </c>
      <c r="F662" t="s">
        <v>2093</v>
      </c>
      <c r="G662" t="s">
        <v>2094</v>
      </c>
      <c r="H662" t="s">
        <v>2688</v>
      </c>
      <c r="I662" t="s">
        <v>2690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</row>
    <row r="663" spans="1:28" x14ac:dyDescent="0.25">
      <c r="A663">
        <v>1059</v>
      </c>
      <c r="B663">
        <v>0.3595744680851064</v>
      </c>
      <c r="C663">
        <v>7.2289156626506026E-3</v>
      </c>
      <c r="D663">
        <v>3.0000000000000001E-3</v>
      </c>
      <c r="E663">
        <v>0.12843894899536321</v>
      </c>
      <c r="F663" t="s">
        <v>2095</v>
      </c>
      <c r="G663" t="s">
        <v>2096</v>
      </c>
      <c r="H663" t="s">
        <v>2683</v>
      </c>
      <c r="I663" t="s">
        <v>2690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</row>
    <row r="664" spans="1:28" x14ac:dyDescent="0.25">
      <c r="A664">
        <v>1060</v>
      </c>
      <c r="B664">
        <v>0.37765957446808512</v>
      </c>
      <c r="C664">
        <v>7.2289156626506026E-3</v>
      </c>
      <c r="D664">
        <v>1.0999999999999999E-2</v>
      </c>
      <c r="E664">
        <v>0.1323029366306028</v>
      </c>
      <c r="F664" t="s">
        <v>2097</v>
      </c>
      <c r="G664" t="s">
        <v>2098</v>
      </c>
      <c r="H664" t="s">
        <v>2683</v>
      </c>
      <c r="I664" t="s">
        <v>2690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</row>
    <row r="665" spans="1:28" x14ac:dyDescent="0.25">
      <c r="A665">
        <v>1061</v>
      </c>
      <c r="B665">
        <v>0.2457446808510638</v>
      </c>
      <c r="C665">
        <v>7.2289156626506026E-3</v>
      </c>
      <c r="D665">
        <v>2E-3</v>
      </c>
      <c r="E665">
        <v>8.7480680061823801E-2</v>
      </c>
      <c r="F665" t="s">
        <v>2099</v>
      </c>
      <c r="G665" t="s">
        <v>2100</v>
      </c>
      <c r="H665" t="s">
        <v>2683</v>
      </c>
      <c r="I665" t="s">
        <v>2690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</row>
    <row r="666" spans="1:28" x14ac:dyDescent="0.25">
      <c r="A666">
        <v>1062</v>
      </c>
      <c r="B666">
        <v>0.30957446808510641</v>
      </c>
      <c r="C666">
        <v>6.024096385542169E-3</v>
      </c>
      <c r="D666">
        <v>0.04</v>
      </c>
      <c r="E666">
        <v>9.799072642967542E-2</v>
      </c>
      <c r="F666" t="s">
        <v>2101</v>
      </c>
      <c r="G666" t="s">
        <v>2102</v>
      </c>
      <c r="H666" t="s">
        <v>2683</v>
      </c>
      <c r="I666" t="s">
        <v>2690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</row>
    <row r="667" spans="1:28" x14ac:dyDescent="0.25">
      <c r="A667">
        <v>1063</v>
      </c>
      <c r="B667">
        <v>0.24468085106382981</v>
      </c>
      <c r="C667">
        <v>7.2289156626506026E-3</v>
      </c>
      <c r="D667">
        <v>2E-3</v>
      </c>
      <c r="E667">
        <v>8.7326120556414213E-2</v>
      </c>
      <c r="F667" t="s">
        <v>2103</v>
      </c>
      <c r="G667" t="s">
        <v>2104</v>
      </c>
      <c r="H667" t="s">
        <v>2683</v>
      </c>
      <c r="I667" t="s">
        <v>2690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</row>
    <row r="668" spans="1:28" x14ac:dyDescent="0.25">
      <c r="A668">
        <v>1065</v>
      </c>
      <c r="B668">
        <v>0.36914893617021283</v>
      </c>
      <c r="C668">
        <v>1.084337349397591E-2</v>
      </c>
      <c r="D668">
        <v>3.0000000000000001E-3</v>
      </c>
      <c r="E668">
        <v>0.13168469860896451</v>
      </c>
      <c r="F668" t="s">
        <v>2107</v>
      </c>
      <c r="G668" t="s">
        <v>2108</v>
      </c>
      <c r="H668" t="s">
        <v>2683</v>
      </c>
      <c r="I668" t="s">
        <v>2690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</row>
    <row r="669" spans="1:28" x14ac:dyDescent="0.25">
      <c r="A669">
        <v>1066</v>
      </c>
      <c r="B669">
        <v>0.38723404255319149</v>
      </c>
      <c r="C669">
        <v>1.2048192771084341E-3</v>
      </c>
      <c r="D669">
        <v>2E-3</v>
      </c>
      <c r="E669">
        <v>0.13987635239567231</v>
      </c>
      <c r="F669" t="s">
        <v>2109</v>
      </c>
      <c r="G669" t="s">
        <v>2110</v>
      </c>
      <c r="H669" t="s">
        <v>2683</v>
      </c>
      <c r="I669" t="s">
        <v>2690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</row>
    <row r="670" spans="1:28" x14ac:dyDescent="0.25">
      <c r="A670">
        <v>1067</v>
      </c>
      <c r="B670">
        <v>0.3851063829787234</v>
      </c>
      <c r="C670">
        <v>6.024096385542169E-3</v>
      </c>
      <c r="D670">
        <v>3.0000000000000001E-3</v>
      </c>
      <c r="E670">
        <v>0.1343122102009274</v>
      </c>
      <c r="F670" t="s">
        <v>2111</v>
      </c>
      <c r="G670" t="s">
        <v>2112</v>
      </c>
      <c r="H670" t="s">
        <v>2683</v>
      </c>
      <c r="I670" t="s">
        <v>2690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</row>
    <row r="671" spans="1:28" x14ac:dyDescent="0.25">
      <c r="A671">
        <v>1068</v>
      </c>
      <c r="B671">
        <v>0.37659574468085111</v>
      </c>
      <c r="C671">
        <v>9.6385542168674707E-3</v>
      </c>
      <c r="D671">
        <v>8.3000000000000004E-2</v>
      </c>
      <c r="E671">
        <v>0.1064914992272025</v>
      </c>
      <c r="F671" t="s">
        <v>2113</v>
      </c>
      <c r="G671" t="s">
        <v>2114</v>
      </c>
      <c r="H671" t="s">
        <v>2683</v>
      </c>
      <c r="I671" t="s">
        <v>2690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</row>
    <row r="672" spans="1:28" x14ac:dyDescent="0.25">
      <c r="A672">
        <v>1072</v>
      </c>
      <c r="B672">
        <v>0.29893617021276597</v>
      </c>
      <c r="C672">
        <v>2.891566265060241E-2</v>
      </c>
      <c r="D672">
        <v>6.9999999999999993E-3</v>
      </c>
      <c r="E672">
        <v>0.10216383307573421</v>
      </c>
      <c r="F672" t="s">
        <v>2121</v>
      </c>
      <c r="G672" t="s">
        <v>2122</v>
      </c>
      <c r="H672" t="s">
        <v>2683</v>
      </c>
      <c r="I672" t="s">
        <v>2686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25">
      <c r="A673">
        <v>1074</v>
      </c>
      <c r="B673">
        <v>0.34468085106382979</v>
      </c>
      <c r="C673">
        <v>5.0602409638554217E-2</v>
      </c>
      <c r="D673">
        <v>0.34300000000000003</v>
      </c>
      <c r="E673">
        <v>8.5935085007727979E-2</v>
      </c>
      <c r="F673" t="s">
        <v>2125</v>
      </c>
      <c r="G673" t="s">
        <v>2126</v>
      </c>
      <c r="H673" t="s">
        <v>2688</v>
      </c>
      <c r="I673" t="s">
        <v>2686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25">
      <c r="A674">
        <v>1076</v>
      </c>
      <c r="B674">
        <v>0.1042553191489362</v>
      </c>
      <c r="C674">
        <v>2.4096385542168679E-2</v>
      </c>
      <c r="D674">
        <v>4.0000000000000001E-3</v>
      </c>
      <c r="E674">
        <v>3.7867078825347761E-2</v>
      </c>
      <c r="F674" t="s">
        <v>2129</v>
      </c>
      <c r="G674" t="s">
        <v>2130</v>
      </c>
      <c r="H674" t="s">
        <v>2697</v>
      </c>
      <c r="I674" t="s">
        <v>2692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5">
      <c r="A675">
        <v>1077</v>
      </c>
      <c r="B675">
        <v>0.22553191489361701</v>
      </c>
      <c r="C675">
        <v>0.2168674698795181</v>
      </c>
      <c r="D675">
        <v>0.106</v>
      </c>
      <c r="E675">
        <v>9.1653786707882531E-2</v>
      </c>
      <c r="F675" t="s">
        <v>2131</v>
      </c>
      <c r="G675" t="s">
        <v>2132</v>
      </c>
      <c r="H675" t="s">
        <v>2688</v>
      </c>
      <c r="I675" t="s">
        <v>2689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 x14ac:dyDescent="0.25">
      <c r="A676">
        <v>1078</v>
      </c>
      <c r="B676">
        <v>0.1148936170212766</v>
      </c>
      <c r="C676">
        <v>0.21204819277108439</v>
      </c>
      <c r="D676">
        <v>4.2000000000000003E-2</v>
      </c>
      <c r="E676">
        <v>0</v>
      </c>
      <c r="F676" t="s">
        <v>2133</v>
      </c>
      <c r="G676" t="s">
        <v>2134</v>
      </c>
      <c r="H676" t="s">
        <v>2688</v>
      </c>
      <c r="I676" t="s">
        <v>2689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5">
      <c r="A677">
        <v>1079</v>
      </c>
      <c r="B677">
        <v>0.19361702127659569</v>
      </c>
      <c r="C677">
        <v>0.38554216867469882</v>
      </c>
      <c r="D677">
        <v>0.06</v>
      </c>
      <c r="E677">
        <v>0</v>
      </c>
      <c r="F677" t="s">
        <v>2135</v>
      </c>
      <c r="G677" t="s">
        <v>2136</v>
      </c>
      <c r="H677" t="s">
        <v>2688</v>
      </c>
      <c r="I677" t="s">
        <v>2689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 x14ac:dyDescent="0.25">
      <c r="A678">
        <v>1080</v>
      </c>
      <c r="B678">
        <v>0.3202127659574468</v>
      </c>
      <c r="C678">
        <v>0.66265060240963858</v>
      </c>
      <c r="D678">
        <v>0.09</v>
      </c>
      <c r="E678">
        <v>0</v>
      </c>
      <c r="F678" t="s">
        <v>2137</v>
      </c>
      <c r="G678" t="s">
        <v>2138</v>
      </c>
      <c r="H678" t="s">
        <v>2688</v>
      </c>
      <c r="I678" t="s">
        <v>2689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>
        <v>1081</v>
      </c>
      <c r="B679">
        <v>0.29042553191489362</v>
      </c>
      <c r="C679">
        <v>0.21084337349397589</v>
      </c>
      <c r="D679">
        <v>0.22</v>
      </c>
      <c r="E679">
        <v>0</v>
      </c>
      <c r="F679" t="s">
        <v>2139</v>
      </c>
      <c r="G679" t="s">
        <v>2140</v>
      </c>
      <c r="H679" t="s">
        <v>2688</v>
      </c>
      <c r="I679" t="s">
        <v>2689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>
        <v>1082</v>
      </c>
      <c r="B680">
        <v>0.30744680851063833</v>
      </c>
      <c r="C680">
        <v>0.19277108433734941</v>
      </c>
      <c r="D680">
        <v>0.25</v>
      </c>
      <c r="E680">
        <v>0</v>
      </c>
      <c r="F680" t="s">
        <v>2141</v>
      </c>
      <c r="G680" t="s">
        <v>2142</v>
      </c>
      <c r="H680" t="s">
        <v>2688</v>
      </c>
      <c r="I680" t="s">
        <v>2689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25">
      <c r="A681">
        <v>1083</v>
      </c>
      <c r="B681">
        <v>0.18510638297872339</v>
      </c>
      <c r="C681">
        <v>0.236144578313253</v>
      </c>
      <c r="D681">
        <v>0.1</v>
      </c>
      <c r="E681">
        <v>0</v>
      </c>
      <c r="F681" t="s">
        <v>2143</v>
      </c>
      <c r="G681" t="s">
        <v>2140</v>
      </c>
      <c r="H681" t="s">
        <v>2688</v>
      </c>
      <c r="I681" t="s">
        <v>2689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25">
      <c r="A682">
        <v>1084</v>
      </c>
      <c r="B682">
        <v>0.21382978723404261</v>
      </c>
      <c r="C682">
        <v>0.22650602409638559</v>
      </c>
      <c r="D682">
        <v>0.14000000000000001</v>
      </c>
      <c r="E682">
        <v>0</v>
      </c>
      <c r="F682" t="s">
        <v>2144</v>
      </c>
      <c r="G682" t="s">
        <v>2145</v>
      </c>
      <c r="H682" t="s">
        <v>2688</v>
      </c>
      <c r="I682" t="s">
        <v>2689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25">
      <c r="A683">
        <v>1086</v>
      </c>
      <c r="B683">
        <v>0.19468085106382979</v>
      </c>
      <c r="C683">
        <v>0.1445783132530121</v>
      </c>
      <c r="D683">
        <v>0.14399999999999999</v>
      </c>
      <c r="E683">
        <v>2.1638330757341581E-3</v>
      </c>
      <c r="F683" t="s">
        <v>2148</v>
      </c>
      <c r="G683" t="s">
        <v>2149</v>
      </c>
      <c r="H683" t="s">
        <v>2683</v>
      </c>
      <c r="I683" t="s">
        <v>2689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>
        <v>1087</v>
      </c>
      <c r="B684">
        <v>0.1042553191489362</v>
      </c>
      <c r="C684">
        <v>0.26385542168674703</v>
      </c>
      <c r="D684">
        <v>1.0999999999999999E-2</v>
      </c>
      <c r="E684">
        <v>0</v>
      </c>
      <c r="F684" t="s">
        <v>2150</v>
      </c>
      <c r="G684" t="s">
        <v>650</v>
      </c>
      <c r="H684" t="s">
        <v>2688</v>
      </c>
      <c r="I684" t="s">
        <v>2689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25">
      <c r="A685">
        <v>1090</v>
      </c>
      <c r="B685">
        <v>8.9361702127659579E-2</v>
      </c>
      <c r="C685">
        <v>0.12650602409638559</v>
      </c>
      <c r="D685">
        <v>4.5999999999999999E-2</v>
      </c>
      <c r="E685">
        <v>3.0911901081916539E-4</v>
      </c>
      <c r="F685" t="s">
        <v>2154</v>
      </c>
      <c r="G685" t="s">
        <v>2155</v>
      </c>
      <c r="H685" t="s">
        <v>2683</v>
      </c>
      <c r="I685" t="s">
        <v>2689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>
        <v>1091</v>
      </c>
      <c r="B686">
        <v>0.1404255319148936</v>
      </c>
      <c r="C686">
        <v>0.23734939759036139</v>
      </c>
      <c r="D686">
        <v>3.2000000000000001E-2</v>
      </c>
      <c r="E686">
        <v>9.2735703245749607E-3</v>
      </c>
      <c r="F686" t="s">
        <v>2156</v>
      </c>
      <c r="G686" t="s">
        <v>2157</v>
      </c>
      <c r="H686" t="s">
        <v>2688</v>
      </c>
      <c r="I686" t="s">
        <v>2689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>
        <v>1093</v>
      </c>
      <c r="B687">
        <v>0.38297872340425532</v>
      </c>
      <c r="C687">
        <v>0.69036144578313252</v>
      </c>
      <c r="D687">
        <v>0.06</v>
      </c>
      <c r="E687">
        <v>2.9675425038639871E-2</v>
      </c>
      <c r="F687" t="s">
        <v>2159</v>
      </c>
      <c r="G687" t="s">
        <v>2160</v>
      </c>
      <c r="H687" t="s">
        <v>2688</v>
      </c>
      <c r="I687" t="s">
        <v>2689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>
        <v>1095</v>
      </c>
      <c r="B688">
        <v>0.13404255319148939</v>
      </c>
      <c r="C688">
        <v>0.16867469879518071</v>
      </c>
      <c r="D688">
        <v>7.2000000000000008E-2</v>
      </c>
      <c r="E688">
        <v>2.3183925811437402E-3</v>
      </c>
      <c r="F688" t="s">
        <v>2163</v>
      </c>
      <c r="G688" t="s">
        <v>2164</v>
      </c>
      <c r="H688" t="s">
        <v>2688</v>
      </c>
      <c r="I688" t="s">
        <v>2689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25">
      <c r="A689">
        <v>1098</v>
      </c>
      <c r="B689">
        <v>0.36595744680851072</v>
      </c>
      <c r="C689">
        <v>0.36144578313253012</v>
      </c>
      <c r="D689">
        <v>0.2</v>
      </c>
      <c r="E689">
        <v>6.6460587326120549E-2</v>
      </c>
      <c r="F689" t="s">
        <v>2169</v>
      </c>
      <c r="G689" t="s">
        <v>2170</v>
      </c>
      <c r="H689" t="s">
        <v>2694</v>
      </c>
      <c r="I689" t="s">
        <v>2687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1105</v>
      </c>
      <c r="B690">
        <v>2.3404255319148939E-2</v>
      </c>
      <c r="C690">
        <v>2.7710843373493971E-2</v>
      </c>
      <c r="D690">
        <v>3.0000000000000001E-3</v>
      </c>
      <c r="E690">
        <v>6.1823802163833066E-3</v>
      </c>
      <c r="F690" t="s">
        <v>2183</v>
      </c>
      <c r="G690" t="s">
        <v>2184</v>
      </c>
      <c r="H690" t="s">
        <v>2684</v>
      </c>
      <c r="I690" t="s">
        <v>2685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</row>
    <row r="691" spans="1:28" x14ac:dyDescent="0.25">
      <c r="A691">
        <v>1106</v>
      </c>
      <c r="B691">
        <v>9.5744680851063829E-3</v>
      </c>
      <c r="C691">
        <v>1.204819277108434E-2</v>
      </c>
      <c r="D691">
        <v>1E-3</v>
      </c>
      <c r="E691">
        <v>2.6275115919629061E-3</v>
      </c>
      <c r="F691" t="s">
        <v>2185</v>
      </c>
      <c r="G691" t="s">
        <v>2186</v>
      </c>
      <c r="H691" t="s">
        <v>2684</v>
      </c>
      <c r="I691" t="s">
        <v>2685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</row>
    <row r="692" spans="1:28" x14ac:dyDescent="0.25">
      <c r="A692">
        <v>1107</v>
      </c>
      <c r="B692">
        <v>3.1914893617021267E-2</v>
      </c>
      <c r="C692">
        <v>2.289156626506024E-2</v>
      </c>
      <c r="D692">
        <v>5.0000000000000001E-3</v>
      </c>
      <c r="E692">
        <v>6.8006182380216376E-3</v>
      </c>
      <c r="F692" t="s">
        <v>2187</v>
      </c>
      <c r="G692" t="s">
        <v>2188</v>
      </c>
      <c r="H692" t="s">
        <v>2684</v>
      </c>
      <c r="I692" t="s">
        <v>2685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</row>
    <row r="693" spans="1:28" x14ac:dyDescent="0.25">
      <c r="A693">
        <v>1108</v>
      </c>
      <c r="B693">
        <v>2.021276595744681E-2</v>
      </c>
      <c r="C693">
        <v>1.566265060240964E-2</v>
      </c>
      <c r="D693">
        <v>2E-3</v>
      </c>
      <c r="E693">
        <v>4.4822256568778978E-3</v>
      </c>
      <c r="F693" t="s">
        <v>2189</v>
      </c>
      <c r="G693" t="s">
        <v>2190</v>
      </c>
      <c r="H693" t="s">
        <v>2684</v>
      </c>
      <c r="I693" t="s">
        <v>2685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</row>
    <row r="694" spans="1:28" x14ac:dyDescent="0.25">
      <c r="A694">
        <v>1113</v>
      </c>
      <c r="B694">
        <v>3.085106382978723E-2</v>
      </c>
      <c r="C694">
        <v>8.4337349397590362E-3</v>
      </c>
      <c r="D694">
        <v>6.0000000000000001E-3</v>
      </c>
      <c r="E694">
        <v>7.7279752704791354E-3</v>
      </c>
      <c r="F694" t="s">
        <v>2199</v>
      </c>
      <c r="G694" t="s">
        <v>2200</v>
      </c>
      <c r="H694" t="s">
        <v>2696</v>
      </c>
      <c r="I694" t="s">
        <v>2685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</row>
    <row r="695" spans="1:28" x14ac:dyDescent="0.25">
      <c r="A695">
        <v>1114</v>
      </c>
      <c r="B695">
        <v>5.2127659574468077E-2</v>
      </c>
      <c r="C695">
        <v>2.0481927710843371E-2</v>
      </c>
      <c r="D695">
        <v>3.0000000000000001E-3</v>
      </c>
      <c r="E695">
        <v>1.5146831530139101E-2</v>
      </c>
      <c r="F695" t="s">
        <v>2201</v>
      </c>
      <c r="G695" t="s">
        <v>2202</v>
      </c>
      <c r="H695" t="s">
        <v>2683</v>
      </c>
      <c r="I695" t="s">
        <v>2685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</row>
    <row r="696" spans="1:28" x14ac:dyDescent="0.25">
      <c r="A696">
        <v>1115</v>
      </c>
      <c r="B696">
        <v>0.1893617021276596</v>
      </c>
      <c r="C696">
        <v>3.1325301204819279E-2</v>
      </c>
      <c r="D696">
        <v>0.13900000000000001</v>
      </c>
      <c r="E696">
        <v>1.6383307573415759E-2</v>
      </c>
      <c r="F696" t="s">
        <v>2203</v>
      </c>
      <c r="G696" t="s">
        <v>2204</v>
      </c>
      <c r="H696" t="s">
        <v>2696</v>
      </c>
      <c r="I696" t="s">
        <v>2685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</row>
    <row r="697" spans="1:28" x14ac:dyDescent="0.25">
      <c r="A697">
        <v>1116</v>
      </c>
      <c r="B697">
        <v>0.1414893617021277</v>
      </c>
      <c r="C697">
        <v>8.7951807228915671E-2</v>
      </c>
      <c r="D697">
        <v>6.6000000000000003E-2</v>
      </c>
      <c r="E697">
        <v>1.7310664605873261E-2</v>
      </c>
      <c r="F697" t="s">
        <v>2205</v>
      </c>
      <c r="G697" t="s">
        <v>2206</v>
      </c>
      <c r="H697" t="s">
        <v>2696</v>
      </c>
      <c r="I697" t="s">
        <v>2685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1117</v>
      </c>
      <c r="B698">
        <v>6.8085106382978725E-2</v>
      </c>
      <c r="C698">
        <v>2.5301204819277109E-2</v>
      </c>
      <c r="D698">
        <v>6.0000000000000001E-3</v>
      </c>
      <c r="E698">
        <v>1.9319938176197839E-2</v>
      </c>
      <c r="F698" t="s">
        <v>2207</v>
      </c>
      <c r="G698" t="s">
        <v>2208</v>
      </c>
      <c r="H698" t="s">
        <v>2696</v>
      </c>
      <c r="I698" t="s">
        <v>2687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1119</v>
      </c>
      <c r="B699">
        <v>5.2127659574468077E-2</v>
      </c>
      <c r="C699">
        <v>3.7349397590361447E-2</v>
      </c>
      <c r="D699">
        <v>2.5000000000000001E-2</v>
      </c>
      <c r="E699">
        <v>5.5641421947449756E-3</v>
      </c>
      <c r="F699" t="s">
        <v>2211</v>
      </c>
      <c r="G699" t="s">
        <v>2212</v>
      </c>
      <c r="H699" t="s">
        <v>2696</v>
      </c>
      <c r="I699" t="s">
        <v>2685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</row>
    <row r="700" spans="1:28" x14ac:dyDescent="0.25">
      <c r="A700">
        <v>1120</v>
      </c>
      <c r="B700">
        <v>2.8723404255319149E-2</v>
      </c>
      <c r="C700">
        <v>1.566265060240964E-2</v>
      </c>
      <c r="D700">
        <v>0.02</v>
      </c>
      <c r="E700">
        <v>1.5455950540958271E-3</v>
      </c>
      <c r="F700" t="s">
        <v>2213</v>
      </c>
      <c r="G700" t="s">
        <v>2214</v>
      </c>
      <c r="H700" t="s">
        <v>2696</v>
      </c>
      <c r="I700" t="s">
        <v>2685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1121</v>
      </c>
      <c r="B701">
        <v>7.1276595744680857E-2</v>
      </c>
      <c r="C701">
        <v>6.2650602409638559E-2</v>
      </c>
      <c r="D701">
        <v>2.9000000000000001E-2</v>
      </c>
      <c r="E701">
        <v>7.8825347758887162E-3</v>
      </c>
      <c r="F701" t="s">
        <v>2215</v>
      </c>
      <c r="G701" t="s">
        <v>2216</v>
      </c>
      <c r="H701" t="s">
        <v>2688</v>
      </c>
      <c r="I701" t="s">
        <v>2686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25">
      <c r="A702">
        <v>1122</v>
      </c>
      <c r="B702">
        <v>6.063829787234043E-2</v>
      </c>
      <c r="C702">
        <v>6.5060240963855431E-2</v>
      </c>
      <c r="D702">
        <v>2.5999999999999999E-2</v>
      </c>
      <c r="E702">
        <v>4.7913446676970638E-3</v>
      </c>
      <c r="F702" t="s">
        <v>2217</v>
      </c>
      <c r="G702" t="s">
        <v>2218</v>
      </c>
      <c r="H702" t="s">
        <v>2696</v>
      </c>
      <c r="I702" t="s">
        <v>2685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</row>
    <row r="703" spans="1:28" x14ac:dyDescent="0.25">
      <c r="A703">
        <v>1123</v>
      </c>
      <c r="B703">
        <v>1.5957446808510641E-2</v>
      </c>
      <c r="C703">
        <v>1.445783132530121E-2</v>
      </c>
      <c r="D703">
        <v>2E-3</v>
      </c>
      <c r="E703">
        <v>4.4822256568778978E-3</v>
      </c>
      <c r="F703" t="s">
        <v>2219</v>
      </c>
      <c r="G703" t="s">
        <v>2220</v>
      </c>
      <c r="H703" t="s">
        <v>2684</v>
      </c>
      <c r="I703" t="s">
        <v>2692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>
        <v>1124</v>
      </c>
      <c r="B704">
        <v>1.8085106382978729E-2</v>
      </c>
      <c r="C704">
        <v>2.0481927710843371E-2</v>
      </c>
      <c r="D704">
        <v>3.0000000000000001E-3</v>
      </c>
      <c r="E704">
        <v>4.6367851622874804E-3</v>
      </c>
      <c r="F704" t="s">
        <v>2221</v>
      </c>
      <c r="G704" t="s">
        <v>2222</v>
      </c>
      <c r="H704" t="s">
        <v>2684</v>
      </c>
      <c r="I704" t="s">
        <v>2692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25">
      <c r="A705">
        <v>1125</v>
      </c>
      <c r="B705">
        <v>2.021276595744681E-2</v>
      </c>
      <c r="C705">
        <v>3.2530120481927723E-2</v>
      </c>
      <c r="D705">
        <v>2E-3</v>
      </c>
      <c r="E705">
        <v>4.4822256568778978E-3</v>
      </c>
      <c r="F705" t="s">
        <v>2223</v>
      </c>
      <c r="G705" t="s">
        <v>2224</v>
      </c>
      <c r="H705" t="s">
        <v>2684</v>
      </c>
      <c r="I705" t="s">
        <v>2692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25">
      <c r="A706">
        <v>1127</v>
      </c>
      <c r="B706">
        <v>2.9787234042553189E-2</v>
      </c>
      <c r="C706">
        <v>6.024096385542169E-3</v>
      </c>
      <c r="D706">
        <v>2E-3</v>
      </c>
      <c r="E706">
        <v>1.066460587326121E-2</v>
      </c>
      <c r="F706" t="s">
        <v>2227</v>
      </c>
      <c r="G706" t="s">
        <v>2228</v>
      </c>
      <c r="H706" t="s">
        <v>2696</v>
      </c>
      <c r="I706" t="s">
        <v>2686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1129</v>
      </c>
      <c r="B707">
        <v>6.8085106382978725E-2</v>
      </c>
      <c r="C707">
        <v>7.2289156626506026E-3</v>
      </c>
      <c r="D707">
        <v>3.0000000000000001E-3</v>
      </c>
      <c r="E707">
        <v>2.2874806800618239E-2</v>
      </c>
      <c r="F707" t="s">
        <v>2231</v>
      </c>
      <c r="G707" t="s">
        <v>2232</v>
      </c>
      <c r="H707" t="s">
        <v>2688</v>
      </c>
      <c r="I707" t="s">
        <v>2690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</row>
    <row r="708" spans="1:28" x14ac:dyDescent="0.25">
      <c r="A708">
        <v>1130</v>
      </c>
      <c r="B708">
        <v>0.37553191489361698</v>
      </c>
      <c r="C708">
        <v>8.4337349397590362E-3</v>
      </c>
      <c r="D708">
        <v>2E-3</v>
      </c>
      <c r="E708">
        <v>0.1309119010819165</v>
      </c>
      <c r="F708" t="s">
        <v>2233</v>
      </c>
      <c r="G708" t="s">
        <v>2234</v>
      </c>
      <c r="H708" t="s">
        <v>2688</v>
      </c>
      <c r="I708" t="s">
        <v>2690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</row>
    <row r="709" spans="1:28" x14ac:dyDescent="0.25">
      <c r="A709">
        <v>1132</v>
      </c>
      <c r="B709">
        <v>0.31702127659574469</v>
      </c>
      <c r="C709">
        <v>9.6385542168674704E-2</v>
      </c>
      <c r="D709">
        <v>0.23799999999999999</v>
      </c>
      <c r="E709">
        <v>7.5579598145285934E-2</v>
      </c>
      <c r="F709" t="s">
        <v>2237</v>
      </c>
      <c r="G709" t="s">
        <v>428</v>
      </c>
      <c r="H709" t="s">
        <v>2694</v>
      </c>
      <c r="I709" t="s">
        <v>2695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5">
      <c r="A710">
        <v>1133</v>
      </c>
      <c r="B710">
        <v>0.50851063829787235</v>
      </c>
      <c r="C710">
        <v>3.012048192771084E-2</v>
      </c>
      <c r="D710">
        <v>0.21199999999999999</v>
      </c>
      <c r="E710">
        <v>0.1069551777434312</v>
      </c>
      <c r="F710" t="s">
        <v>2238</v>
      </c>
      <c r="G710" t="s">
        <v>2239</v>
      </c>
      <c r="H710" t="s">
        <v>2683</v>
      </c>
      <c r="I710" t="s">
        <v>2690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</row>
    <row r="711" spans="1:28" x14ac:dyDescent="0.25">
      <c r="A711">
        <v>1150</v>
      </c>
      <c r="B711">
        <v>1.5957446808510641E-2</v>
      </c>
      <c r="C711">
        <v>7.2289156626506026E-3</v>
      </c>
      <c r="D711">
        <v>1E-3</v>
      </c>
      <c r="E711">
        <v>4.7913446676970638E-3</v>
      </c>
      <c r="F711" t="s">
        <v>2271</v>
      </c>
      <c r="G711" t="s">
        <v>2272</v>
      </c>
      <c r="H711" t="s">
        <v>2696</v>
      </c>
      <c r="I711" t="s">
        <v>2685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</row>
    <row r="712" spans="1:28" x14ac:dyDescent="0.25">
      <c r="A712">
        <v>1165</v>
      </c>
      <c r="B712">
        <v>0.14787234042553191</v>
      </c>
      <c r="C712">
        <v>8.91566265060241E-2</v>
      </c>
      <c r="D712">
        <v>2.1000000000000001E-2</v>
      </c>
      <c r="E712">
        <v>3.4930448222565691E-2</v>
      </c>
      <c r="F712" t="s">
        <v>2301</v>
      </c>
      <c r="G712" t="s">
        <v>2302</v>
      </c>
      <c r="H712" t="s">
        <v>2683</v>
      </c>
      <c r="I712" t="s">
        <v>2691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</row>
    <row r="713" spans="1:28" x14ac:dyDescent="0.25">
      <c r="A713">
        <v>1170</v>
      </c>
      <c r="B713">
        <v>0.44468085106382982</v>
      </c>
      <c r="C713">
        <v>0.2289156626506024</v>
      </c>
      <c r="D713">
        <v>0.09</v>
      </c>
      <c r="E713">
        <v>0.10123647604327669</v>
      </c>
      <c r="F713" t="s">
        <v>2311</v>
      </c>
      <c r="G713" t="s">
        <v>2312</v>
      </c>
      <c r="H713" t="s">
        <v>2694</v>
      </c>
      <c r="I713" t="s">
        <v>2693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</row>
    <row r="714" spans="1:28" x14ac:dyDescent="0.25">
      <c r="A714">
        <v>1171</v>
      </c>
      <c r="B714">
        <v>0.54574468085106387</v>
      </c>
      <c r="C714">
        <v>0.29638554216867469</v>
      </c>
      <c r="D714">
        <v>0.3</v>
      </c>
      <c r="E714">
        <v>5.5950540958268943E-2</v>
      </c>
      <c r="F714" t="s">
        <v>2313</v>
      </c>
      <c r="G714" t="s">
        <v>2314</v>
      </c>
      <c r="H714" t="s">
        <v>2694</v>
      </c>
      <c r="I714" t="s">
        <v>2693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</row>
    <row r="715" spans="1:28" x14ac:dyDescent="0.25">
      <c r="A715">
        <v>1172</v>
      </c>
      <c r="B715">
        <v>6.8085106382978725E-2</v>
      </c>
      <c r="C715">
        <v>5.1807228915662647E-2</v>
      </c>
      <c r="D715">
        <v>2.3E-2</v>
      </c>
      <c r="E715">
        <v>1.0200927357032459E-2</v>
      </c>
      <c r="F715" t="s">
        <v>2315</v>
      </c>
      <c r="G715" t="s">
        <v>2316</v>
      </c>
      <c r="H715" t="s">
        <v>2696</v>
      </c>
      <c r="I715" t="s">
        <v>2693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</row>
    <row r="716" spans="1:28" x14ac:dyDescent="0.25">
      <c r="A716">
        <v>1173</v>
      </c>
      <c r="B716">
        <v>4.3617021276595752E-2</v>
      </c>
      <c r="C716">
        <v>4.2168674698795178E-2</v>
      </c>
      <c r="D716">
        <v>2.5000000000000001E-2</v>
      </c>
      <c r="E716">
        <v>7.7279752704791354E-3</v>
      </c>
      <c r="F716" t="s">
        <v>2317</v>
      </c>
      <c r="G716" t="s">
        <v>2318</v>
      </c>
      <c r="H716" t="s">
        <v>2696</v>
      </c>
      <c r="I716" t="s">
        <v>2693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</row>
    <row r="717" spans="1:28" x14ac:dyDescent="0.25">
      <c r="A717">
        <v>1174</v>
      </c>
      <c r="B717">
        <v>0.35744680851063831</v>
      </c>
      <c r="C717">
        <v>9.8795180722891562E-2</v>
      </c>
      <c r="D717">
        <v>0.1</v>
      </c>
      <c r="E717">
        <v>8.5007727975270481E-2</v>
      </c>
      <c r="F717" t="s">
        <v>2319</v>
      </c>
      <c r="G717" t="s">
        <v>2320</v>
      </c>
      <c r="H717" t="s">
        <v>2697</v>
      </c>
      <c r="I717" t="s">
        <v>2693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</row>
    <row r="718" spans="1:28" x14ac:dyDescent="0.25">
      <c r="A718">
        <v>1175</v>
      </c>
      <c r="B718">
        <v>0.14680851063829789</v>
      </c>
      <c r="C718">
        <v>8.4337349397590369E-2</v>
      </c>
      <c r="D718">
        <v>7.9000000000000001E-2</v>
      </c>
      <c r="E718">
        <v>1.530139103554869E-2</v>
      </c>
      <c r="F718" t="s">
        <v>2321</v>
      </c>
      <c r="G718" t="s">
        <v>2322</v>
      </c>
      <c r="H718" t="s">
        <v>2697</v>
      </c>
      <c r="I718" t="s">
        <v>2693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</row>
    <row r="719" spans="1:28" x14ac:dyDescent="0.25">
      <c r="A719">
        <v>1176</v>
      </c>
      <c r="B719">
        <v>0.1702127659574468</v>
      </c>
      <c r="C719">
        <v>7.5903614457831323E-2</v>
      </c>
      <c r="D719">
        <v>0.12</v>
      </c>
      <c r="E719">
        <v>1.097372488408037E-2</v>
      </c>
      <c r="F719" t="s">
        <v>2323</v>
      </c>
      <c r="G719" t="s">
        <v>2324</v>
      </c>
      <c r="H719" t="s">
        <v>2696</v>
      </c>
      <c r="I719" t="s">
        <v>2693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</row>
    <row r="720" spans="1:28" x14ac:dyDescent="0.25">
      <c r="A720">
        <v>1177</v>
      </c>
      <c r="B720">
        <v>6.4893617021276592E-2</v>
      </c>
      <c r="C720">
        <v>3.8554216867469883E-2</v>
      </c>
      <c r="D720">
        <v>3.5000000000000003E-2</v>
      </c>
      <c r="E720">
        <v>6.646058732612055E-3</v>
      </c>
      <c r="F720" t="s">
        <v>2325</v>
      </c>
      <c r="G720" t="s">
        <v>2326</v>
      </c>
      <c r="H720" t="s">
        <v>2696</v>
      </c>
      <c r="I720" t="s">
        <v>2693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</row>
    <row r="721" spans="1:28" x14ac:dyDescent="0.25">
      <c r="A721">
        <v>1178</v>
      </c>
      <c r="B721">
        <v>3.8297872340425532E-2</v>
      </c>
      <c r="C721">
        <v>4.2168674698795178E-2</v>
      </c>
      <c r="D721">
        <v>1E-3</v>
      </c>
      <c r="E721">
        <v>7.8825347758887162E-3</v>
      </c>
      <c r="F721" t="s">
        <v>2327</v>
      </c>
      <c r="G721" t="s">
        <v>2328</v>
      </c>
      <c r="H721" t="s">
        <v>2696</v>
      </c>
      <c r="I721" t="s">
        <v>2693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</row>
    <row r="722" spans="1:28" x14ac:dyDescent="0.25">
      <c r="A722">
        <v>1179</v>
      </c>
      <c r="B722">
        <v>0.3819148936170213</v>
      </c>
      <c r="C722">
        <v>0.42891566265060238</v>
      </c>
      <c r="D722">
        <v>0.01</v>
      </c>
      <c r="E722">
        <v>8.0370942812983001E-2</v>
      </c>
      <c r="F722" t="s">
        <v>2329</v>
      </c>
      <c r="G722" t="s">
        <v>2330</v>
      </c>
      <c r="H722" t="s">
        <v>2694</v>
      </c>
      <c r="I722" t="s">
        <v>2693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</row>
    <row r="723" spans="1:28" x14ac:dyDescent="0.25">
      <c r="A723">
        <v>1180</v>
      </c>
      <c r="B723">
        <v>3.8297872340425532E-2</v>
      </c>
      <c r="C723">
        <v>4.2168674698795178E-2</v>
      </c>
      <c r="D723">
        <v>1E-3</v>
      </c>
      <c r="E723">
        <v>7.8825347758887162E-3</v>
      </c>
      <c r="F723" t="s">
        <v>2331</v>
      </c>
      <c r="G723" t="s">
        <v>2332</v>
      </c>
      <c r="H723" t="s">
        <v>2696</v>
      </c>
      <c r="I723" t="s">
        <v>2693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0</v>
      </c>
    </row>
    <row r="724" spans="1:28" x14ac:dyDescent="0.25">
      <c r="A724">
        <v>1181</v>
      </c>
      <c r="B724">
        <v>9.2553191489361697E-2</v>
      </c>
      <c r="C724">
        <v>6.3855421686746988E-2</v>
      </c>
      <c r="D724">
        <v>5.1999999999999998E-2</v>
      </c>
      <c r="E724">
        <v>9.7372488408037083E-3</v>
      </c>
      <c r="F724" t="s">
        <v>2333</v>
      </c>
      <c r="G724" t="s">
        <v>2334</v>
      </c>
      <c r="H724" t="s">
        <v>2696</v>
      </c>
      <c r="I724" t="s">
        <v>2693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</row>
    <row r="725" spans="1:28" x14ac:dyDescent="0.25">
      <c r="A725">
        <v>1183</v>
      </c>
      <c r="B725">
        <v>7.3404255319148931E-2</v>
      </c>
      <c r="C725">
        <v>1.204819277108434E-2</v>
      </c>
      <c r="D725">
        <v>1E-3</v>
      </c>
      <c r="E725">
        <v>2.426584234930448E-2</v>
      </c>
      <c r="F725" t="s">
        <v>2337</v>
      </c>
      <c r="G725" t="s">
        <v>2338</v>
      </c>
      <c r="H725" t="s">
        <v>2683</v>
      </c>
      <c r="I725" t="s">
        <v>2690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</row>
    <row r="726" spans="1:28" x14ac:dyDescent="0.25">
      <c r="A726">
        <v>1184</v>
      </c>
      <c r="B726">
        <v>7.8723404255319152E-2</v>
      </c>
      <c r="C726">
        <v>1.6867469879518069E-2</v>
      </c>
      <c r="D726">
        <v>1E-3</v>
      </c>
      <c r="E726">
        <v>2.658423493044822E-2</v>
      </c>
      <c r="F726" t="s">
        <v>2339</v>
      </c>
      <c r="G726" t="s">
        <v>2340</v>
      </c>
      <c r="H726" t="s">
        <v>2683</v>
      </c>
      <c r="I726" t="s">
        <v>2690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</row>
    <row r="727" spans="1:28" x14ac:dyDescent="0.25">
      <c r="A727">
        <v>1185</v>
      </c>
      <c r="B727">
        <v>0.36914893617021283</v>
      </c>
      <c r="C727">
        <v>6.024096385542169E-3</v>
      </c>
      <c r="D727">
        <v>9.0000000000000011E-3</v>
      </c>
      <c r="E727">
        <v>0.1301391035548686</v>
      </c>
      <c r="F727" t="s">
        <v>2341</v>
      </c>
      <c r="G727" t="s">
        <v>2342</v>
      </c>
      <c r="H727" t="s">
        <v>2688</v>
      </c>
      <c r="I727" t="s">
        <v>2690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</row>
    <row r="728" spans="1:28" x14ac:dyDescent="0.25">
      <c r="A728">
        <v>1186</v>
      </c>
      <c r="B728">
        <v>7.2340425531914901E-2</v>
      </c>
      <c r="C728">
        <v>9.3975903614457831E-2</v>
      </c>
      <c r="D728">
        <v>4.5999999999999999E-2</v>
      </c>
      <c r="E728">
        <v>2.4729520865533232E-3</v>
      </c>
      <c r="F728" t="s">
        <v>2343</v>
      </c>
      <c r="G728" t="s">
        <v>2344</v>
      </c>
      <c r="H728" t="s">
        <v>2683</v>
      </c>
      <c r="I728" t="s">
        <v>2687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25">
      <c r="A729">
        <v>1188</v>
      </c>
      <c r="B729">
        <v>0.34893617021276602</v>
      </c>
      <c r="C729">
        <v>0.15180722891566259</v>
      </c>
      <c r="D729">
        <v>0.19900000000000001</v>
      </c>
      <c r="E729">
        <v>3.8021638330757342E-2</v>
      </c>
      <c r="F729" t="s">
        <v>2347</v>
      </c>
      <c r="G729" t="s">
        <v>2348</v>
      </c>
      <c r="H729" t="s">
        <v>2696</v>
      </c>
      <c r="I729" t="s">
        <v>2698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</row>
    <row r="730" spans="1:28" x14ac:dyDescent="0.25">
      <c r="A730">
        <v>1189</v>
      </c>
      <c r="B730">
        <v>0.1574468085106383</v>
      </c>
      <c r="C730">
        <v>0.16626506024096391</v>
      </c>
      <c r="D730">
        <v>8.5000000000000006E-2</v>
      </c>
      <c r="E730">
        <v>6.1823802163833066E-3</v>
      </c>
      <c r="F730" t="s">
        <v>2349</v>
      </c>
      <c r="G730" t="s">
        <v>2350</v>
      </c>
      <c r="H730" t="s">
        <v>2688</v>
      </c>
      <c r="I730" t="s">
        <v>2687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25">
      <c r="A731">
        <v>1191</v>
      </c>
      <c r="B731">
        <v>0.17340425531914891</v>
      </c>
      <c r="C731">
        <v>2.7710843373493971E-2</v>
      </c>
      <c r="D731">
        <v>5.0000000000000001E-3</v>
      </c>
      <c r="E731">
        <v>5.6259659969088098E-2</v>
      </c>
      <c r="F731" t="s">
        <v>2353</v>
      </c>
      <c r="G731" t="s">
        <v>2354</v>
      </c>
      <c r="H731" t="s">
        <v>2688</v>
      </c>
      <c r="I731" t="s">
        <v>2690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</row>
    <row r="732" spans="1:28" x14ac:dyDescent="0.25">
      <c r="A732">
        <v>1192</v>
      </c>
      <c r="B732">
        <v>0.1223404255319149</v>
      </c>
      <c r="C732">
        <v>2.168674698795181E-2</v>
      </c>
      <c r="D732">
        <v>5.0000000000000001E-3</v>
      </c>
      <c r="E732">
        <v>4.0030911901081913E-2</v>
      </c>
      <c r="F732" t="s">
        <v>2355</v>
      </c>
      <c r="G732" t="s">
        <v>2356</v>
      </c>
      <c r="H732" t="s">
        <v>2688</v>
      </c>
      <c r="I732" t="s">
        <v>2690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</row>
    <row r="733" spans="1:28" x14ac:dyDescent="0.25">
      <c r="A733">
        <v>1195</v>
      </c>
      <c r="B733">
        <v>0.1765957446808511</v>
      </c>
      <c r="C733">
        <v>0.12530120481927709</v>
      </c>
      <c r="D733">
        <v>4.9000000000000002E-2</v>
      </c>
      <c r="E733">
        <v>3.7248840803709431E-2</v>
      </c>
      <c r="F733" t="s">
        <v>2361</v>
      </c>
      <c r="G733" t="s">
        <v>2362</v>
      </c>
      <c r="H733" t="s">
        <v>2697</v>
      </c>
      <c r="I733" t="s">
        <v>2687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25">
      <c r="A734">
        <v>1197</v>
      </c>
      <c r="B734">
        <v>8.085106382978724E-2</v>
      </c>
      <c r="C734">
        <v>0.108433734939759</v>
      </c>
      <c r="D734">
        <v>2.5999999999999999E-2</v>
      </c>
      <c r="E734">
        <v>9.8918083462132926E-3</v>
      </c>
      <c r="F734" t="s">
        <v>2365</v>
      </c>
      <c r="G734" t="s">
        <v>2366</v>
      </c>
      <c r="H734" t="s">
        <v>2684</v>
      </c>
      <c r="I734" t="s">
        <v>2687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25">
      <c r="A735">
        <v>1201</v>
      </c>
      <c r="B735">
        <v>0.1053191489361702</v>
      </c>
      <c r="C735">
        <v>2.0481927710843371E-2</v>
      </c>
      <c r="D735">
        <v>3.0000000000000001E-3</v>
      </c>
      <c r="E735">
        <v>3.4621329211746522E-2</v>
      </c>
      <c r="F735" t="s">
        <v>2373</v>
      </c>
      <c r="G735" t="s">
        <v>2374</v>
      </c>
      <c r="H735" t="s">
        <v>2683</v>
      </c>
      <c r="I735" t="s">
        <v>2691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</row>
    <row r="736" spans="1:28" x14ac:dyDescent="0.25">
      <c r="A736">
        <v>1202</v>
      </c>
      <c r="B736">
        <v>0.1765957446808511</v>
      </c>
      <c r="C736">
        <v>4.5783132530120479E-2</v>
      </c>
      <c r="D736">
        <v>0.01</v>
      </c>
      <c r="E736">
        <v>5.316846986089644E-2</v>
      </c>
      <c r="F736" t="s">
        <v>2375</v>
      </c>
      <c r="G736" t="s">
        <v>2376</v>
      </c>
      <c r="H736" t="s">
        <v>2683</v>
      </c>
      <c r="I736" t="s">
        <v>2691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</row>
    <row r="737" spans="1:28" x14ac:dyDescent="0.25">
      <c r="A737">
        <v>1203</v>
      </c>
      <c r="B737">
        <v>0.18297872340425531</v>
      </c>
      <c r="C737">
        <v>3.6144578313253017E-2</v>
      </c>
      <c r="D737">
        <v>5.0000000000000001E-3</v>
      </c>
      <c r="E737">
        <v>5.7959814528593508E-2</v>
      </c>
      <c r="F737" t="s">
        <v>2377</v>
      </c>
      <c r="G737" t="s">
        <v>2378</v>
      </c>
      <c r="H737" t="s">
        <v>2683</v>
      </c>
      <c r="I737" t="s">
        <v>2691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</row>
    <row r="738" spans="1:28" x14ac:dyDescent="0.25">
      <c r="A738">
        <v>1204</v>
      </c>
      <c r="B738">
        <v>0.1797872340425532</v>
      </c>
      <c r="C738">
        <v>1.6867469879518069E-2</v>
      </c>
      <c r="D738">
        <v>3.0000000000000001E-3</v>
      </c>
      <c r="E738">
        <v>6.2132921174652238E-2</v>
      </c>
      <c r="F738" t="s">
        <v>2379</v>
      </c>
      <c r="G738" t="s">
        <v>2380</v>
      </c>
      <c r="H738" t="s">
        <v>2683</v>
      </c>
      <c r="I738" t="s">
        <v>2691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</row>
    <row r="739" spans="1:28" x14ac:dyDescent="0.25">
      <c r="A739">
        <v>1205</v>
      </c>
      <c r="B739">
        <v>0.38085106382978717</v>
      </c>
      <c r="C739">
        <v>9.036144578313253E-2</v>
      </c>
      <c r="D739">
        <v>4.2999999999999997E-2</v>
      </c>
      <c r="E739">
        <v>0.1088098918083462</v>
      </c>
      <c r="F739" t="s">
        <v>2381</v>
      </c>
      <c r="G739" t="s">
        <v>2382</v>
      </c>
      <c r="H739" t="s">
        <v>2697</v>
      </c>
      <c r="I739" t="s">
        <v>2687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25">
      <c r="A740">
        <v>1206</v>
      </c>
      <c r="B740">
        <v>0.2946808510638298</v>
      </c>
      <c r="C740">
        <v>0.1096385542168675</v>
      </c>
      <c r="D740">
        <v>4.7E-2</v>
      </c>
      <c r="E740">
        <v>7.666151468315302E-2</v>
      </c>
      <c r="F740" t="s">
        <v>2383</v>
      </c>
      <c r="G740" t="s">
        <v>2384</v>
      </c>
      <c r="H740" t="s">
        <v>2697</v>
      </c>
      <c r="I740" t="s">
        <v>2687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25">
      <c r="A741">
        <v>1210</v>
      </c>
      <c r="B741">
        <v>0.31914893617021278</v>
      </c>
      <c r="C741">
        <v>0.34096385542168678</v>
      </c>
      <c r="D741">
        <v>4.8000000000000001E-2</v>
      </c>
      <c r="E741">
        <v>8.2843894899536322E-2</v>
      </c>
      <c r="F741" t="s">
        <v>2391</v>
      </c>
      <c r="G741" t="s">
        <v>2392</v>
      </c>
      <c r="H741" t="s">
        <v>2696</v>
      </c>
      <c r="I741" t="s">
        <v>2685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</row>
    <row r="742" spans="1:28" x14ac:dyDescent="0.25">
      <c r="A742">
        <v>1211</v>
      </c>
      <c r="B742">
        <v>0.31808510638297871</v>
      </c>
      <c r="C742">
        <v>0.29036144578313261</v>
      </c>
      <c r="D742">
        <v>3.5000000000000003E-2</v>
      </c>
      <c r="E742">
        <v>9.1190108191653782E-2</v>
      </c>
      <c r="F742" t="s">
        <v>2393</v>
      </c>
      <c r="G742" t="s">
        <v>2394</v>
      </c>
      <c r="H742" t="s">
        <v>2696</v>
      </c>
      <c r="I742" t="s">
        <v>2685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</row>
    <row r="743" spans="1:28" x14ac:dyDescent="0.25">
      <c r="A743">
        <v>1215</v>
      </c>
      <c r="B743">
        <v>0.17234042553191489</v>
      </c>
      <c r="C743">
        <v>0.1542168674698795</v>
      </c>
      <c r="D743">
        <v>0.115</v>
      </c>
      <c r="E743">
        <v>1.081916537867079E-3</v>
      </c>
      <c r="F743" t="s">
        <v>2401</v>
      </c>
      <c r="G743" t="s">
        <v>2402</v>
      </c>
      <c r="H743" t="s">
        <v>2696</v>
      </c>
      <c r="I743" t="s">
        <v>2698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</row>
    <row r="744" spans="1:28" x14ac:dyDescent="0.25">
      <c r="A744">
        <v>1216</v>
      </c>
      <c r="B744">
        <v>0.38404255319148939</v>
      </c>
      <c r="C744">
        <v>0.2325301204819277</v>
      </c>
      <c r="D744">
        <v>0.31900000000000001</v>
      </c>
      <c r="E744">
        <v>1.081916537867079E-3</v>
      </c>
      <c r="F744" t="s">
        <v>2403</v>
      </c>
      <c r="G744" t="s">
        <v>2404</v>
      </c>
      <c r="H744" t="s">
        <v>2696</v>
      </c>
      <c r="I744" t="s">
        <v>2698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</row>
    <row r="745" spans="1:28" x14ac:dyDescent="0.25">
      <c r="A745">
        <v>1217</v>
      </c>
      <c r="B745">
        <v>5.3191489361702128E-2</v>
      </c>
      <c r="C745">
        <v>0.13012048192771089</v>
      </c>
      <c r="D745">
        <v>0</v>
      </c>
      <c r="E745">
        <v>1.236476043276662E-3</v>
      </c>
      <c r="F745" t="s">
        <v>2405</v>
      </c>
      <c r="G745" t="s">
        <v>2406</v>
      </c>
      <c r="H745" t="s">
        <v>2696</v>
      </c>
      <c r="I745" t="s">
        <v>2698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</row>
    <row r="746" spans="1:28" x14ac:dyDescent="0.25">
      <c r="A746">
        <v>1218</v>
      </c>
      <c r="B746">
        <v>0.4074468085106383</v>
      </c>
      <c r="C746">
        <v>0.1819277108433735</v>
      </c>
      <c r="D746">
        <v>0.32900000000000001</v>
      </c>
      <c r="E746">
        <v>1.2828438948995361E-2</v>
      </c>
      <c r="F746" t="s">
        <v>2407</v>
      </c>
      <c r="G746" t="s">
        <v>2408</v>
      </c>
      <c r="H746" t="s">
        <v>2696</v>
      </c>
      <c r="I746" t="s">
        <v>2698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</row>
    <row r="747" spans="1:28" x14ac:dyDescent="0.25">
      <c r="A747">
        <v>1219</v>
      </c>
      <c r="B747">
        <v>0.26702127659574471</v>
      </c>
      <c r="C747">
        <v>0.19638554216867471</v>
      </c>
      <c r="D747">
        <v>0.19400000000000001</v>
      </c>
      <c r="E747">
        <v>2.1638330757341581E-3</v>
      </c>
      <c r="F747" t="s">
        <v>2409</v>
      </c>
      <c r="G747" t="s">
        <v>2410</v>
      </c>
      <c r="H747" t="s">
        <v>2696</v>
      </c>
      <c r="I747" t="s">
        <v>2698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</row>
    <row r="748" spans="1:28" x14ac:dyDescent="0.25">
      <c r="A748">
        <v>1220</v>
      </c>
      <c r="B748">
        <v>0.19042553191489359</v>
      </c>
      <c r="C748">
        <v>0.16385542168674699</v>
      </c>
      <c r="D748">
        <v>0.13300000000000001</v>
      </c>
      <c r="E748">
        <v>6.8006182380216376E-3</v>
      </c>
      <c r="F748" t="s">
        <v>2411</v>
      </c>
      <c r="G748" t="s">
        <v>2412</v>
      </c>
      <c r="H748" t="s">
        <v>2696</v>
      </c>
      <c r="I748" t="s">
        <v>2698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</row>
    <row r="749" spans="1:28" x14ac:dyDescent="0.25">
      <c r="A749">
        <v>1221</v>
      </c>
      <c r="B749">
        <v>0.41063829787234041</v>
      </c>
      <c r="C749">
        <v>0.20481927710843381</v>
      </c>
      <c r="D749">
        <v>0.35</v>
      </c>
      <c r="E749">
        <v>1.236476043276662E-3</v>
      </c>
      <c r="F749" t="s">
        <v>2413</v>
      </c>
      <c r="G749" t="s">
        <v>2414</v>
      </c>
      <c r="H749" t="s">
        <v>2696</v>
      </c>
      <c r="I749" t="s">
        <v>2698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</row>
    <row r="750" spans="1:28" x14ac:dyDescent="0.25">
      <c r="A750">
        <v>1222</v>
      </c>
      <c r="B750">
        <v>5.7446808510638298E-2</v>
      </c>
      <c r="C750">
        <v>0.13253012048192769</v>
      </c>
      <c r="D750">
        <v>0</v>
      </c>
      <c r="E750">
        <v>1.236476043276662E-3</v>
      </c>
      <c r="F750" t="s">
        <v>2415</v>
      </c>
      <c r="G750" t="s">
        <v>2416</v>
      </c>
      <c r="H750" t="s">
        <v>2696</v>
      </c>
      <c r="I750" t="s">
        <v>2698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</row>
    <row r="751" spans="1:28" x14ac:dyDescent="0.25">
      <c r="A751">
        <v>1223</v>
      </c>
      <c r="B751">
        <v>5.7446808510638298E-2</v>
      </c>
      <c r="C751">
        <v>0.13253012048192769</v>
      </c>
      <c r="D751">
        <v>0</v>
      </c>
      <c r="E751">
        <v>1.236476043276662E-3</v>
      </c>
      <c r="F751" t="s">
        <v>2417</v>
      </c>
      <c r="G751" t="s">
        <v>2418</v>
      </c>
      <c r="H751" t="s">
        <v>2696</v>
      </c>
      <c r="I751" t="s">
        <v>2698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</row>
    <row r="752" spans="1:28" x14ac:dyDescent="0.25">
      <c r="A752">
        <v>1224</v>
      </c>
      <c r="B752">
        <v>0.34042553191489361</v>
      </c>
      <c r="C752">
        <v>0.1819277108433735</v>
      </c>
      <c r="D752">
        <v>0.30499999999999999</v>
      </c>
      <c r="E752">
        <v>1.3910355486862439E-3</v>
      </c>
      <c r="F752" t="s">
        <v>2419</v>
      </c>
      <c r="G752" t="s">
        <v>2420</v>
      </c>
      <c r="H752" t="s">
        <v>2696</v>
      </c>
      <c r="I752" t="s">
        <v>2698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</row>
    <row r="753" spans="1:28" x14ac:dyDescent="0.25">
      <c r="A753">
        <v>1225</v>
      </c>
      <c r="B753">
        <v>0.3202127659574468</v>
      </c>
      <c r="C753">
        <v>0.24096385542168669</v>
      </c>
      <c r="D753">
        <v>0.23699999999999999</v>
      </c>
      <c r="E753">
        <v>0</v>
      </c>
      <c r="F753" t="s">
        <v>2421</v>
      </c>
      <c r="G753" t="s">
        <v>2422</v>
      </c>
      <c r="H753" t="s">
        <v>2696</v>
      </c>
      <c r="I753" t="s">
        <v>2698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</row>
    <row r="754" spans="1:28" x14ac:dyDescent="0.25">
      <c r="A754">
        <v>1226</v>
      </c>
      <c r="B754">
        <v>0.19893617021276599</v>
      </c>
      <c r="C754">
        <v>0.13132530120481931</v>
      </c>
      <c r="D754">
        <v>0.124</v>
      </c>
      <c r="E754">
        <v>1.2210200927357031E-2</v>
      </c>
      <c r="F754" t="s">
        <v>2423</v>
      </c>
      <c r="G754" t="s">
        <v>2424</v>
      </c>
      <c r="H754" t="s">
        <v>2696</v>
      </c>
      <c r="I754" t="s">
        <v>2698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</row>
    <row r="755" spans="1:28" x14ac:dyDescent="0.25">
      <c r="A755">
        <v>1227</v>
      </c>
      <c r="B755">
        <v>0.20744680851063829</v>
      </c>
      <c r="C755">
        <v>0.16385542168674699</v>
      </c>
      <c r="D755">
        <v>0.13600000000000001</v>
      </c>
      <c r="E755">
        <v>2.1638330757341581E-3</v>
      </c>
      <c r="F755" t="s">
        <v>2425</v>
      </c>
      <c r="G755" t="s">
        <v>2412</v>
      </c>
      <c r="H755" t="s">
        <v>2696</v>
      </c>
      <c r="I755" t="s">
        <v>2698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</row>
    <row r="756" spans="1:28" x14ac:dyDescent="0.25">
      <c r="A756">
        <v>1230</v>
      </c>
      <c r="B756">
        <v>0.4521276595744681</v>
      </c>
      <c r="C756">
        <v>0.37349397590361449</v>
      </c>
      <c r="D756">
        <v>0.28000000000000003</v>
      </c>
      <c r="E756">
        <v>1.5455950540958271E-2</v>
      </c>
      <c r="F756" t="s">
        <v>2430</v>
      </c>
      <c r="G756" t="s">
        <v>2431</v>
      </c>
      <c r="H756" t="s">
        <v>2696</v>
      </c>
      <c r="I756" t="s">
        <v>2698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</row>
    <row r="757" spans="1:28" x14ac:dyDescent="0.25">
      <c r="A757">
        <v>1231</v>
      </c>
      <c r="B757">
        <v>0.12659574468085111</v>
      </c>
      <c r="C757">
        <v>5.301204819277109E-2</v>
      </c>
      <c r="D757">
        <v>3.5000000000000003E-2</v>
      </c>
      <c r="E757">
        <v>2.828438948995363E-2</v>
      </c>
      <c r="F757" t="s">
        <v>2432</v>
      </c>
      <c r="G757" t="s">
        <v>2433</v>
      </c>
      <c r="H757" t="s">
        <v>2684</v>
      </c>
      <c r="I757" t="s">
        <v>2687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25">
      <c r="A758">
        <v>1232</v>
      </c>
      <c r="B758">
        <v>7.7659574468085107E-2</v>
      </c>
      <c r="C758">
        <v>6.8674698795180733E-2</v>
      </c>
      <c r="D758">
        <v>1.2999999999999999E-2</v>
      </c>
      <c r="E758">
        <v>6.4914992272024734E-3</v>
      </c>
      <c r="F758" t="s">
        <v>2434</v>
      </c>
      <c r="G758" t="s">
        <v>2435</v>
      </c>
      <c r="H758" t="s">
        <v>2684</v>
      </c>
      <c r="I758" t="s">
        <v>2687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25">
      <c r="A759">
        <v>1233</v>
      </c>
      <c r="B759">
        <v>8.085106382978724E-2</v>
      </c>
      <c r="C759">
        <v>8.1927710843373497E-2</v>
      </c>
      <c r="D759">
        <v>6.9999999999999993E-3</v>
      </c>
      <c r="E759">
        <v>1.6383307573415759E-2</v>
      </c>
      <c r="F759" t="s">
        <v>2436</v>
      </c>
      <c r="G759" t="s">
        <v>2437</v>
      </c>
      <c r="H759" t="s">
        <v>2684</v>
      </c>
      <c r="I759" t="s">
        <v>2687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x14ac:dyDescent="0.25">
      <c r="A760">
        <v>1236</v>
      </c>
      <c r="B760">
        <v>0.22553191489361701</v>
      </c>
      <c r="C760">
        <v>0.21084337349397589</v>
      </c>
      <c r="D760">
        <v>0.1</v>
      </c>
      <c r="E760">
        <v>1.9938176197836169E-2</v>
      </c>
      <c r="F760" t="s">
        <v>2442</v>
      </c>
      <c r="G760" t="s">
        <v>2443</v>
      </c>
      <c r="H760" t="s">
        <v>2684</v>
      </c>
      <c r="I760" t="s">
        <v>2687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 x14ac:dyDescent="0.25">
      <c r="A761">
        <v>1237</v>
      </c>
      <c r="B761">
        <v>0.15212765957446811</v>
      </c>
      <c r="C761">
        <v>0.1445783132530121</v>
      </c>
      <c r="D761">
        <v>5.5E-2</v>
      </c>
      <c r="E761">
        <v>1.761978361669243E-2</v>
      </c>
      <c r="F761" t="s">
        <v>2444</v>
      </c>
      <c r="G761" t="s">
        <v>2445</v>
      </c>
      <c r="H761" t="s">
        <v>2688</v>
      </c>
      <c r="I761" t="s">
        <v>2687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25">
      <c r="A762">
        <v>1239</v>
      </c>
      <c r="B762">
        <v>0.21382978723404261</v>
      </c>
      <c r="C762">
        <v>0.25060240963855418</v>
      </c>
      <c r="D762">
        <v>8.8000000000000009E-2</v>
      </c>
      <c r="E762">
        <v>2.0865533230293661E-2</v>
      </c>
      <c r="F762" t="s">
        <v>2448</v>
      </c>
      <c r="G762" t="s">
        <v>2449</v>
      </c>
      <c r="H762" t="s">
        <v>2684</v>
      </c>
      <c r="I762" t="s">
        <v>2687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25">
      <c r="A763">
        <v>1240</v>
      </c>
      <c r="B763">
        <v>0.15</v>
      </c>
      <c r="C763">
        <v>0.1228915662650602</v>
      </c>
      <c r="D763">
        <v>1.2999999999999999E-2</v>
      </c>
      <c r="E763">
        <v>3.5857805255023183E-2</v>
      </c>
      <c r="F763" t="s">
        <v>2450</v>
      </c>
      <c r="G763" t="s">
        <v>2451</v>
      </c>
      <c r="H763" t="s">
        <v>2684</v>
      </c>
      <c r="I763" t="s">
        <v>2687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25">
      <c r="A764">
        <v>1241</v>
      </c>
      <c r="B764">
        <v>0.15531914893617019</v>
      </c>
      <c r="C764">
        <v>0.14096385542168671</v>
      </c>
      <c r="D764">
        <v>2.3E-2</v>
      </c>
      <c r="E764">
        <v>3.0293663060278211E-2</v>
      </c>
      <c r="F764" t="s">
        <v>2452</v>
      </c>
      <c r="G764" t="s">
        <v>2453</v>
      </c>
      <c r="H764" t="s">
        <v>2683</v>
      </c>
      <c r="I764" t="s">
        <v>2687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25">
      <c r="A765">
        <v>1242</v>
      </c>
      <c r="B765">
        <v>0.13936170212765961</v>
      </c>
      <c r="C765">
        <v>0.2168674698795181</v>
      </c>
      <c r="D765">
        <v>8.0000000000000002E-3</v>
      </c>
      <c r="E765">
        <v>2.009273570324575E-2</v>
      </c>
      <c r="F765" t="s">
        <v>2454</v>
      </c>
      <c r="G765" t="s">
        <v>2453</v>
      </c>
      <c r="H765" t="s">
        <v>2683</v>
      </c>
      <c r="I765" t="s">
        <v>2687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25">
      <c r="A766">
        <v>1243</v>
      </c>
      <c r="B766">
        <v>0.15957446808510639</v>
      </c>
      <c r="C766">
        <v>0.16867469879518071</v>
      </c>
      <c r="D766">
        <v>7.6999999999999999E-2</v>
      </c>
      <c r="E766">
        <v>1.4064914992272019E-2</v>
      </c>
      <c r="F766" t="s">
        <v>2455</v>
      </c>
      <c r="G766" t="s">
        <v>2456</v>
      </c>
      <c r="H766" t="s">
        <v>2684</v>
      </c>
      <c r="I766" t="s">
        <v>2687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25">
      <c r="A767">
        <v>1245</v>
      </c>
      <c r="B767">
        <v>0.25531914893617019</v>
      </c>
      <c r="C767">
        <v>7.2289156626506035E-2</v>
      </c>
      <c r="D767">
        <v>2.7E-2</v>
      </c>
      <c r="E767">
        <v>7.6197836166924257E-2</v>
      </c>
      <c r="F767" t="s">
        <v>2459</v>
      </c>
      <c r="G767" t="s">
        <v>2460</v>
      </c>
      <c r="H767" t="s">
        <v>2696</v>
      </c>
      <c r="I767" t="s">
        <v>2687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25">
      <c r="A768">
        <v>1248</v>
      </c>
      <c r="B768">
        <v>0.37765957446808512</v>
      </c>
      <c r="C768">
        <v>8.4337349397590362E-3</v>
      </c>
      <c r="D768">
        <v>2E-3</v>
      </c>
      <c r="E768">
        <v>0.13168469860896451</v>
      </c>
      <c r="F768" t="s">
        <v>2465</v>
      </c>
      <c r="G768" t="s">
        <v>2466</v>
      </c>
      <c r="H768" t="s">
        <v>2694</v>
      </c>
      <c r="I768" t="s">
        <v>2691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</row>
    <row r="769" spans="1:28" x14ac:dyDescent="0.25">
      <c r="A769">
        <v>1249</v>
      </c>
      <c r="B769">
        <v>0.38723404255319149</v>
      </c>
      <c r="C769">
        <v>8.4337349397590369E-2</v>
      </c>
      <c r="D769">
        <v>5.0000000000000001E-3</v>
      </c>
      <c r="E769">
        <v>0.12364760432766619</v>
      </c>
      <c r="F769" t="s">
        <v>2467</v>
      </c>
      <c r="G769" t="s">
        <v>2468</v>
      </c>
      <c r="H769" t="s">
        <v>2694</v>
      </c>
      <c r="I769" t="s">
        <v>2691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</row>
    <row r="770" spans="1:28" x14ac:dyDescent="0.25">
      <c r="A770">
        <v>1250</v>
      </c>
      <c r="B770">
        <v>0.37553191489361698</v>
      </c>
      <c r="C770">
        <v>8.4337349397590369E-2</v>
      </c>
      <c r="D770">
        <v>5.0000000000000001E-3</v>
      </c>
      <c r="E770">
        <v>0.12364760432766619</v>
      </c>
      <c r="F770" t="s">
        <v>2469</v>
      </c>
      <c r="G770" t="s">
        <v>2470</v>
      </c>
      <c r="H770" t="s">
        <v>2694</v>
      </c>
      <c r="I770" t="s">
        <v>2691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</row>
    <row r="771" spans="1:28" x14ac:dyDescent="0.25">
      <c r="A771">
        <v>1251</v>
      </c>
      <c r="B771">
        <v>0.37553191489361698</v>
      </c>
      <c r="C771">
        <v>9.6385542168674707E-3</v>
      </c>
      <c r="D771">
        <v>1.7000000000000001E-2</v>
      </c>
      <c r="E771">
        <v>0.1292117465224111</v>
      </c>
      <c r="F771" t="s">
        <v>2471</v>
      </c>
      <c r="G771" t="s">
        <v>2472</v>
      </c>
      <c r="H771" t="s">
        <v>2694</v>
      </c>
      <c r="I771" t="s">
        <v>2691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</row>
    <row r="772" spans="1:28" x14ac:dyDescent="0.25">
      <c r="A772">
        <v>1252</v>
      </c>
      <c r="B772">
        <v>0.38617021276595748</v>
      </c>
      <c r="C772">
        <v>1.3253012048192771E-2</v>
      </c>
      <c r="D772">
        <v>5.0000000000000001E-3</v>
      </c>
      <c r="E772">
        <v>0.13632148377125189</v>
      </c>
      <c r="F772" t="s">
        <v>2473</v>
      </c>
      <c r="G772" t="s">
        <v>2474</v>
      </c>
      <c r="H772" t="s">
        <v>2694</v>
      </c>
      <c r="I772" t="s">
        <v>2691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</row>
    <row r="773" spans="1:28" x14ac:dyDescent="0.25">
      <c r="A773">
        <v>1253</v>
      </c>
      <c r="B773">
        <v>0.37765957446808512</v>
      </c>
      <c r="C773">
        <v>8.4337349397590362E-3</v>
      </c>
      <c r="D773">
        <v>2E-3</v>
      </c>
      <c r="E773">
        <v>0.13168469860896451</v>
      </c>
      <c r="F773" t="s">
        <v>2475</v>
      </c>
      <c r="G773" t="s">
        <v>2476</v>
      </c>
      <c r="H773" t="s">
        <v>2694</v>
      </c>
      <c r="I773" t="s">
        <v>2691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</row>
    <row r="774" spans="1:28" x14ac:dyDescent="0.25">
      <c r="A774">
        <v>1254</v>
      </c>
      <c r="B774">
        <v>0.38723404255319149</v>
      </c>
      <c r="C774">
        <v>5.4216867469879519E-2</v>
      </c>
      <c r="D774">
        <v>0.01</v>
      </c>
      <c r="E774">
        <v>0.12905718701700161</v>
      </c>
      <c r="F774" t="s">
        <v>2477</v>
      </c>
      <c r="G774" t="s">
        <v>2478</v>
      </c>
      <c r="H774" t="s">
        <v>2694</v>
      </c>
      <c r="I774" t="s">
        <v>2691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</row>
    <row r="775" spans="1:28" x14ac:dyDescent="0.25">
      <c r="A775">
        <v>1255</v>
      </c>
      <c r="B775">
        <v>0.33617021276595738</v>
      </c>
      <c r="C775">
        <v>0.72409638554216871</v>
      </c>
      <c r="D775">
        <v>6.5000000000000002E-2</v>
      </c>
      <c r="E775">
        <v>3.4621329211746522E-2</v>
      </c>
      <c r="F775" t="s">
        <v>2479</v>
      </c>
      <c r="G775" t="s">
        <v>2480</v>
      </c>
      <c r="H775" t="s">
        <v>2694</v>
      </c>
      <c r="I775" t="s">
        <v>2689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5">
      <c r="A776">
        <v>1256</v>
      </c>
      <c r="B776">
        <v>0.37765957446808512</v>
      </c>
      <c r="C776">
        <v>0.1108433734939759</v>
      </c>
      <c r="D776">
        <v>3.9E-2</v>
      </c>
      <c r="E776">
        <v>0.1139103554868624</v>
      </c>
      <c r="F776" t="s">
        <v>2481</v>
      </c>
      <c r="G776" t="s">
        <v>232</v>
      </c>
      <c r="H776" t="s">
        <v>2694</v>
      </c>
      <c r="I776" t="s">
        <v>2691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</row>
    <row r="777" spans="1:28" x14ac:dyDescent="0.25">
      <c r="A777">
        <v>1257</v>
      </c>
      <c r="B777">
        <v>0.37765957446808512</v>
      </c>
      <c r="C777">
        <v>0.1108433734939759</v>
      </c>
      <c r="D777">
        <v>3.9E-2</v>
      </c>
      <c r="E777">
        <v>0.1139103554868624</v>
      </c>
      <c r="F777" t="s">
        <v>2482</v>
      </c>
      <c r="G777" t="s">
        <v>2483</v>
      </c>
      <c r="H777" t="s">
        <v>2694</v>
      </c>
      <c r="I777" t="s">
        <v>2691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</row>
    <row r="778" spans="1:28" x14ac:dyDescent="0.25">
      <c r="A778">
        <v>1258</v>
      </c>
      <c r="B778">
        <v>0.4127659574468085</v>
      </c>
      <c r="C778">
        <v>0.2289156626506024</v>
      </c>
      <c r="D778">
        <v>7.4999999999999997E-2</v>
      </c>
      <c r="E778">
        <v>9.4590417310664615E-2</v>
      </c>
      <c r="F778" t="s">
        <v>2484</v>
      </c>
      <c r="G778" t="s">
        <v>2485</v>
      </c>
      <c r="H778" t="s">
        <v>2694</v>
      </c>
      <c r="I778" t="s">
        <v>2691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</row>
    <row r="779" spans="1:28" x14ac:dyDescent="0.25">
      <c r="A779">
        <v>1259</v>
      </c>
      <c r="B779">
        <v>0.36914893617021283</v>
      </c>
      <c r="C779">
        <v>0.43253012048192768</v>
      </c>
      <c r="D779">
        <v>0.20599999999999999</v>
      </c>
      <c r="E779">
        <v>4.6213292117465221E-2</v>
      </c>
      <c r="F779" t="s">
        <v>2486</v>
      </c>
      <c r="G779" t="s">
        <v>2487</v>
      </c>
      <c r="H779" t="s">
        <v>2694</v>
      </c>
      <c r="I779" t="s">
        <v>2687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25">
      <c r="A780">
        <v>1260</v>
      </c>
      <c r="B780">
        <v>0.36914893617021283</v>
      </c>
      <c r="C780">
        <v>3.6144578313253009E-3</v>
      </c>
      <c r="D780">
        <v>1E-3</v>
      </c>
      <c r="E780">
        <v>0.1323029366306028</v>
      </c>
      <c r="F780" t="s">
        <v>2488</v>
      </c>
      <c r="G780" t="s">
        <v>2489</v>
      </c>
      <c r="H780" t="s">
        <v>2694</v>
      </c>
      <c r="I780" t="s">
        <v>2691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</row>
    <row r="781" spans="1:28" x14ac:dyDescent="0.25">
      <c r="A781">
        <v>1261</v>
      </c>
      <c r="B781">
        <v>0.37234042553191488</v>
      </c>
      <c r="C781">
        <v>1.445783132530121E-2</v>
      </c>
      <c r="D781">
        <v>6.0000000000000001E-3</v>
      </c>
      <c r="E781">
        <v>0.1313755795981453</v>
      </c>
      <c r="F781" t="s">
        <v>2490</v>
      </c>
      <c r="G781" t="s">
        <v>2491</v>
      </c>
      <c r="H781" t="s">
        <v>2694</v>
      </c>
      <c r="I781" t="s">
        <v>2691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</row>
    <row r="782" spans="1:28" x14ac:dyDescent="0.25">
      <c r="A782">
        <v>1262</v>
      </c>
      <c r="B782">
        <v>0.3595744680851064</v>
      </c>
      <c r="C782">
        <v>3.4939759036144581E-2</v>
      </c>
      <c r="D782">
        <v>4.0000000000000001E-3</v>
      </c>
      <c r="E782">
        <v>0.1245749613601236</v>
      </c>
      <c r="F782" t="s">
        <v>2492</v>
      </c>
      <c r="G782" t="s">
        <v>2493</v>
      </c>
      <c r="H782" t="s">
        <v>2694</v>
      </c>
      <c r="I782" t="s">
        <v>2686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25">
      <c r="A783">
        <v>1263</v>
      </c>
      <c r="B783">
        <v>0.37553191489361698</v>
      </c>
      <c r="C783">
        <v>8.4337349397590362E-3</v>
      </c>
      <c r="D783">
        <v>2E-3</v>
      </c>
      <c r="E783">
        <v>0.1309119010819165</v>
      </c>
      <c r="F783" t="s">
        <v>2494</v>
      </c>
      <c r="G783" t="s">
        <v>2495</v>
      </c>
      <c r="H783" t="s">
        <v>2694</v>
      </c>
      <c r="I783" t="s">
        <v>2691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</row>
    <row r="784" spans="1:28" x14ac:dyDescent="0.25">
      <c r="A784">
        <v>1264</v>
      </c>
      <c r="B784">
        <v>0.34680851063829787</v>
      </c>
      <c r="C784">
        <v>4.8192771084337352E-2</v>
      </c>
      <c r="D784">
        <v>4.0000000000000001E-3</v>
      </c>
      <c r="E784">
        <v>0.1185471406491499</v>
      </c>
      <c r="F784" t="s">
        <v>2496</v>
      </c>
      <c r="G784" t="s">
        <v>2497</v>
      </c>
      <c r="H784" t="s">
        <v>2694</v>
      </c>
      <c r="I784" t="s">
        <v>2691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</row>
    <row r="785" spans="1:28" x14ac:dyDescent="0.25">
      <c r="A785">
        <v>1265</v>
      </c>
      <c r="B785">
        <v>0.38617021276595748</v>
      </c>
      <c r="C785">
        <v>1.3253012048192771E-2</v>
      </c>
      <c r="D785">
        <v>5.0000000000000001E-3</v>
      </c>
      <c r="E785">
        <v>0.13632148377125189</v>
      </c>
      <c r="F785" t="s">
        <v>2498</v>
      </c>
      <c r="G785" t="s">
        <v>2499</v>
      </c>
      <c r="H785" t="s">
        <v>2694</v>
      </c>
      <c r="I785" t="s">
        <v>2691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</row>
    <row r="786" spans="1:28" x14ac:dyDescent="0.25">
      <c r="A786">
        <v>1266</v>
      </c>
      <c r="B786">
        <v>0.37553191489361698</v>
      </c>
      <c r="C786">
        <v>3.4939759036144581E-2</v>
      </c>
      <c r="D786">
        <v>5.0000000000000001E-3</v>
      </c>
      <c r="E786">
        <v>0.1304482225656878</v>
      </c>
      <c r="F786" t="s">
        <v>2500</v>
      </c>
      <c r="G786" t="s">
        <v>2501</v>
      </c>
      <c r="H786" t="s">
        <v>2694</v>
      </c>
      <c r="I786" t="s">
        <v>2691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</row>
    <row r="787" spans="1:28" x14ac:dyDescent="0.25">
      <c r="A787">
        <v>1267</v>
      </c>
      <c r="B787">
        <v>0.54148936170212769</v>
      </c>
      <c r="C787">
        <v>0.29638554216867469</v>
      </c>
      <c r="D787">
        <v>0.3</v>
      </c>
      <c r="E787">
        <v>5.5950540958268943E-2</v>
      </c>
      <c r="F787" t="s">
        <v>2502</v>
      </c>
      <c r="G787" t="s">
        <v>2503</v>
      </c>
      <c r="H787" t="s">
        <v>2694</v>
      </c>
      <c r="I787" t="s">
        <v>2693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</row>
    <row r="788" spans="1:28" x14ac:dyDescent="0.25">
      <c r="A788">
        <v>1268</v>
      </c>
      <c r="B788">
        <v>0.44468085106382982</v>
      </c>
      <c r="C788">
        <v>0.2289156626506024</v>
      </c>
      <c r="D788">
        <v>0.09</v>
      </c>
      <c r="E788">
        <v>0.10123647604327669</v>
      </c>
      <c r="F788" t="s">
        <v>2504</v>
      </c>
      <c r="G788" t="s">
        <v>2505</v>
      </c>
      <c r="H788" t="s">
        <v>2694</v>
      </c>
      <c r="I788" t="s">
        <v>2693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</row>
    <row r="789" spans="1:28" x14ac:dyDescent="0.25">
      <c r="A789">
        <v>1269</v>
      </c>
      <c r="B789">
        <v>0.3851063829787234</v>
      </c>
      <c r="C789">
        <v>0.42891566265060238</v>
      </c>
      <c r="D789">
        <v>0.01</v>
      </c>
      <c r="E789">
        <v>8.0370942812983001E-2</v>
      </c>
      <c r="F789" t="s">
        <v>2506</v>
      </c>
      <c r="G789" t="s">
        <v>2507</v>
      </c>
      <c r="H789" t="s">
        <v>2694</v>
      </c>
      <c r="I789" t="s">
        <v>2693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</row>
    <row r="790" spans="1:28" x14ac:dyDescent="0.25">
      <c r="A790">
        <v>1270</v>
      </c>
      <c r="B790">
        <v>0.35319148936170208</v>
      </c>
      <c r="C790">
        <v>6.8674698795180733E-2</v>
      </c>
      <c r="D790">
        <v>6.0000000000000001E-3</v>
      </c>
      <c r="E790">
        <v>0.1176197836166924</v>
      </c>
      <c r="F790" t="s">
        <v>2508</v>
      </c>
      <c r="G790" t="s">
        <v>2509</v>
      </c>
      <c r="H790" t="s">
        <v>2694</v>
      </c>
      <c r="I790" t="s">
        <v>2691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</row>
    <row r="791" spans="1:28" x14ac:dyDescent="0.25">
      <c r="A791">
        <v>1271</v>
      </c>
      <c r="B791">
        <v>0.38829787234042562</v>
      </c>
      <c r="C791">
        <v>0.1072289156626506</v>
      </c>
      <c r="D791">
        <v>1.2999999999999999E-2</v>
      </c>
      <c r="E791">
        <v>0.11947449768160739</v>
      </c>
      <c r="F791" t="s">
        <v>2510</v>
      </c>
      <c r="G791" t="s">
        <v>2511</v>
      </c>
      <c r="H791" t="s">
        <v>2694</v>
      </c>
      <c r="I791" t="s">
        <v>2691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</row>
    <row r="792" spans="1:28" x14ac:dyDescent="0.25">
      <c r="A792">
        <v>1272</v>
      </c>
      <c r="B792">
        <v>0.37659574468085111</v>
      </c>
      <c r="C792">
        <v>3.3734939759036138E-2</v>
      </c>
      <c r="D792">
        <v>6.0000000000000001E-3</v>
      </c>
      <c r="E792">
        <v>0.1304482225656878</v>
      </c>
      <c r="F792" t="s">
        <v>2512</v>
      </c>
      <c r="G792" t="s">
        <v>2513</v>
      </c>
      <c r="H792" t="s">
        <v>2694</v>
      </c>
      <c r="I792" t="s">
        <v>2691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</row>
    <row r="793" spans="1:28" x14ac:dyDescent="0.25">
      <c r="A793">
        <v>1273</v>
      </c>
      <c r="B793">
        <v>0.16489361702127661</v>
      </c>
      <c r="C793">
        <v>0.26867469879518069</v>
      </c>
      <c r="D793">
        <v>2.9000000000000001E-2</v>
      </c>
      <c r="E793">
        <v>1.530139103554869E-2</v>
      </c>
      <c r="F793" t="s">
        <v>2514</v>
      </c>
      <c r="G793" t="s">
        <v>2515</v>
      </c>
      <c r="H793" t="s">
        <v>2688</v>
      </c>
      <c r="I793" t="s">
        <v>2690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</row>
    <row r="794" spans="1:28" x14ac:dyDescent="0.25">
      <c r="A794">
        <v>1274</v>
      </c>
      <c r="B794">
        <v>0.20319148936170209</v>
      </c>
      <c r="C794">
        <v>0.39879518072289161</v>
      </c>
      <c r="D794">
        <v>3.5999999999999997E-2</v>
      </c>
      <c r="E794">
        <v>1.0200927357032459E-2</v>
      </c>
      <c r="F794" t="s">
        <v>2516</v>
      </c>
      <c r="G794" t="s">
        <v>2517</v>
      </c>
      <c r="H794" t="s">
        <v>2688</v>
      </c>
      <c r="I794" t="s">
        <v>2690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</row>
    <row r="795" spans="1:28" x14ac:dyDescent="0.25">
      <c r="A795">
        <v>1275</v>
      </c>
      <c r="B795">
        <v>0.18510638297872339</v>
      </c>
      <c r="C795">
        <v>0.36144578313253012</v>
      </c>
      <c r="D795">
        <v>3.5000000000000003E-2</v>
      </c>
      <c r="E795">
        <v>5.4095826893353939E-3</v>
      </c>
      <c r="F795" t="s">
        <v>2518</v>
      </c>
      <c r="G795" t="s">
        <v>2519</v>
      </c>
      <c r="H795" t="s">
        <v>2688</v>
      </c>
      <c r="I795" t="s">
        <v>2690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</row>
    <row r="796" spans="1:28" x14ac:dyDescent="0.25">
      <c r="A796">
        <v>1276</v>
      </c>
      <c r="B796">
        <v>0.18510638297872339</v>
      </c>
      <c r="C796">
        <v>0.36144578313253012</v>
      </c>
      <c r="D796">
        <v>3.5000000000000003E-2</v>
      </c>
      <c r="E796">
        <v>8.6553323029366306E-3</v>
      </c>
      <c r="F796" t="s">
        <v>2520</v>
      </c>
      <c r="G796" t="s">
        <v>2521</v>
      </c>
      <c r="H796" t="s">
        <v>2688</v>
      </c>
      <c r="I796" t="s">
        <v>2690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</row>
    <row r="797" spans="1:28" x14ac:dyDescent="0.25">
      <c r="A797">
        <v>1280</v>
      </c>
      <c r="B797">
        <v>0.30319148936170209</v>
      </c>
      <c r="C797">
        <v>5.1807228915662647E-2</v>
      </c>
      <c r="D797">
        <v>0.25700000000000001</v>
      </c>
      <c r="E797">
        <v>1.4683153013910349E-2</v>
      </c>
      <c r="F797" t="s">
        <v>2528</v>
      </c>
      <c r="G797" t="s">
        <v>2529</v>
      </c>
      <c r="H797" t="s">
        <v>2683</v>
      </c>
      <c r="I797" t="s">
        <v>2687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>
        <v>1290</v>
      </c>
      <c r="B798">
        <v>6.2765957446808518E-2</v>
      </c>
      <c r="C798">
        <v>3.4939759036144581E-2</v>
      </c>
      <c r="D798">
        <v>3.0000000000000001E-3</v>
      </c>
      <c r="E798">
        <v>2.1483771251931991E-2</v>
      </c>
      <c r="F798" t="s">
        <v>2548</v>
      </c>
      <c r="G798" t="s">
        <v>2549</v>
      </c>
      <c r="H798" t="s">
        <v>2683</v>
      </c>
      <c r="I798" t="s">
        <v>2685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</row>
    <row r="799" spans="1:28" x14ac:dyDescent="0.25">
      <c r="A799">
        <v>1291</v>
      </c>
      <c r="B799">
        <v>0.1276595744680851</v>
      </c>
      <c r="C799">
        <v>2.891566265060241E-2</v>
      </c>
      <c r="D799">
        <v>4.0000000000000001E-3</v>
      </c>
      <c r="E799">
        <v>4.0185471406491501E-2</v>
      </c>
      <c r="F799" t="s">
        <v>2550</v>
      </c>
      <c r="G799" t="s">
        <v>2551</v>
      </c>
      <c r="H799" t="s">
        <v>2683</v>
      </c>
      <c r="I799" t="s">
        <v>2691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</row>
    <row r="800" spans="1:28" x14ac:dyDescent="0.25">
      <c r="A800">
        <v>1295</v>
      </c>
      <c r="B800">
        <v>0.37553191489361698</v>
      </c>
      <c r="C800">
        <v>2.891566265060241E-2</v>
      </c>
      <c r="D800">
        <v>1.0999999999999999E-2</v>
      </c>
      <c r="E800">
        <v>0.12890262751159201</v>
      </c>
      <c r="F800" t="s">
        <v>2558</v>
      </c>
      <c r="G800" t="s">
        <v>2559</v>
      </c>
      <c r="H800" t="s">
        <v>2683</v>
      </c>
      <c r="I800" t="s">
        <v>2690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</row>
    <row r="801" spans="1:28" x14ac:dyDescent="0.25">
      <c r="A801">
        <v>1296</v>
      </c>
      <c r="B801">
        <v>0.42021276595744678</v>
      </c>
      <c r="C801">
        <v>3.8554216867469883E-2</v>
      </c>
      <c r="D801">
        <v>8.5000000000000006E-2</v>
      </c>
      <c r="E801">
        <v>0.11823802163833071</v>
      </c>
      <c r="F801" t="s">
        <v>2560</v>
      </c>
      <c r="G801" t="s">
        <v>2561</v>
      </c>
      <c r="H801" t="s">
        <v>2683</v>
      </c>
      <c r="I801" t="s">
        <v>2690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</row>
    <row r="802" spans="1:28" x14ac:dyDescent="0.25">
      <c r="A802">
        <v>1297</v>
      </c>
      <c r="B802">
        <v>0.41702127659574473</v>
      </c>
      <c r="C802">
        <v>6.5060240963855431E-2</v>
      </c>
      <c r="D802">
        <v>0.28499999999999998</v>
      </c>
      <c r="E802">
        <v>4.3894899536321481E-2</v>
      </c>
      <c r="F802" t="s">
        <v>2562</v>
      </c>
      <c r="G802" t="s">
        <v>2563</v>
      </c>
      <c r="H802" t="s">
        <v>2683</v>
      </c>
      <c r="I802" t="s">
        <v>2687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25">
      <c r="A803">
        <v>1299</v>
      </c>
      <c r="B803">
        <v>2.4468085106382979E-2</v>
      </c>
      <c r="C803">
        <v>3.4939759036144581E-2</v>
      </c>
      <c r="D803">
        <v>2E-3</v>
      </c>
      <c r="E803">
        <v>6.33693972179289E-3</v>
      </c>
      <c r="F803" t="s">
        <v>2566</v>
      </c>
      <c r="G803" t="s">
        <v>2567</v>
      </c>
      <c r="H803" t="s">
        <v>2684</v>
      </c>
      <c r="I803" t="s">
        <v>2687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25">
      <c r="A804">
        <v>1300</v>
      </c>
      <c r="B804">
        <v>3.7234042553191488E-2</v>
      </c>
      <c r="C804">
        <v>6.0240963855421693E-2</v>
      </c>
      <c r="D804">
        <v>2E-3</v>
      </c>
      <c r="E804">
        <v>8.9644513137557957E-3</v>
      </c>
      <c r="F804" t="s">
        <v>2568</v>
      </c>
      <c r="G804" t="s">
        <v>2569</v>
      </c>
      <c r="H804" t="s">
        <v>2684</v>
      </c>
      <c r="I804" t="s">
        <v>2687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25">
      <c r="A805">
        <v>1301</v>
      </c>
      <c r="B805">
        <v>7.1276595744680857E-2</v>
      </c>
      <c r="C805">
        <v>0.108433734939759</v>
      </c>
      <c r="D805">
        <v>2.5999999999999999E-2</v>
      </c>
      <c r="E805">
        <v>9.8918083462132926E-3</v>
      </c>
      <c r="F805" t="s">
        <v>2570</v>
      </c>
      <c r="G805" t="s">
        <v>2571</v>
      </c>
      <c r="H805" t="s">
        <v>2684</v>
      </c>
      <c r="I805" t="s">
        <v>2687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>
        <v>1303</v>
      </c>
      <c r="B806">
        <v>2.1276595744680851E-2</v>
      </c>
      <c r="C806">
        <v>1.204819277108434E-2</v>
      </c>
      <c r="D806">
        <v>2E-3</v>
      </c>
      <c r="E806">
        <v>5.4095826893353939E-3</v>
      </c>
      <c r="F806" t="s">
        <v>2574</v>
      </c>
      <c r="G806" t="s">
        <v>2575</v>
      </c>
      <c r="H806" t="s">
        <v>2696</v>
      </c>
      <c r="I806" t="s">
        <v>2685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</row>
    <row r="807" spans="1:28" x14ac:dyDescent="0.25">
      <c r="A807">
        <v>1304</v>
      </c>
      <c r="B807">
        <v>2.1276595744680851E-2</v>
      </c>
      <c r="C807">
        <v>1.204819277108434E-2</v>
      </c>
      <c r="D807">
        <v>3.0000000000000001E-3</v>
      </c>
      <c r="E807">
        <v>6.4914992272024734E-3</v>
      </c>
      <c r="F807" t="s">
        <v>2576</v>
      </c>
      <c r="G807" t="s">
        <v>2577</v>
      </c>
      <c r="H807" t="s">
        <v>2683</v>
      </c>
      <c r="I807" t="s">
        <v>2685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1305</v>
      </c>
      <c r="B808">
        <v>2.553191489361702E-2</v>
      </c>
      <c r="C808">
        <v>1.566265060240964E-2</v>
      </c>
      <c r="D808">
        <v>5.0000000000000001E-3</v>
      </c>
      <c r="E808">
        <v>7.2642967542503869E-3</v>
      </c>
      <c r="F808" t="s">
        <v>2578</v>
      </c>
      <c r="G808" t="s">
        <v>2579</v>
      </c>
      <c r="H808" t="s">
        <v>2683</v>
      </c>
      <c r="I808" t="s">
        <v>2685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1306</v>
      </c>
      <c r="B809">
        <v>2.553191489361702E-2</v>
      </c>
      <c r="C809">
        <v>2.4096385542168679E-2</v>
      </c>
      <c r="D809">
        <v>6.9999999999999993E-3</v>
      </c>
      <c r="E809">
        <v>5.100463678516228E-3</v>
      </c>
      <c r="F809" t="s">
        <v>2580</v>
      </c>
      <c r="G809" t="s">
        <v>2581</v>
      </c>
      <c r="H809" t="s">
        <v>2683</v>
      </c>
      <c r="I809" t="s">
        <v>2685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</row>
    <row r="810" spans="1:28" x14ac:dyDescent="0.25">
      <c r="A810">
        <v>1307</v>
      </c>
      <c r="B810">
        <v>0.20106382978723411</v>
      </c>
      <c r="C810">
        <v>0.136144578313253</v>
      </c>
      <c r="D810">
        <v>0.157</v>
      </c>
      <c r="E810">
        <v>9.2735703245749607E-4</v>
      </c>
      <c r="F810" t="s">
        <v>2582</v>
      </c>
      <c r="G810" t="s">
        <v>2583</v>
      </c>
      <c r="H810" t="s">
        <v>2683</v>
      </c>
      <c r="I810" t="s">
        <v>2691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</row>
    <row r="811" spans="1:28" x14ac:dyDescent="0.25">
      <c r="A811">
        <v>1308</v>
      </c>
      <c r="B811">
        <v>5.1063829787234047E-2</v>
      </c>
      <c r="C811">
        <v>1.6867469879518069E-2</v>
      </c>
      <c r="D811">
        <v>4.2000000000000003E-2</v>
      </c>
      <c r="E811">
        <v>4.0185471406491502E-3</v>
      </c>
      <c r="F811" t="s">
        <v>2584</v>
      </c>
      <c r="G811" t="s">
        <v>2585</v>
      </c>
      <c r="H811" t="s">
        <v>2683</v>
      </c>
      <c r="I811" t="s">
        <v>2685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</row>
    <row r="812" spans="1:28" x14ac:dyDescent="0.25">
      <c r="A812">
        <v>1309</v>
      </c>
      <c r="B812">
        <v>0.1978723404255319</v>
      </c>
      <c r="C812">
        <v>2.289156626506024E-2</v>
      </c>
      <c r="D812">
        <v>2E-3</v>
      </c>
      <c r="E812">
        <v>6.846986089644512E-2</v>
      </c>
      <c r="F812" t="s">
        <v>2586</v>
      </c>
      <c r="G812" t="s">
        <v>2587</v>
      </c>
      <c r="H812" t="s">
        <v>2688</v>
      </c>
      <c r="I812" t="s">
        <v>2690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</row>
    <row r="813" spans="1:28" x14ac:dyDescent="0.25">
      <c r="A813">
        <v>1312</v>
      </c>
      <c r="B813">
        <v>0.12659574468085111</v>
      </c>
      <c r="C813">
        <v>6.024096385542169E-3</v>
      </c>
      <c r="D813">
        <v>4.0000000000000001E-3</v>
      </c>
      <c r="E813">
        <v>3.8794435857805259E-2</v>
      </c>
      <c r="F813" t="s">
        <v>2592</v>
      </c>
      <c r="G813" t="s">
        <v>2593</v>
      </c>
      <c r="H813" t="s">
        <v>2688</v>
      </c>
      <c r="I813" t="s">
        <v>2690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</row>
    <row r="814" spans="1:28" x14ac:dyDescent="0.25">
      <c r="A814">
        <v>1313</v>
      </c>
      <c r="B814">
        <v>8.8297872340425534E-2</v>
      </c>
      <c r="C814">
        <v>1.8072289156626509E-2</v>
      </c>
      <c r="D814">
        <v>2E-3</v>
      </c>
      <c r="E814">
        <v>2.9057187017001551E-2</v>
      </c>
      <c r="F814" t="s">
        <v>2594</v>
      </c>
      <c r="G814" t="s">
        <v>2595</v>
      </c>
      <c r="H814" t="s">
        <v>2688</v>
      </c>
      <c r="I814" t="s">
        <v>2690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</row>
    <row r="815" spans="1:28" x14ac:dyDescent="0.25">
      <c r="A815">
        <v>1314</v>
      </c>
      <c r="B815">
        <v>0.1308510638297872</v>
      </c>
      <c r="C815">
        <v>2.168674698795181E-2</v>
      </c>
      <c r="D815">
        <v>6.9999999999999993E-3</v>
      </c>
      <c r="E815">
        <v>4.312210200927357E-2</v>
      </c>
      <c r="F815" t="s">
        <v>2596</v>
      </c>
      <c r="G815" t="s">
        <v>2597</v>
      </c>
      <c r="H815" t="s">
        <v>2688</v>
      </c>
      <c r="I815" t="s">
        <v>2690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</row>
    <row r="816" spans="1:28" x14ac:dyDescent="0.25">
      <c r="A816">
        <v>1315</v>
      </c>
      <c r="B816">
        <v>0.16063829787234041</v>
      </c>
      <c r="C816">
        <v>1.9277108433734941E-2</v>
      </c>
      <c r="D816">
        <v>3.0000000000000001E-3</v>
      </c>
      <c r="E816">
        <v>5.4714064914992269E-2</v>
      </c>
      <c r="F816" t="s">
        <v>2598</v>
      </c>
      <c r="G816" t="s">
        <v>1164</v>
      </c>
      <c r="H816" t="s">
        <v>2688</v>
      </c>
      <c r="I816" t="s">
        <v>2690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</row>
    <row r="817" spans="1:28" x14ac:dyDescent="0.25">
      <c r="A817">
        <v>1316</v>
      </c>
      <c r="B817">
        <v>0.1308510638297872</v>
      </c>
      <c r="C817">
        <v>2.168674698795181E-2</v>
      </c>
      <c r="D817">
        <v>6.9999999999999993E-3</v>
      </c>
      <c r="E817">
        <v>4.312210200927357E-2</v>
      </c>
      <c r="F817" t="s">
        <v>2599</v>
      </c>
      <c r="G817" t="s">
        <v>2600</v>
      </c>
      <c r="H817" t="s">
        <v>2688</v>
      </c>
      <c r="I817" t="s">
        <v>2690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</row>
    <row r="818" spans="1:28" x14ac:dyDescent="0.25">
      <c r="A818">
        <v>1317</v>
      </c>
      <c r="B818">
        <v>0.1212765957446809</v>
      </c>
      <c r="C818">
        <v>1.6867469879518069E-2</v>
      </c>
      <c r="D818">
        <v>9.6000000000000002E-2</v>
      </c>
      <c r="E818">
        <v>3.956723338485317E-2</v>
      </c>
      <c r="F818" t="s">
        <v>2601</v>
      </c>
      <c r="G818" t="s">
        <v>2602</v>
      </c>
      <c r="H818" t="s">
        <v>2683</v>
      </c>
      <c r="I818" t="s">
        <v>2690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</row>
    <row r="819" spans="1:28" x14ac:dyDescent="0.25">
      <c r="A819">
        <v>1318</v>
      </c>
      <c r="B819">
        <v>0.19574468085106381</v>
      </c>
      <c r="C819">
        <v>1.6867469879518069E-2</v>
      </c>
      <c r="D819">
        <v>3.0000000000000001E-3</v>
      </c>
      <c r="E819">
        <v>3.4775888717156103E-2</v>
      </c>
      <c r="F819" t="s">
        <v>2603</v>
      </c>
      <c r="G819" t="s">
        <v>626</v>
      </c>
      <c r="H819" t="s">
        <v>2688</v>
      </c>
      <c r="I819" t="s">
        <v>2685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</row>
    <row r="820" spans="1:28" x14ac:dyDescent="0.25">
      <c r="A820">
        <v>1319</v>
      </c>
      <c r="B820">
        <v>0.1148936170212766</v>
      </c>
      <c r="C820">
        <v>6.024096385542169E-3</v>
      </c>
      <c r="D820">
        <v>4.0000000000000001E-3</v>
      </c>
      <c r="E820">
        <v>3.956723338485317E-2</v>
      </c>
      <c r="F820" t="s">
        <v>2604</v>
      </c>
      <c r="G820" t="s">
        <v>2605</v>
      </c>
      <c r="H820" t="s">
        <v>2688</v>
      </c>
      <c r="I820" t="s">
        <v>2690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</row>
    <row r="821" spans="1:28" x14ac:dyDescent="0.25">
      <c r="A821">
        <v>1321</v>
      </c>
      <c r="B821">
        <v>8.723404255319149E-2</v>
      </c>
      <c r="C821">
        <v>6.9879518072289162E-2</v>
      </c>
      <c r="D821">
        <v>1.2999999999999999E-2</v>
      </c>
      <c r="E821">
        <v>1.8083462132921169E-2</v>
      </c>
      <c r="F821" t="s">
        <v>2608</v>
      </c>
      <c r="G821" t="s">
        <v>2609</v>
      </c>
      <c r="H821" t="s">
        <v>2683</v>
      </c>
      <c r="I821" t="s">
        <v>2687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1330</v>
      </c>
      <c r="B822">
        <v>0.1276595744680851</v>
      </c>
      <c r="C822">
        <v>3.3734939759036138E-2</v>
      </c>
      <c r="D822">
        <v>5.0000000000000001E-3</v>
      </c>
      <c r="E822">
        <v>0.12720247295208659</v>
      </c>
      <c r="F822" t="s">
        <v>2626</v>
      </c>
      <c r="G822" t="s">
        <v>2627</v>
      </c>
      <c r="H822" t="s">
        <v>2688</v>
      </c>
      <c r="I822" t="s">
        <v>2690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</row>
    <row r="823" spans="1:28" x14ac:dyDescent="0.25">
      <c r="A823">
        <v>1332</v>
      </c>
      <c r="B823">
        <v>0.13829787234042551</v>
      </c>
      <c r="C823">
        <v>0.16867469879518071</v>
      </c>
      <c r="D823">
        <v>7.2000000000000008E-2</v>
      </c>
      <c r="E823">
        <v>2.3183925811437402E-3</v>
      </c>
      <c r="F823" t="s">
        <v>2630</v>
      </c>
      <c r="G823" t="s">
        <v>2631</v>
      </c>
      <c r="H823" t="s">
        <v>2688</v>
      </c>
      <c r="I823" t="s">
        <v>2689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25">
      <c r="A824">
        <v>1333</v>
      </c>
      <c r="B824">
        <v>0.1074468085106383</v>
      </c>
      <c r="C824">
        <v>2.4096385542168679E-2</v>
      </c>
      <c r="D824">
        <v>2E-3</v>
      </c>
      <c r="E824">
        <v>3.060278207109737E-2</v>
      </c>
      <c r="F824" t="s">
        <v>2632</v>
      </c>
      <c r="G824" t="s">
        <v>2633</v>
      </c>
      <c r="H824" t="s">
        <v>2688</v>
      </c>
      <c r="I824" t="s">
        <v>2690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</row>
    <row r="825" spans="1:28" x14ac:dyDescent="0.25">
      <c r="A825">
        <v>1334</v>
      </c>
      <c r="B825">
        <v>0.38617021276595748</v>
      </c>
      <c r="C825">
        <v>0.10481927710843369</v>
      </c>
      <c r="D825">
        <v>4.0000000000000001E-3</v>
      </c>
      <c r="E825">
        <v>0.1216383307573416</v>
      </c>
      <c r="F825" t="s">
        <v>2634</v>
      </c>
      <c r="G825" t="s">
        <v>2635</v>
      </c>
      <c r="H825" t="s">
        <v>2683</v>
      </c>
      <c r="I825" t="s">
        <v>2691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</row>
    <row r="826" spans="1:28" x14ac:dyDescent="0.25">
      <c r="A826">
        <v>1337</v>
      </c>
      <c r="B826">
        <v>0.45106382978723403</v>
      </c>
      <c r="C826">
        <v>1.566265060240964E-2</v>
      </c>
      <c r="D826">
        <v>0.107</v>
      </c>
      <c r="E826">
        <v>0.1247295208655332</v>
      </c>
      <c r="F826" t="s">
        <v>2640</v>
      </c>
      <c r="G826" t="s">
        <v>2641</v>
      </c>
      <c r="H826" t="s">
        <v>2684</v>
      </c>
      <c r="I826" t="s">
        <v>2691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</row>
    <row r="827" spans="1:28" x14ac:dyDescent="0.25">
      <c r="A827">
        <v>1338</v>
      </c>
      <c r="B827">
        <v>0.60425531914893615</v>
      </c>
      <c r="C827">
        <v>0.2325301204819277</v>
      </c>
      <c r="D827">
        <v>0.51100000000000001</v>
      </c>
      <c r="E827">
        <v>2.7975270479134472E-2</v>
      </c>
      <c r="F827" t="s">
        <v>2642</v>
      </c>
      <c r="G827" t="s">
        <v>2643</v>
      </c>
      <c r="H827" t="s">
        <v>2684</v>
      </c>
      <c r="I827" t="s">
        <v>2687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1339</v>
      </c>
      <c r="B828">
        <v>0.37765957446808512</v>
      </c>
      <c r="C828">
        <v>3.8554216867469883E-2</v>
      </c>
      <c r="D828">
        <v>0.151</v>
      </c>
      <c r="E828">
        <v>7.9443585780525502E-2</v>
      </c>
      <c r="F828" t="s">
        <v>2644</v>
      </c>
      <c r="G828" t="s">
        <v>2645</v>
      </c>
      <c r="H828" t="s">
        <v>2688</v>
      </c>
      <c r="I828" t="s">
        <v>2691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</row>
    <row r="829" spans="1:28" x14ac:dyDescent="0.25">
      <c r="A829">
        <v>1340</v>
      </c>
      <c r="B829">
        <v>0.15212765957446811</v>
      </c>
      <c r="C829">
        <v>3.7349397590361447E-2</v>
      </c>
      <c r="D829">
        <v>7.8E-2</v>
      </c>
      <c r="E829">
        <v>2.3183925811437401E-2</v>
      </c>
      <c r="F829" t="s">
        <v>2646</v>
      </c>
      <c r="G829" t="s">
        <v>2647</v>
      </c>
      <c r="H829" t="s">
        <v>2688</v>
      </c>
      <c r="I829" t="s">
        <v>2690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</row>
    <row r="830" spans="1:28" x14ac:dyDescent="0.25">
      <c r="A830">
        <v>1342</v>
      </c>
      <c r="B830">
        <v>4.4680851063829789E-2</v>
      </c>
      <c r="C830">
        <v>1.445783132530121E-2</v>
      </c>
      <c r="D830">
        <v>6.0000000000000001E-3</v>
      </c>
      <c r="E830">
        <v>1.437403400309119E-2</v>
      </c>
      <c r="F830" t="s">
        <v>2650</v>
      </c>
      <c r="G830" t="s">
        <v>2651</v>
      </c>
      <c r="H830" t="s">
        <v>2688</v>
      </c>
      <c r="I830" t="s">
        <v>2685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</row>
    <row r="831" spans="1:28" x14ac:dyDescent="0.25">
      <c r="A831">
        <v>1344</v>
      </c>
      <c r="B831">
        <v>2.9787234042553189E-2</v>
      </c>
      <c r="C831">
        <v>8.4337349397590362E-3</v>
      </c>
      <c r="D831">
        <v>5.0000000000000001E-3</v>
      </c>
      <c r="E831">
        <v>9.7372488408037083E-3</v>
      </c>
      <c r="F831" t="s">
        <v>2654</v>
      </c>
      <c r="G831" t="s">
        <v>2655</v>
      </c>
      <c r="H831" t="s">
        <v>2683</v>
      </c>
      <c r="I831" t="s">
        <v>2685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</row>
    <row r="832" spans="1:28" x14ac:dyDescent="0.25">
      <c r="A832">
        <v>1345</v>
      </c>
      <c r="B832">
        <v>0.27021276595744681</v>
      </c>
      <c r="C832">
        <v>3.6144578313253017E-2</v>
      </c>
      <c r="D832">
        <v>1.0999999999999999E-2</v>
      </c>
      <c r="E832">
        <v>8.9799072642967548E-2</v>
      </c>
      <c r="F832" t="s">
        <v>2656</v>
      </c>
      <c r="G832" t="s">
        <v>2657</v>
      </c>
      <c r="H832" t="s">
        <v>2683</v>
      </c>
      <c r="I832" t="s">
        <v>2691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</row>
    <row r="833" spans="1:28" x14ac:dyDescent="0.25">
      <c r="A833">
        <v>1346</v>
      </c>
      <c r="B833">
        <v>5.5319148936170223E-2</v>
      </c>
      <c r="C833">
        <v>3.9759036144578312E-2</v>
      </c>
      <c r="D833">
        <v>2.5000000000000001E-2</v>
      </c>
      <c r="E833">
        <v>6.1823802163833066E-3</v>
      </c>
      <c r="F833" t="s">
        <v>2658</v>
      </c>
      <c r="G833" t="s">
        <v>2659</v>
      </c>
      <c r="H833" t="s">
        <v>2697</v>
      </c>
      <c r="I833" t="s">
        <v>2693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46"/>
  <sheetViews>
    <sheetView topLeftCell="A2" workbookViewId="0">
      <selection activeCell="B15" sqref="B15"/>
    </sheetView>
  </sheetViews>
  <sheetFormatPr defaultRowHeight="15" x14ac:dyDescent="0.25"/>
  <cols>
    <col min="1" max="1" width="6" customWidth="1"/>
    <col min="2" max="3" width="21" customWidth="1"/>
    <col min="4" max="4" width="22" customWidth="1"/>
    <col min="5" max="5" width="23" customWidth="1"/>
    <col min="6" max="6" width="35" customWidth="1"/>
    <col min="7" max="7" width="50" customWidth="1"/>
    <col min="8" max="8" width="9" customWidth="1"/>
    <col min="9" max="9" width="10" customWidth="1"/>
    <col min="10" max="10" width="15" customWidth="1"/>
    <col min="11" max="11" width="14" customWidth="1"/>
    <col min="12" max="14" width="16" customWidth="1"/>
    <col min="15" max="15" width="15" customWidth="1"/>
    <col min="16" max="16" width="16" customWidth="1"/>
    <col min="17" max="17" width="15" customWidth="1"/>
    <col min="18" max="18" width="27" customWidth="1"/>
    <col min="19" max="19" width="26" customWidth="1"/>
    <col min="20" max="20" width="24" customWidth="1"/>
    <col min="21" max="21" width="18" customWidth="1"/>
    <col min="22" max="22" width="15" customWidth="1"/>
    <col min="23" max="23" width="23" customWidth="1"/>
    <col min="24" max="25" width="18" customWidth="1"/>
    <col min="26" max="26" width="15" customWidth="1"/>
    <col min="27" max="27" width="16" customWidth="1"/>
    <col min="28" max="28" width="23" customWidth="1"/>
  </cols>
  <sheetData>
    <row r="1" spans="1:2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2660</v>
      </c>
      <c r="I1" s="1" t="s">
        <v>2661</v>
      </c>
      <c r="J1" s="1" t="s">
        <v>2662</v>
      </c>
      <c r="K1" s="1" t="s">
        <v>2663</v>
      </c>
      <c r="L1" s="1" t="s">
        <v>2664</v>
      </c>
      <c r="M1" s="1" t="s">
        <v>2665</v>
      </c>
      <c r="N1" s="1" t="s">
        <v>2666</v>
      </c>
      <c r="O1" s="1" t="s">
        <v>2667</v>
      </c>
      <c r="P1" s="1" t="s">
        <v>2668</v>
      </c>
      <c r="Q1" s="1" t="s">
        <v>2669</v>
      </c>
      <c r="R1" s="1" t="s">
        <v>2670</v>
      </c>
      <c r="S1" s="1" t="s">
        <v>2671</v>
      </c>
      <c r="T1" s="1" t="s">
        <v>2672</v>
      </c>
      <c r="U1" s="1" t="s">
        <v>2673</v>
      </c>
      <c r="V1" s="1" t="s">
        <v>2674</v>
      </c>
      <c r="W1" s="1" t="s">
        <v>2675</v>
      </c>
      <c r="X1" s="1" t="s">
        <v>2676</v>
      </c>
      <c r="Y1" s="1" t="s">
        <v>2677</v>
      </c>
      <c r="Z1" s="1" t="s">
        <v>2678</v>
      </c>
      <c r="AA1" s="1" t="s">
        <v>2679</v>
      </c>
      <c r="AB1" s="1" t="s">
        <v>2680</v>
      </c>
    </row>
    <row r="2" spans="1:28" ht="60" x14ac:dyDescent="0.25">
      <c r="A2" s="5">
        <v>11</v>
      </c>
      <c r="B2" s="5">
        <v>0.19574468085106381</v>
      </c>
      <c r="C2" s="5">
        <v>0.22650602409638559</v>
      </c>
      <c r="D2" s="5">
        <v>0.14000000000000001</v>
      </c>
      <c r="E2" s="5">
        <v>0</v>
      </c>
      <c r="F2" s="7" t="s">
        <v>27</v>
      </c>
      <c r="G2" s="7" t="s">
        <v>28</v>
      </c>
      <c r="H2" s="7" t="s">
        <v>2688</v>
      </c>
      <c r="I2" s="7" t="s">
        <v>2689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1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</row>
    <row r="3" spans="1:28" ht="45" x14ac:dyDescent="0.25">
      <c r="A3" s="5">
        <v>12</v>
      </c>
      <c r="B3" s="5">
        <v>0.18510638297872339</v>
      </c>
      <c r="C3" s="5">
        <v>0.236144578313253</v>
      </c>
      <c r="D3" s="5">
        <v>0.1</v>
      </c>
      <c r="E3" s="5">
        <v>0</v>
      </c>
      <c r="F3" s="7" t="s">
        <v>29</v>
      </c>
      <c r="G3" s="7" t="s">
        <v>30</v>
      </c>
      <c r="H3" s="7" t="s">
        <v>2688</v>
      </c>
      <c r="I3" s="7" t="s">
        <v>2689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</row>
    <row r="4" spans="1:28" ht="45" x14ac:dyDescent="0.25">
      <c r="A4" s="5">
        <v>13</v>
      </c>
      <c r="B4" s="5">
        <v>0.2021276595744681</v>
      </c>
      <c r="C4" s="5">
        <v>0.2301204819277109</v>
      </c>
      <c r="D4" s="5">
        <v>0.12</v>
      </c>
      <c r="E4" s="5">
        <v>0</v>
      </c>
      <c r="F4" s="7" t="s">
        <v>31</v>
      </c>
      <c r="G4" s="7" t="s">
        <v>32</v>
      </c>
      <c r="H4" s="7" t="s">
        <v>2688</v>
      </c>
      <c r="I4" s="7" t="s">
        <v>2689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ht="45" x14ac:dyDescent="0.25">
      <c r="A5" s="5">
        <v>30</v>
      </c>
      <c r="B5" s="5">
        <v>0.32127659574468093</v>
      </c>
      <c r="C5" s="5">
        <v>0.21927710843373491</v>
      </c>
      <c r="D5" s="5">
        <v>0.25</v>
      </c>
      <c r="E5" s="5">
        <v>0</v>
      </c>
      <c r="F5" s="7" t="s">
        <v>65</v>
      </c>
      <c r="G5" s="7" t="s">
        <v>66</v>
      </c>
      <c r="H5" s="7" t="s">
        <v>2688</v>
      </c>
      <c r="I5" s="7" t="s">
        <v>2689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</row>
    <row r="6" spans="1:28" ht="45" x14ac:dyDescent="0.25">
      <c r="A6" s="5">
        <v>33</v>
      </c>
      <c r="B6" s="5">
        <v>7.9787234042553196E-2</v>
      </c>
      <c r="C6" s="5">
        <v>0.16626506024096391</v>
      </c>
      <c r="D6" s="5">
        <v>1.9E-2</v>
      </c>
      <c r="E6" s="5">
        <v>1.081916537867079E-3</v>
      </c>
      <c r="F6" s="7" t="s">
        <v>71</v>
      </c>
      <c r="G6" s="7" t="s">
        <v>72</v>
      </c>
      <c r="H6" s="7" t="s">
        <v>2688</v>
      </c>
      <c r="I6" s="7" t="s">
        <v>2689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</row>
    <row r="7" spans="1:28" ht="45" x14ac:dyDescent="0.25">
      <c r="A7" s="5">
        <v>46</v>
      </c>
      <c r="B7" s="5">
        <v>0.27765957446808509</v>
      </c>
      <c r="C7" s="5">
        <v>0.33012048192771082</v>
      </c>
      <c r="D7" s="5">
        <v>0.161</v>
      </c>
      <c r="E7" s="5">
        <v>2.4729520865533232E-3</v>
      </c>
      <c r="F7" s="7" t="s">
        <v>97</v>
      </c>
      <c r="G7" s="7" t="s">
        <v>98</v>
      </c>
      <c r="H7" s="7" t="s">
        <v>2688</v>
      </c>
      <c r="I7" s="7" t="s">
        <v>2689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8" spans="1:28" ht="45" x14ac:dyDescent="0.25">
      <c r="A8" s="5">
        <v>87</v>
      </c>
      <c r="B8" s="5">
        <v>0.34680851063829787</v>
      </c>
      <c r="C8" s="5">
        <v>0.19277108433734941</v>
      </c>
      <c r="D8" s="5">
        <v>0.28599999999999998</v>
      </c>
      <c r="E8" s="5">
        <v>0</v>
      </c>
      <c r="F8" s="7" t="s">
        <v>179</v>
      </c>
      <c r="G8" s="7" t="s">
        <v>180</v>
      </c>
      <c r="H8" s="7" t="s">
        <v>2688</v>
      </c>
      <c r="I8" s="7" t="s">
        <v>2689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</row>
    <row r="9" spans="1:28" ht="30" x14ac:dyDescent="0.25">
      <c r="A9" s="5">
        <v>88</v>
      </c>
      <c r="B9" s="5">
        <v>0.32234042553191489</v>
      </c>
      <c r="C9" s="5">
        <v>0.136144578313253</v>
      </c>
      <c r="D9" s="5">
        <v>0.27</v>
      </c>
      <c r="E9" s="5">
        <v>5.7187017001545598E-3</v>
      </c>
      <c r="F9" s="7" t="s">
        <v>181</v>
      </c>
      <c r="G9" s="7" t="s">
        <v>182</v>
      </c>
      <c r="H9" s="7" t="s">
        <v>2688</v>
      </c>
      <c r="I9" s="7" t="s">
        <v>2689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</row>
    <row r="10" spans="1:28" ht="45" x14ac:dyDescent="0.25">
      <c r="A10" s="5">
        <v>96</v>
      </c>
      <c r="B10" s="5">
        <v>0.13936170212765961</v>
      </c>
      <c r="C10" s="5">
        <v>0.2433734939759036</v>
      </c>
      <c r="D10" s="5">
        <v>4.2999999999999997E-2</v>
      </c>
      <c r="E10" s="5">
        <v>4.3276661514683153E-3</v>
      </c>
      <c r="F10" s="7" t="s">
        <v>197</v>
      </c>
      <c r="G10" s="7" t="s">
        <v>198</v>
      </c>
      <c r="H10" s="7" t="s">
        <v>2688</v>
      </c>
      <c r="I10" s="7" t="s">
        <v>2689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</row>
    <row r="11" spans="1:28" ht="60" x14ac:dyDescent="0.25">
      <c r="A11" s="5">
        <v>224</v>
      </c>
      <c r="B11" s="5">
        <v>0.2021276595744681</v>
      </c>
      <c r="C11" s="5">
        <v>0.2301204819277109</v>
      </c>
      <c r="D11" s="5">
        <v>0.12</v>
      </c>
      <c r="E11" s="5">
        <v>0</v>
      </c>
      <c r="F11" s="7" t="s">
        <v>451</v>
      </c>
      <c r="G11" s="7" t="s">
        <v>452</v>
      </c>
      <c r="H11" s="7" t="s">
        <v>2688</v>
      </c>
      <c r="I11" s="7" t="s">
        <v>2689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</row>
    <row r="12" spans="1:28" ht="45" x14ac:dyDescent="0.25">
      <c r="A12" s="5">
        <v>225</v>
      </c>
      <c r="B12" s="5">
        <v>0.20319148936170209</v>
      </c>
      <c r="C12" s="5">
        <v>0.38554216867469882</v>
      </c>
      <c r="D12" s="5">
        <v>0.06</v>
      </c>
      <c r="E12" s="5">
        <v>0</v>
      </c>
      <c r="F12" s="7" t="s">
        <v>453</v>
      </c>
      <c r="G12" s="7" t="s">
        <v>454</v>
      </c>
      <c r="H12" s="7" t="s">
        <v>2688</v>
      </c>
      <c r="I12" s="7" t="s">
        <v>2689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</row>
    <row r="13" spans="1:28" ht="30" x14ac:dyDescent="0.25">
      <c r="A13" s="5">
        <v>229</v>
      </c>
      <c r="B13" s="5">
        <v>0.1638297872340426</v>
      </c>
      <c r="C13" s="5">
        <v>0.2</v>
      </c>
      <c r="D13" s="5">
        <v>9.1999999999999998E-2</v>
      </c>
      <c r="E13" s="5">
        <v>0</v>
      </c>
      <c r="F13" s="7" t="s">
        <v>461</v>
      </c>
      <c r="G13" s="7" t="s">
        <v>462</v>
      </c>
      <c r="H13" s="7" t="s">
        <v>2688</v>
      </c>
      <c r="I13" s="7" t="s">
        <v>2689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</row>
    <row r="14" spans="1:28" ht="45" x14ac:dyDescent="0.25">
      <c r="A14" s="5">
        <v>230</v>
      </c>
      <c r="B14" s="5">
        <v>8.9361702127659579E-2</v>
      </c>
      <c r="C14" s="5">
        <v>0.2253012048192771</v>
      </c>
      <c r="D14" s="5">
        <v>5.0000000000000001E-3</v>
      </c>
      <c r="E14" s="5">
        <v>0</v>
      </c>
      <c r="F14" s="7" t="s">
        <v>463</v>
      </c>
      <c r="G14" s="7" t="s">
        <v>464</v>
      </c>
      <c r="H14" s="7" t="s">
        <v>2688</v>
      </c>
      <c r="I14" s="7" t="s">
        <v>2689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</row>
    <row r="15" spans="1:28" ht="45" x14ac:dyDescent="0.25">
      <c r="A15" s="5">
        <v>232</v>
      </c>
      <c r="B15" s="5">
        <v>0.22021276595744679</v>
      </c>
      <c r="C15" s="5">
        <v>0.22650602409638559</v>
      </c>
      <c r="D15" s="5">
        <v>0.14000000000000001</v>
      </c>
      <c r="E15" s="5">
        <v>0</v>
      </c>
      <c r="F15" s="7" t="s">
        <v>467</v>
      </c>
      <c r="G15" s="7" t="s">
        <v>468</v>
      </c>
      <c r="H15" s="7" t="s">
        <v>2688</v>
      </c>
      <c r="I15" s="7" t="s">
        <v>2689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</row>
    <row r="16" spans="1:28" ht="45" x14ac:dyDescent="0.25">
      <c r="A16" s="5">
        <v>320</v>
      </c>
      <c r="B16" s="5">
        <v>0.46063829787234051</v>
      </c>
      <c r="C16" s="5">
        <v>0.66265060240963858</v>
      </c>
      <c r="D16" s="5">
        <v>0.09</v>
      </c>
      <c r="E16" s="5">
        <v>0</v>
      </c>
      <c r="F16" s="7" t="s">
        <v>643</v>
      </c>
      <c r="G16" s="7" t="s">
        <v>644</v>
      </c>
      <c r="H16" s="7" t="s">
        <v>2688</v>
      </c>
      <c r="I16" s="7" t="s">
        <v>2689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</row>
    <row r="17" spans="1:28" ht="90" x14ac:dyDescent="0.25">
      <c r="A17" s="5">
        <v>322</v>
      </c>
      <c r="B17" s="5">
        <v>8.1914893617021284E-2</v>
      </c>
      <c r="C17" s="5">
        <v>0.16626506024096391</v>
      </c>
      <c r="D17" s="5">
        <v>1.9E-2</v>
      </c>
      <c r="E17" s="5">
        <v>1.081916537867079E-3</v>
      </c>
      <c r="F17" s="7" t="s">
        <v>647</v>
      </c>
      <c r="G17" s="7" t="s">
        <v>648</v>
      </c>
      <c r="H17" s="7" t="s">
        <v>2688</v>
      </c>
      <c r="I17" s="7" t="s">
        <v>2689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</row>
    <row r="18" spans="1:28" ht="60" x14ac:dyDescent="0.25">
      <c r="A18" s="5">
        <v>323</v>
      </c>
      <c r="B18" s="5">
        <v>0.1106382978723404</v>
      </c>
      <c r="C18" s="5">
        <v>0.26385542168674703</v>
      </c>
      <c r="D18" s="5">
        <v>1.0999999999999999E-2</v>
      </c>
      <c r="E18" s="5">
        <v>0</v>
      </c>
      <c r="F18" s="7" t="s">
        <v>649</v>
      </c>
      <c r="G18" s="7" t="s">
        <v>650</v>
      </c>
      <c r="H18" s="7" t="s">
        <v>2688</v>
      </c>
      <c r="I18" s="7" t="s">
        <v>2689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</row>
    <row r="19" spans="1:28" ht="30" x14ac:dyDescent="0.25">
      <c r="A19" s="5">
        <v>407</v>
      </c>
      <c r="B19" s="5">
        <v>0.1446808510638298</v>
      </c>
      <c r="C19" s="5">
        <v>0.23734939759036139</v>
      </c>
      <c r="D19" s="5">
        <v>3.2000000000000001E-2</v>
      </c>
      <c r="E19" s="5">
        <v>9.2735703245749607E-3</v>
      </c>
      <c r="F19" s="7" t="s">
        <v>815</v>
      </c>
      <c r="G19" s="7" t="s">
        <v>816</v>
      </c>
      <c r="H19" s="7" t="s">
        <v>2688</v>
      </c>
      <c r="I19" s="7" t="s">
        <v>2689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</row>
    <row r="20" spans="1:28" ht="30" x14ac:dyDescent="0.25">
      <c r="A20" s="5">
        <v>414</v>
      </c>
      <c r="B20" s="5">
        <v>0.2053191489361702</v>
      </c>
      <c r="C20" s="5">
        <v>0.50602409638554224</v>
      </c>
      <c r="D20" s="5">
        <v>1.4999999999999999E-2</v>
      </c>
      <c r="E20" s="5">
        <v>0</v>
      </c>
      <c r="F20" s="7" t="s">
        <v>829</v>
      </c>
      <c r="G20" s="7" t="s">
        <v>830</v>
      </c>
      <c r="H20" s="7" t="s">
        <v>2688</v>
      </c>
      <c r="I20" s="7" t="s">
        <v>2689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</row>
    <row r="21" spans="1:28" ht="60" x14ac:dyDescent="0.25">
      <c r="A21" s="5">
        <v>419</v>
      </c>
      <c r="B21" s="5">
        <v>0.2106382978723404</v>
      </c>
      <c r="C21" s="5">
        <v>0.2289156626506024</v>
      </c>
      <c r="D21" s="5">
        <v>0.13</v>
      </c>
      <c r="E21" s="5">
        <v>0</v>
      </c>
      <c r="F21" s="7" t="s">
        <v>839</v>
      </c>
      <c r="G21" s="7" t="s">
        <v>840</v>
      </c>
      <c r="H21" s="7" t="s">
        <v>2683</v>
      </c>
      <c r="I21" s="7" t="s">
        <v>2689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</row>
    <row r="22" spans="1:28" ht="30" x14ac:dyDescent="0.25">
      <c r="A22" s="5">
        <v>420</v>
      </c>
      <c r="B22" s="5">
        <v>0.11382978723404261</v>
      </c>
      <c r="C22" s="5">
        <v>0.1987951807228916</v>
      </c>
      <c r="D22" s="5">
        <v>3.9E-2</v>
      </c>
      <c r="E22" s="5">
        <v>2.3183925811437402E-3</v>
      </c>
      <c r="F22" s="7" t="s">
        <v>841</v>
      </c>
      <c r="G22" s="7" t="s">
        <v>842</v>
      </c>
      <c r="H22" s="7" t="s">
        <v>2688</v>
      </c>
      <c r="I22" s="7" t="s">
        <v>2689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</row>
    <row r="23" spans="1:28" ht="30" x14ac:dyDescent="0.25">
      <c r="A23" s="5">
        <v>421</v>
      </c>
      <c r="B23" s="5">
        <v>0.1191489361702128</v>
      </c>
      <c r="C23" s="5">
        <v>0.24096385542168669</v>
      </c>
      <c r="D23" s="5">
        <v>1.2999999999999999E-2</v>
      </c>
      <c r="E23" s="5">
        <v>5.7187017001545598E-3</v>
      </c>
      <c r="F23" s="7" t="s">
        <v>843</v>
      </c>
      <c r="G23" s="7" t="s">
        <v>844</v>
      </c>
      <c r="H23" s="7" t="s">
        <v>2688</v>
      </c>
      <c r="I23" s="7" t="s">
        <v>2689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</row>
    <row r="24" spans="1:28" ht="45" x14ac:dyDescent="0.25">
      <c r="A24" s="5">
        <v>422</v>
      </c>
      <c r="B24" s="5">
        <v>0.13723404255319149</v>
      </c>
      <c r="C24" s="5">
        <v>0.24096385542168669</v>
      </c>
      <c r="D24" s="5">
        <v>4.8000000000000001E-2</v>
      </c>
      <c r="E24" s="5">
        <v>0</v>
      </c>
      <c r="F24" s="7" t="s">
        <v>845</v>
      </c>
      <c r="G24" s="7" t="s">
        <v>846</v>
      </c>
      <c r="H24" s="7" t="s">
        <v>2688</v>
      </c>
      <c r="I24" s="7" t="s">
        <v>2689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</row>
    <row r="25" spans="1:28" ht="30" x14ac:dyDescent="0.25">
      <c r="A25" s="5">
        <v>424</v>
      </c>
      <c r="B25" s="5">
        <v>0.1180851063829787</v>
      </c>
      <c r="C25" s="5">
        <v>0.23373493975903609</v>
      </c>
      <c r="D25" s="5">
        <v>9.0000000000000011E-3</v>
      </c>
      <c r="E25" s="5">
        <v>7.4188562596599686E-3</v>
      </c>
      <c r="F25" s="7" t="s">
        <v>849</v>
      </c>
      <c r="G25" s="7" t="s">
        <v>850</v>
      </c>
      <c r="H25" s="7" t="s">
        <v>2688</v>
      </c>
      <c r="I25" s="7" t="s">
        <v>2689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</row>
    <row r="26" spans="1:28" ht="30" x14ac:dyDescent="0.25">
      <c r="A26" s="5">
        <v>425</v>
      </c>
      <c r="B26" s="5">
        <v>8.2978723404255314E-2</v>
      </c>
      <c r="C26" s="5">
        <v>0.1746987951807229</v>
      </c>
      <c r="D26" s="5">
        <v>6.0000000000000001E-3</v>
      </c>
      <c r="E26" s="5">
        <v>5.7187017001545598E-3</v>
      </c>
      <c r="F26" s="7" t="s">
        <v>851</v>
      </c>
      <c r="G26" s="7" t="s">
        <v>852</v>
      </c>
      <c r="H26" s="7" t="s">
        <v>2688</v>
      </c>
      <c r="I26" s="7" t="s">
        <v>2689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</row>
    <row r="27" spans="1:28" ht="30" x14ac:dyDescent="0.25">
      <c r="A27" s="5">
        <v>426</v>
      </c>
      <c r="B27" s="5">
        <v>0.1531914893617021</v>
      </c>
      <c r="C27" s="5">
        <v>0.21445783132530119</v>
      </c>
      <c r="D27" s="5">
        <v>5.8000000000000003E-2</v>
      </c>
      <c r="E27" s="5">
        <v>8.0370942812983005E-3</v>
      </c>
      <c r="F27" s="7" t="s">
        <v>853</v>
      </c>
      <c r="G27" s="7" t="s">
        <v>854</v>
      </c>
      <c r="H27" s="7" t="s">
        <v>2688</v>
      </c>
      <c r="I27" s="7" t="s">
        <v>2689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</row>
    <row r="28" spans="1:28" ht="30" x14ac:dyDescent="0.25">
      <c r="A28" s="5">
        <v>427</v>
      </c>
      <c r="B28" s="5">
        <v>0.1308510638297872</v>
      </c>
      <c r="C28" s="5">
        <v>0.1819277108433735</v>
      </c>
      <c r="D28" s="5">
        <v>5.5E-2</v>
      </c>
      <c r="E28" s="5">
        <v>5.100463678516228E-3</v>
      </c>
      <c r="F28" s="7" t="s">
        <v>855</v>
      </c>
      <c r="G28" s="7" t="s">
        <v>856</v>
      </c>
      <c r="H28" s="7" t="s">
        <v>2688</v>
      </c>
      <c r="I28" s="7" t="s">
        <v>2689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</row>
    <row r="29" spans="1:28" ht="90" x14ac:dyDescent="0.25">
      <c r="A29" s="5">
        <v>428</v>
      </c>
      <c r="B29" s="5">
        <v>0.10212765957446809</v>
      </c>
      <c r="C29" s="5">
        <v>0.2289156626506024</v>
      </c>
      <c r="D29" s="5">
        <v>1.7000000000000001E-2</v>
      </c>
      <c r="E29" s="5">
        <v>0</v>
      </c>
      <c r="F29" s="7" t="s">
        <v>857</v>
      </c>
      <c r="G29" s="7" t="s">
        <v>858</v>
      </c>
      <c r="H29" s="7" t="s">
        <v>2688</v>
      </c>
      <c r="I29" s="7" t="s">
        <v>2689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</row>
    <row r="30" spans="1:28" ht="45" x14ac:dyDescent="0.25">
      <c r="A30" s="5">
        <v>429</v>
      </c>
      <c r="B30" s="5">
        <v>0.14680851063829789</v>
      </c>
      <c r="C30" s="5">
        <v>0.16867469879518071</v>
      </c>
      <c r="D30" s="5">
        <v>6.9999999999999993E-3</v>
      </c>
      <c r="E30" s="5">
        <v>1.143740340030912E-2</v>
      </c>
      <c r="F30" s="7" t="s">
        <v>859</v>
      </c>
      <c r="G30" s="7" t="s">
        <v>196</v>
      </c>
      <c r="H30" s="7" t="s">
        <v>2688</v>
      </c>
      <c r="I30" s="7" t="s">
        <v>2689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</row>
    <row r="31" spans="1:28" ht="30" x14ac:dyDescent="0.25">
      <c r="A31" s="5">
        <v>430</v>
      </c>
      <c r="B31" s="5">
        <v>0.13617021276595739</v>
      </c>
      <c r="C31" s="5">
        <v>0.2168674698795181</v>
      </c>
      <c r="D31" s="5">
        <v>0.03</v>
      </c>
      <c r="E31" s="5">
        <v>1.1128284389489949E-2</v>
      </c>
      <c r="F31" s="7" t="s">
        <v>860</v>
      </c>
      <c r="G31" s="7" t="s">
        <v>861</v>
      </c>
      <c r="H31" s="7" t="s">
        <v>2688</v>
      </c>
      <c r="I31" s="7" t="s">
        <v>2689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</row>
    <row r="32" spans="1:28" ht="45" x14ac:dyDescent="0.25">
      <c r="A32" s="5">
        <v>431</v>
      </c>
      <c r="B32" s="5">
        <v>8.5106382978723402E-2</v>
      </c>
      <c r="C32" s="5">
        <v>0.17710843373493981</v>
      </c>
      <c r="D32" s="5">
        <v>1.4E-2</v>
      </c>
      <c r="E32" s="5">
        <v>3.4003091190108188E-3</v>
      </c>
      <c r="F32" s="7" t="s">
        <v>862</v>
      </c>
      <c r="G32" s="7" t="s">
        <v>863</v>
      </c>
      <c r="H32" s="7" t="s">
        <v>2688</v>
      </c>
      <c r="I32" s="7" t="s">
        <v>2689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</row>
    <row r="33" spans="1:28" ht="30" x14ac:dyDescent="0.25">
      <c r="A33" s="5">
        <v>434</v>
      </c>
      <c r="B33" s="5">
        <v>7.0212765957446813E-2</v>
      </c>
      <c r="C33" s="5">
        <v>0.16867469879518071</v>
      </c>
      <c r="D33" s="5">
        <v>0</v>
      </c>
      <c r="E33" s="5">
        <v>0</v>
      </c>
      <c r="F33" s="7" t="s">
        <v>868</v>
      </c>
      <c r="G33" s="7" t="s">
        <v>869</v>
      </c>
      <c r="H33" s="7" t="s">
        <v>2688</v>
      </c>
      <c r="I33" s="7" t="s">
        <v>2689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</row>
    <row r="34" spans="1:28" ht="30" x14ac:dyDescent="0.25">
      <c r="A34" s="5">
        <v>435</v>
      </c>
      <c r="B34" s="5">
        <v>9.5744680851063829E-2</v>
      </c>
      <c r="C34" s="5">
        <v>0.17951807228915659</v>
      </c>
      <c r="D34" s="5">
        <v>2.5000000000000001E-2</v>
      </c>
      <c r="E34" s="5">
        <v>3.2457496136012371E-3</v>
      </c>
      <c r="F34" s="7" t="s">
        <v>870</v>
      </c>
      <c r="G34" s="7" t="s">
        <v>871</v>
      </c>
      <c r="H34" s="7" t="s">
        <v>2688</v>
      </c>
      <c r="I34" s="7" t="s">
        <v>2689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1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</row>
    <row r="35" spans="1:28" ht="30" x14ac:dyDescent="0.25">
      <c r="A35" s="5">
        <v>436</v>
      </c>
      <c r="B35" s="5">
        <v>9.3617021276595741E-2</v>
      </c>
      <c r="C35" s="5">
        <v>0.1710843373493976</v>
      </c>
      <c r="D35" s="5">
        <v>6.9999999999999993E-3</v>
      </c>
      <c r="E35" s="5">
        <v>9.5826893353941275E-3</v>
      </c>
      <c r="F35" s="7" t="s">
        <v>872</v>
      </c>
      <c r="G35" s="7" t="s">
        <v>873</v>
      </c>
      <c r="H35" s="7" t="s">
        <v>2688</v>
      </c>
      <c r="I35" s="7" t="s">
        <v>2689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</row>
    <row r="36" spans="1:28" ht="30" x14ac:dyDescent="0.25">
      <c r="A36" s="5">
        <v>437</v>
      </c>
      <c r="B36" s="5">
        <v>0.1063829787234043</v>
      </c>
      <c r="C36" s="5">
        <v>0.17710843373493981</v>
      </c>
      <c r="D36" s="5">
        <v>2.4E-2</v>
      </c>
      <c r="E36" s="5">
        <v>7.573415765069552E-3</v>
      </c>
      <c r="F36" s="7" t="s">
        <v>874</v>
      </c>
      <c r="G36" s="7" t="s">
        <v>875</v>
      </c>
      <c r="H36" s="7" t="s">
        <v>2688</v>
      </c>
      <c r="I36" s="7" t="s">
        <v>2689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1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</row>
    <row r="37" spans="1:28" ht="30" x14ac:dyDescent="0.25">
      <c r="A37" s="5">
        <v>438</v>
      </c>
      <c r="B37" s="5">
        <v>0.14255319148936171</v>
      </c>
      <c r="C37" s="5">
        <v>0.30722891566265059</v>
      </c>
      <c r="D37" s="5">
        <v>1.2999999999999999E-2</v>
      </c>
      <c r="E37" s="5">
        <v>7.7279752704791354E-3</v>
      </c>
      <c r="F37" s="7" t="s">
        <v>876</v>
      </c>
      <c r="G37" s="7" t="s">
        <v>877</v>
      </c>
      <c r="H37" s="7" t="s">
        <v>2688</v>
      </c>
      <c r="I37" s="7" t="s">
        <v>2689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</row>
    <row r="38" spans="1:28" ht="45" x14ac:dyDescent="0.25">
      <c r="A38" s="5">
        <v>439</v>
      </c>
      <c r="B38" s="5">
        <v>0.21702127659574469</v>
      </c>
      <c r="C38" s="5">
        <v>0.4120481927710844</v>
      </c>
      <c r="D38" s="5">
        <v>5.5999999999999987E-2</v>
      </c>
      <c r="E38" s="5">
        <v>2.9366306027820712E-3</v>
      </c>
      <c r="F38" s="7" t="s">
        <v>878</v>
      </c>
      <c r="G38" s="7" t="s">
        <v>879</v>
      </c>
      <c r="H38" s="7" t="s">
        <v>2688</v>
      </c>
      <c r="I38" s="7" t="s">
        <v>2689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1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</row>
    <row r="39" spans="1:28" ht="45" x14ac:dyDescent="0.25">
      <c r="A39" s="5">
        <v>440</v>
      </c>
      <c r="B39" s="5">
        <v>0.2106382978723404</v>
      </c>
      <c r="C39" s="5">
        <v>0.43975903614457829</v>
      </c>
      <c r="D39" s="5">
        <v>2.1999999999999999E-2</v>
      </c>
      <c r="E39" s="5">
        <v>8.5007727975270481E-3</v>
      </c>
      <c r="F39" s="7" t="s">
        <v>880</v>
      </c>
      <c r="G39" s="7" t="s">
        <v>881</v>
      </c>
      <c r="H39" s="7" t="s">
        <v>2688</v>
      </c>
      <c r="I39" s="7" t="s">
        <v>2689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</row>
    <row r="40" spans="1:28" ht="45" x14ac:dyDescent="0.25">
      <c r="A40" s="5">
        <v>441</v>
      </c>
      <c r="B40" s="5">
        <v>0.1276595744680851</v>
      </c>
      <c r="C40" s="5">
        <v>0.136144578313253</v>
      </c>
      <c r="D40" s="5">
        <v>3.9E-2</v>
      </c>
      <c r="E40" s="5">
        <v>1.5455950540958271E-2</v>
      </c>
      <c r="F40" s="7" t="s">
        <v>882</v>
      </c>
      <c r="G40" s="7" t="s">
        <v>883</v>
      </c>
      <c r="H40" s="7" t="s">
        <v>2688</v>
      </c>
      <c r="I40" s="7" t="s">
        <v>2689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</row>
    <row r="41" spans="1:28" ht="45" x14ac:dyDescent="0.25">
      <c r="A41" s="5">
        <v>442</v>
      </c>
      <c r="B41" s="5">
        <v>0.12340425531914891</v>
      </c>
      <c r="C41" s="5">
        <v>0.13493975903614461</v>
      </c>
      <c r="D41" s="5">
        <v>1.2E-2</v>
      </c>
      <c r="E41" s="5">
        <v>1.5765069551777429E-2</v>
      </c>
      <c r="F41" s="7" t="s">
        <v>884</v>
      </c>
      <c r="G41" s="7" t="s">
        <v>883</v>
      </c>
      <c r="H41" s="7" t="s">
        <v>2688</v>
      </c>
      <c r="I41" s="7" t="s">
        <v>2689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</row>
    <row r="42" spans="1:28" ht="45" x14ac:dyDescent="0.25">
      <c r="A42" s="5">
        <v>443</v>
      </c>
      <c r="B42" s="5">
        <v>9.1489361702127667E-2</v>
      </c>
      <c r="C42" s="5">
        <v>0.1228915662650602</v>
      </c>
      <c r="D42" s="5">
        <v>1.0999999999999999E-2</v>
      </c>
      <c r="E42" s="5">
        <v>1.3446676970633689E-2</v>
      </c>
      <c r="F42" s="7" t="s">
        <v>885</v>
      </c>
      <c r="G42" s="7" t="s">
        <v>883</v>
      </c>
      <c r="H42" s="7" t="s">
        <v>2688</v>
      </c>
      <c r="I42" s="7" t="s">
        <v>2689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</row>
    <row r="43" spans="1:28" ht="45" x14ac:dyDescent="0.25">
      <c r="A43" s="5">
        <v>444</v>
      </c>
      <c r="B43" s="5">
        <v>0.11382978723404261</v>
      </c>
      <c r="C43" s="5">
        <v>0.236144578313253</v>
      </c>
      <c r="D43" s="5">
        <v>6.9999999999999993E-3</v>
      </c>
      <c r="E43" s="5">
        <v>8.5007727975270481E-3</v>
      </c>
      <c r="F43" s="7" t="s">
        <v>886</v>
      </c>
      <c r="G43" s="7" t="s">
        <v>883</v>
      </c>
      <c r="H43" s="7" t="s">
        <v>2688</v>
      </c>
      <c r="I43" s="7" t="s">
        <v>2689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</row>
    <row r="44" spans="1:28" ht="30" x14ac:dyDescent="0.25">
      <c r="A44" s="5">
        <v>445</v>
      </c>
      <c r="B44" s="5">
        <v>8.6170212765957446E-2</v>
      </c>
      <c r="C44" s="5">
        <v>0.13734939759036149</v>
      </c>
      <c r="D44" s="5">
        <v>1.9E-2</v>
      </c>
      <c r="E44" s="5">
        <v>5.8732612055641424E-3</v>
      </c>
      <c r="F44" s="7" t="s">
        <v>887</v>
      </c>
      <c r="G44" s="7" t="s">
        <v>888</v>
      </c>
      <c r="H44" s="7" t="s">
        <v>2688</v>
      </c>
      <c r="I44" s="7" t="s">
        <v>2689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</row>
    <row r="45" spans="1:28" ht="30" x14ac:dyDescent="0.25">
      <c r="A45" s="5">
        <v>446</v>
      </c>
      <c r="B45" s="5">
        <v>0.1074468085106383</v>
      </c>
      <c r="C45" s="5">
        <v>0.13855421686746991</v>
      </c>
      <c r="D45" s="5">
        <v>4.0999999999999988E-2</v>
      </c>
      <c r="E45" s="5">
        <v>7.1097372488408027E-3</v>
      </c>
      <c r="F45" s="7" t="s">
        <v>889</v>
      </c>
      <c r="G45" s="7" t="s">
        <v>890</v>
      </c>
      <c r="H45" s="7" t="s">
        <v>2683</v>
      </c>
      <c r="I45" s="7" t="s">
        <v>2689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</row>
    <row r="46" spans="1:28" ht="45" x14ac:dyDescent="0.25">
      <c r="A46" s="5">
        <v>447</v>
      </c>
      <c r="B46" s="5">
        <v>0.1159574468085106</v>
      </c>
      <c r="C46" s="5">
        <v>0.20481927710843381</v>
      </c>
      <c r="D46" s="5">
        <v>0.04</v>
      </c>
      <c r="E46" s="5">
        <v>0</v>
      </c>
      <c r="F46" s="7" t="s">
        <v>891</v>
      </c>
      <c r="G46" s="7" t="s">
        <v>892</v>
      </c>
      <c r="H46" s="7" t="s">
        <v>2688</v>
      </c>
      <c r="I46" s="7" t="s">
        <v>2689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1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</row>
    <row r="47" spans="1:28" ht="45" x14ac:dyDescent="0.25">
      <c r="A47" s="5">
        <v>448</v>
      </c>
      <c r="B47" s="5">
        <v>0.27765957446808509</v>
      </c>
      <c r="C47" s="5">
        <v>0.45903614457831332</v>
      </c>
      <c r="D47" s="5">
        <v>2.3E-2</v>
      </c>
      <c r="E47" s="5">
        <v>3.3848531684698598E-2</v>
      </c>
      <c r="F47" s="7" t="s">
        <v>893</v>
      </c>
      <c r="G47" s="7" t="s">
        <v>894</v>
      </c>
      <c r="H47" s="7" t="s">
        <v>2688</v>
      </c>
      <c r="I47" s="7" t="s">
        <v>2689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</row>
    <row r="48" spans="1:28" ht="30" x14ac:dyDescent="0.25">
      <c r="A48" s="5">
        <v>449</v>
      </c>
      <c r="B48" s="5">
        <v>0.31063829787234037</v>
      </c>
      <c r="C48" s="5">
        <v>0.6987951807228916</v>
      </c>
      <c r="D48" s="5">
        <v>0.04</v>
      </c>
      <c r="E48" s="5">
        <v>0</v>
      </c>
      <c r="F48" s="7" t="s">
        <v>895</v>
      </c>
      <c r="G48" s="7" t="s">
        <v>896</v>
      </c>
      <c r="H48" s="7" t="s">
        <v>2688</v>
      </c>
      <c r="I48" s="7" t="s">
        <v>2689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</row>
    <row r="49" spans="1:28" ht="45" x14ac:dyDescent="0.25">
      <c r="A49" s="5">
        <v>450</v>
      </c>
      <c r="B49" s="5">
        <v>7.8723404255319152E-2</v>
      </c>
      <c r="C49" s="5">
        <v>0.30361445783132529</v>
      </c>
      <c r="D49" s="5">
        <v>1.7000000000000001E-2</v>
      </c>
      <c r="E49" s="5">
        <v>0</v>
      </c>
      <c r="F49" s="7" t="s">
        <v>897</v>
      </c>
      <c r="G49" s="7" t="s">
        <v>898</v>
      </c>
      <c r="H49" s="7" t="s">
        <v>2688</v>
      </c>
      <c r="I49" s="7" t="s">
        <v>2689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</row>
    <row r="50" spans="1:28" ht="30" x14ac:dyDescent="0.25">
      <c r="A50" s="5">
        <v>452</v>
      </c>
      <c r="B50" s="5">
        <v>0.1074468085106383</v>
      </c>
      <c r="C50" s="5">
        <v>0.1240963855421687</v>
      </c>
      <c r="D50" s="5">
        <v>3.7000000000000012E-2</v>
      </c>
      <c r="E50" s="5">
        <v>1.035548686244204E-2</v>
      </c>
      <c r="F50" s="7" t="s">
        <v>901</v>
      </c>
      <c r="G50" s="7" t="s">
        <v>902</v>
      </c>
      <c r="H50" s="7" t="s">
        <v>2688</v>
      </c>
      <c r="I50" s="7" t="s">
        <v>2689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</row>
    <row r="51" spans="1:28" ht="30" x14ac:dyDescent="0.25">
      <c r="A51" s="5">
        <v>455</v>
      </c>
      <c r="B51" s="5">
        <v>8.1914893617021284E-2</v>
      </c>
      <c r="C51" s="5">
        <v>0.18795180722891569</v>
      </c>
      <c r="D51" s="5">
        <v>9.0000000000000011E-3</v>
      </c>
      <c r="E51" s="5">
        <v>2.4729520865533232E-3</v>
      </c>
      <c r="F51" s="7" t="s">
        <v>907</v>
      </c>
      <c r="G51" s="7" t="s">
        <v>908</v>
      </c>
      <c r="H51" s="7" t="s">
        <v>2688</v>
      </c>
      <c r="I51" s="7" t="s">
        <v>2689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1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</row>
    <row r="52" spans="1:28" ht="45" x14ac:dyDescent="0.25">
      <c r="A52" s="5">
        <v>456</v>
      </c>
      <c r="B52" s="5">
        <v>9.7872340425531917E-2</v>
      </c>
      <c r="C52" s="5">
        <v>0.24096385542168669</v>
      </c>
      <c r="D52" s="5">
        <v>6.9999999999999993E-3</v>
      </c>
      <c r="E52" s="5">
        <v>0</v>
      </c>
      <c r="F52" s="7" t="s">
        <v>909</v>
      </c>
      <c r="G52" s="7" t="s">
        <v>910</v>
      </c>
      <c r="H52" s="7" t="s">
        <v>2688</v>
      </c>
      <c r="I52" s="7" t="s">
        <v>2689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1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</row>
    <row r="53" spans="1:28" ht="30" x14ac:dyDescent="0.25">
      <c r="A53" s="5">
        <v>457</v>
      </c>
      <c r="B53" s="5">
        <v>8.723404255319149E-2</v>
      </c>
      <c r="C53" s="5">
        <v>0.13734939759036149</v>
      </c>
      <c r="D53" s="5">
        <v>1.2E-2</v>
      </c>
      <c r="E53" s="5">
        <v>9.8918083462132926E-3</v>
      </c>
      <c r="F53" s="7" t="s">
        <v>911</v>
      </c>
      <c r="G53" s="7" t="s">
        <v>912</v>
      </c>
      <c r="H53" s="7" t="s">
        <v>2688</v>
      </c>
      <c r="I53" s="7" t="s">
        <v>2689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</row>
    <row r="54" spans="1:28" ht="30" x14ac:dyDescent="0.25">
      <c r="A54" s="5">
        <v>458</v>
      </c>
      <c r="B54" s="5">
        <v>0.1404255319148936</v>
      </c>
      <c r="C54" s="5">
        <v>0.20481927710843381</v>
      </c>
      <c r="D54" s="5">
        <v>6.7000000000000004E-2</v>
      </c>
      <c r="E54" s="5">
        <v>1.236476043276662E-3</v>
      </c>
      <c r="F54" s="7" t="s">
        <v>913</v>
      </c>
      <c r="G54" s="7" t="s">
        <v>914</v>
      </c>
      <c r="H54" s="7" t="s">
        <v>2688</v>
      </c>
      <c r="I54" s="7" t="s">
        <v>2689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1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</row>
    <row r="55" spans="1:28" ht="45" x14ac:dyDescent="0.25">
      <c r="A55" s="5">
        <v>459</v>
      </c>
      <c r="B55" s="5">
        <v>0.17234042553191489</v>
      </c>
      <c r="C55" s="5">
        <v>0.38192771084337351</v>
      </c>
      <c r="D55" s="5">
        <v>2.8000000000000001E-2</v>
      </c>
      <c r="E55" s="5">
        <v>4.6367851622874798E-4</v>
      </c>
      <c r="F55" s="7" t="s">
        <v>915</v>
      </c>
      <c r="G55" s="7" t="s">
        <v>916</v>
      </c>
      <c r="H55" s="7" t="s">
        <v>2688</v>
      </c>
      <c r="I55" s="7" t="s">
        <v>2689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</row>
    <row r="56" spans="1:28" ht="30" x14ac:dyDescent="0.25">
      <c r="A56" s="5">
        <v>460</v>
      </c>
      <c r="B56" s="5">
        <v>0.1170212765957447</v>
      </c>
      <c r="C56" s="5">
        <v>0.15180722891566259</v>
      </c>
      <c r="D56" s="5">
        <v>4.2000000000000003E-2</v>
      </c>
      <c r="E56" s="5">
        <v>8.3462132921174655E-3</v>
      </c>
      <c r="F56" s="7" t="s">
        <v>917</v>
      </c>
      <c r="G56" s="7" t="s">
        <v>918</v>
      </c>
      <c r="H56" s="7" t="s">
        <v>2688</v>
      </c>
      <c r="I56" s="7" t="s">
        <v>2689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</row>
    <row r="57" spans="1:28" ht="30" x14ac:dyDescent="0.25">
      <c r="A57" s="5">
        <v>461</v>
      </c>
      <c r="B57" s="5">
        <v>0.32127659574468093</v>
      </c>
      <c r="C57" s="5">
        <v>0.85180722891566274</v>
      </c>
      <c r="D57" s="5">
        <v>1.9E-2</v>
      </c>
      <c r="E57" s="5">
        <v>6.1823802163833079E-4</v>
      </c>
      <c r="F57" s="7" t="s">
        <v>919</v>
      </c>
      <c r="G57" s="7" t="s">
        <v>920</v>
      </c>
      <c r="H57" s="7" t="s">
        <v>2688</v>
      </c>
      <c r="I57" s="7" t="s">
        <v>2689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</row>
    <row r="58" spans="1:28" ht="45" x14ac:dyDescent="0.25">
      <c r="A58" s="5">
        <v>462</v>
      </c>
      <c r="B58" s="5">
        <v>0.1095744680851064</v>
      </c>
      <c r="C58" s="5">
        <v>0.26506024096385539</v>
      </c>
      <c r="D58" s="5">
        <v>0.01</v>
      </c>
      <c r="E58" s="5">
        <v>0</v>
      </c>
      <c r="F58" s="7" t="s">
        <v>921</v>
      </c>
      <c r="G58" s="7" t="s">
        <v>922</v>
      </c>
      <c r="H58" s="7" t="s">
        <v>2688</v>
      </c>
      <c r="I58" s="7" t="s">
        <v>2689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</row>
    <row r="59" spans="1:28" ht="45" x14ac:dyDescent="0.25">
      <c r="A59" s="5">
        <v>463</v>
      </c>
      <c r="B59" s="5">
        <v>7.4468085106382975E-2</v>
      </c>
      <c r="C59" s="5">
        <v>0.13012048192771089</v>
      </c>
      <c r="D59" s="5">
        <v>6.9999999999999993E-3</v>
      </c>
      <c r="E59" s="5">
        <v>8.0370942812983005E-3</v>
      </c>
      <c r="F59" s="7" t="s">
        <v>923</v>
      </c>
      <c r="G59" s="7" t="s">
        <v>924</v>
      </c>
      <c r="H59" s="7" t="s">
        <v>2688</v>
      </c>
      <c r="I59" s="7" t="s">
        <v>2689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</row>
    <row r="60" spans="1:28" ht="45" x14ac:dyDescent="0.25">
      <c r="A60" s="5">
        <v>464</v>
      </c>
      <c r="B60" s="5">
        <v>0.15638297872340429</v>
      </c>
      <c r="C60" s="5">
        <v>0.21084337349397589</v>
      </c>
      <c r="D60" s="5">
        <v>6.5000000000000002E-2</v>
      </c>
      <c r="E60" s="5">
        <v>8.3462132921174655E-3</v>
      </c>
      <c r="F60" s="7" t="s">
        <v>925</v>
      </c>
      <c r="G60" s="7" t="s">
        <v>926</v>
      </c>
      <c r="H60" s="7" t="s">
        <v>2688</v>
      </c>
      <c r="I60" s="7" t="s">
        <v>2689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</row>
    <row r="61" spans="1:28" ht="30" x14ac:dyDescent="0.25">
      <c r="A61" s="5">
        <v>465</v>
      </c>
      <c r="B61" s="5">
        <v>0.1159574468085106</v>
      </c>
      <c r="C61" s="5">
        <v>0.26506024096385539</v>
      </c>
      <c r="D61" s="5">
        <v>1.7000000000000001E-2</v>
      </c>
      <c r="E61" s="5">
        <v>0</v>
      </c>
      <c r="F61" s="7" t="s">
        <v>927</v>
      </c>
      <c r="G61" s="7" t="s">
        <v>928</v>
      </c>
      <c r="H61" s="7" t="s">
        <v>2688</v>
      </c>
      <c r="I61" s="7" t="s">
        <v>2689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1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</row>
    <row r="62" spans="1:28" ht="30" x14ac:dyDescent="0.25">
      <c r="A62" s="5">
        <v>466</v>
      </c>
      <c r="B62" s="5">
        <v>8.723404255319149E-2</v>
      </c>
      <c r="C62" s="5">
        <v>0.2168674698795181</v>
      </c>
      <c r="D62" s="5">
        <v>0.01</v>
      </c>
      <c r="E62" s="5">
        <v>6.1823802163833079E-4</v>
      </c>
      <c r="F62" s="7" t="s">
        <v>929</v>
      </c>
      <c r="G62" s="7" t="s">
        <v>930</v>
      </c>
      <c r="H62" s="7" t="s">
        <v>2688</v>
      </c>
      <c r="I62" s="7" t="s">
        <v>2689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1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</row>
    <row r="63" spans="1:28" ht="45" x14ac:dyDescent="0.25">
      <c r="A63" s="5">
        <v>467</v>
      </c>
      <c r="B63" s="5">
        <v>9.5744680851063829E-2</v>
      </c>
      <c r="C63" s="5">
        <v>0.24578313253012049</v>
      </c>
      <c r="D63" s="5">
        <v>9.0000000000000011E-3</v>
      </c>
      <c r="E63" s="5">
        <v>0</v>
      </c>
      <c r="F63" s="7" t="s">
        <v>931</v>
      </c>
      <c r="G63" s="7" t="s">
        <v>932</v>
      </c>
      <c r="H63" s="7" t="s">
        <v>2688</v>
      </c>
      <c r="I63" s="7" t="s">
        <v>2689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</row>
    <row r="64" spans="1:28" ht="45" x14ac:dyDescent="0.25">
      <c r="A64" s="5">
        <v>469</v>
      </c>
      <c r="B64" s="5">
        <v>0.1191489361702128</v>
      </c>
      <c r="C64" s="5">
        <v>0.24096385542168669</v>
      </c>
      <c r="D64" s="5">
        <v>0.03</v>
      </c>
      <c r="E64" s="5">
        <v>0</v>
      </c>
      <c r="F64" s="7" t="s">
        <v>935</v>
      </c>
      <c r="G64" s="7" t="s">
        <v>936</v>
      </c>
      <c r="H64" s="7" t="s">
        <v>2688</v>
      </c>
      <c r="I64" s="7" t="s">
        <v>2689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1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</row>
    <row r="65" spans="1:28" ht="30" x14ac:dyDescent="0.25">
      <c r="A65" s="5">
        <v>470</v>
      </c>
      <c r="B65" s="5">
        <v>0.1106382978723404</v>
      </c>
      <c r="C65" s="5">
        <v>0.18795180722891569</v>
      </c>
      <c r="D65" s="5">
        <v>3.2000000000000001E-2</v>
      </c>
      <c r="E65" s="5">
        <v>3.0911901081916542E-3</v>
      </c>
      <c r="F65" s="7" t="s">
        <v>937</v>
      </c>
      <c r="G65" s="7" t="s">
        <v>938</v>
      </c>
      <c r="H65" s="7" t="s">
        <v>2688</v>
      </c>
      <c r="I65" s="7" t="s">
        <v>2689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1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</row>
    <row r="66" spans="1:28" ht="45" x14ac:dyDescent="0.25">
      <c r="A66" s="5">
        <v>471</v>
      </c>
      <c r="B66" s="5">
        <v>0.27446808510638299</v>
      </c>
      <c r="C66" s="5">
        <v>0.48554216867469879</v>
      </c>
      <c r="D66" s="5">
        <v>2.3E-2</v>
      </c>
      <c r="E66" s="5">
        <v>2.9211746522411128E-2</v>
      </c>
      <c r="F66" s="7" t="s">
        <v>939</v>
      </c>
      <c r="G66" s="7" t="s">
        <v>940</v>
      </c>
      <c r="H66" s="7" t="s">
        <v>2688</v>
      </c>
      <c r="I66" s="7" t="s">
        <v>2689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1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</row>
    <row r="67" spans="1:28" ht="45" x14ac:dyDescent="0.25">
      <c r="A67" s="5">
        <v>472</v>
      </c>
      <c r="B67" s="5">
        <v>0.1053191489361702</v>
      </c>
      <c r="C67" s="5">
        <v>0.2481927710843374</v>
      </c>
      <c r="D67" s="5">
        <v>1.4E-2</v>
      </c>
      <c r="E67" s="5">
        <v>1.3910355486862439E-3</v>
      </c>
      <c r="F67" s="7" t="s">
        <v>941</v>
      </c>
      <c r="G67" s="7" t="s">
        <v>942</v>
      </c>
      <c r="H67" s="7" t="s">
        <v>2688</v>
      </c>
      <c r="I67" s="7" t="s">
        <v>2689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1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</row>
    <row r="68" spans="1:28" ht="30" x14ac:dyDescent="0.25">
      <c r="A68" s="5">
        <v>473</v>
      </c>
      <c r="B68" s="5">
        <v>9.1489361702127667E-2</v>
      </c>
      <c r="C68" s="5">
        <v>0.19277108433734941</v>
      </c>
      <c r="D68" s="5">
        <v>0.02</v>
      </c>
      <c r="E68" s="5">
        <v>0</v>
      </c>
      <c r="F68" s="7" t="s">
        <v>943</v>
      </c>
      <c r="G68" s="7" t="s">
        <v>944</v>
      </c>
      <c r="H68" s="7" t="s">
        <v>2688</v>
      </c>
      <c r="I68" s="7" t="s">
        <v>2689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1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</row>
    <row r="69" spans="1:28" ht="45" x14ac:dyDescent="0.25">
      <c r="A69" s="5">
        <v>475</v>
      </c>
      <c r="B69" s="5">
        <v>0.22234042553191491</v>
      </c>
      <c r="C69" s="5">
        <v>0.18313253012048189</v>
      </c>
      <c r="D69" s="5">
        <v>0.113</v>
      </c>
      <c r="E69" s="5">
        <v>1.823802163833076E-2</v>
      </c>
      <c r="F69" s="7" t="s">
        <v>947</v>
      </c>
      <c r="G69" s="7" t="s">
        <v>948</v>
      </c>
      <c r="H69" s="7" t="s">
        <v>2683</v>
      </c>
      <c r="I69" s="7" t="s">
        <v>2689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</row>
    <row r="70" spans="1:28" ht="30" x14ac:dyDescent="0.25">
      <c r="A70" s="5">
        <v>476</v>
      </c>
      <c r="B70" s="5">
        <v>0.1031914893617021</v>
      </c>
      <c r="C70" s="5">
        <v>0.21566265060240961</v>
      </c>
      <c r="D70" s="5">
        <v>0.02</v>
      </c>
      <c r="E70" s="5">
        <v>6.1823802163833079E-4</v>
      </c>
      <c r="F70" s="7" t="s">
        <v>949</v>
      </c>
      <c r="G70" s="7" t="s">
        <v>950</v>
      </c>
      <c r="H70" s="7" t="s">
        <v>2688</v>
      </c>
      <c r="I70" s="7" t="s">
        <v>2689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1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</row>
    <row r="71" spans="1:28" ht="45" x14ac:dyDescent="0.25">
      <c r="A71" s="5">
        <v>478</v>
      </c>
      <c r="B71" s="5">
        <v>0.61914893617021283</v>
      </c>
      <c r="C71" s="5">
        <v>0.82289156626506021</v>
      </c>
      <c r="D71" s="5">
        <v>0.152</v>
      </c>
      <c r="E71" s="5">
        <v>5.7496136012364772E-2</v>
      </c>
      <c r="F71" s="7" t="s">
        <v>952</v>
      </c>
      <c r="G71" s="7" t="s">
        <v>953</v>
      </c>
      <c r="H71" s="7" t="s">
        <v>2688</v>
      </c>
      <c r="I71" s="7" t="s">
        <v>2689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</row>
    <row r="72" spans="1:28" ht="30" x14ac:dyDescent="0.25">
      <c r="A72" s="5">
        <v>480</v>
      </c>
      <c r="B72" s="5">
        <v>0.12872340425531911</v>
      </c>
      <c r="C72" s="5">
        <v>0.26144578313253009</v>
      </c>
      <c r="D72" s="5">
        <v>2.8000000000000001E-2</v>
      </c>
      <c r="E72" s="5">
        <v>1.236476043276662E-3</v>
      </c>
      <c r="F72" s="7" t="s">
        <v>956</v>
      </c>
      <c r="G72" s="7" t="s">
        <v>957</v>
      </c>
      <c r="H72" s="7" t="s">
        <v>2688</v>
      </c>
      <c r="I72" s="7" t="s">
        <v>2689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1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</row>
    <row r="73" spans="1:28" ht="30" x14ac:dyDescent="0.25">
      <c r="A73" s="5">
        <v>481</v>
      </c>
      <c r="B73" s="5">
        <v>9.4680851063829785E-2</v>
      </c>
      <c r="C73" s="5">
        <v>0.2253012048192771</v>
      </c>
      <c r="D73" s="5">
        <v>0.01</v>
      </c>
      <c r="E73" s="5">
        <v>0</v>
      </c>
      <c r="F73" s="7" t="s">
        <v>958</v>
      </c>
      <c r="G73" s="7" t="s">
        <v>959</v>
      </c>
      <c r="H73" s="7" t="s">
        <v>2688</v>
      </c>
      <c r="I73" s="7" t="s">
        <v>2689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1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</row>
    <row r="74" spans="1:28" ht="60" x14ac:dyDescent="0.25">
      <c r="A74" s="5">
        <v>482</v>
      </c>
      <c r="B74" s="5">
        <v>0.1638297872340426</v>
      </c>
      <c r="C74" s="5">
        <v>0.2024096385542169</v>
      </c>
      <c r="D74" s="5">
        <v>0.05</v>
      </c>
      <c r="E74" s="5">
        <v>1.6228748068006182E-2</v>
      </c>
      <c r="F74" s="7" t="s">
        <v>960</v>
      </c>
      <c r="G74" s="7" t="s">
        <v>961</v>
      </c>
      <c r="H74" s="7" t="s">
        <v>2688</v>
      </c>
      <c r="I74" s="7" t="s">
        <v>2689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1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</row>
    <row r="75" spans="1:28" ht="45" x14ac:dyDescent="0.25">
      <c r="A75" s="5">
        <v>483</v>
      </c>
      <c r="B75" s="5">
        <v>0.13297872340425529</v>
      </c>
      <c r="C75" s="5">
        <v>0.25662650602409642</v>
      </c>
      <c r="D75" s="5">
        <v>3.4000000000000002E-2</v>
      </c>
      <c r="E75" s="5">
        <v>3.4003091190108188E-3</v>
      </c>
      <c r="F75" s="7" t="s">
        <v>962</v>
      </c>
      <c r="G75" s="7" t="s">
        <v>963</v>
      </c>
      <c r="H75" s="7" t="s">
        <v>2688</v>
      </c>
      <c r="I75" s="7" t="s">
        <v>2689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</row>
    <row r="76" spans="1:28" ht="45" x14ac:dyDescent="0.25">
      <c r="A76" s="5">
        <v>484</v>
      </c>
      <c r="B76" s="5">
        <v>0.16170212765957451</v>
      </c>
      <c r="C76" s="5">
        <v>0.21204819277108439</v>
      </c>
      <c r="D76" s="5">
        <v>6.0999999999999999E-2</v>
      </c>
      <c r="E76" s="5">
        <v>1.035548686244204E-2</v>
      </c>
      <c r="F76" s="7" t="s">
        <v>964</v>
      </c>
      <c r="G76" s="7" t="s">
        <v>965</v>
      </c>
      <c r="H76" s="7" t="s">
        <v>2688</v>
      </c>
      <c r="I76" s="7" t="s">
        <v>2689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</row>
    <row r="77" spans="1:28" ht="45" x14ac:dyDescent="0.25">
      <c r="A77" s="5">
        <v>485</v>
      </c>
      <c r="B77" s="5">
        <v>0.1276595744680851</v>
      </c>
      <c r="C77" s="5">
        <v>0.17228915662650601</v>
      </c>
      <c r="D77" s="5">
        <v>4.9000000000000002E-2</v>
      </c>
      <c r="E77" s="5">
        <v>7.1097372488408027E-3</v>
      </c>
      <c r="F77" s="7" t="s">
        <v>966</v>
      </c>
      <c r="G77" s="7" t="s">
        <v>967</v>
      </c>
      <c r="H77" s="7" t="s">
        <v>2683</v>
      </c>
      <c r="I77" s="7" t="s">
        <v>2689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</row>
    <row r="78" spans="1:28" ht="45" x14ac:dyDescent="0.25">
      <c r="A78" s="5">
        <v>486</v>
      </c>
      <c r="B78" s="5">
        <v>0.1531914893617021</v>
      </c>
      <c r="C78" s="5">
        <v>0.21084337349397589</v>
      </c>
      <c r="D78" s="5">
        <v>6.3E-2</v>
      </c>
      <c r="E78" s="5">
        <v>6.646058732612055E-3</v>
      </c>
      <c r="F78" s="7" t="s">
        <v>968</v>
      </c>
      <c r="G78" s="7" t="s">
        <v>969</v>
      </c>
      <c r="H78" s="7" t="s">
        <v>2688</v>
      </c>
      <c r="I78" s="7" t="s">
        <v>2689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</row>
    <row r="79" spans="1:28" ht="45" x14ac:dyDescent="0.25">
      <c r="A79" s="5">
        <v>487</v>
      </c>
      <c r="B79" s="5">
        <v>0.1404255319148936</v>
      </c>
      <c r="C79" s="5">
        <v>0.20481927710843381</v>
      </c>
      <c r="D79" s="5">
        <v>6.6000000000000003E-2</v>
      </c>
      <c r="E79" s="5">
        <v>1.70015455950541E-3</v>
      </c>
      <c r="F79" s="7" t="s">
        <v>970</v>
      </c>
      <c r="G79" s="7" t="s">
        <v>971</v>
      </c>
      <c r="H79" s="7" t="s">
        <v>2688</v>
      </c>
      <c r="I79" s="7" t="s">
        <v>2689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1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</row>
    <row r="80" spans="1:28" ht="60" x14ac:dyDescent="0.25">
      <c r="A80" s="5">
        <v>488</v>
      </c>
      <c r="B80" s="5">
        <v>0.1659574468085106</v>
      </c>
      <c r="C80" s="5">
        <v>0.33734939759036148</v>
      </c>
      <c r="D80" s="5">
        <v>0.04</v>
      </c>
      <c r="E80" s="5">
        <v>3.0911901081916542E-3</v>
      </c>
      <c r="F80" s="7" t="s">
        <v>972</v>
      </c>
      <c r="G80" s="7" t="s">
        <v>973</v>
      </c>
      <c r="H80" s="7" t="s">
        <v>2688</v>
      </c>
      <c r="I80" s="7" t="s">
        <v>2689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1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</row>
    <row r="81" spans="1:28" ht="30" x14ac:dyDescent="0.25">
      <c r="A81" s="5">
        <v>489</v>
      </c>
      <c r="B81" s="5">
        <v>0.18723404255319151</v>
      </c>
      <c r="C81" s="5">
        <v>0.38554216867469882</v>
      </c>
      <c r="D81" s="5">
        <v>4.3999999999999997E-2</v>
      </c>
      <c r="E81" s="5">
        <v>0</v>
      </c>
      <c r="F81" s="7" t="s">
        <v>974</v>
      </c>
      <c r="G81" s="7" t="s">
        <v>975</v>
      </c>
      <c r="H81" s="7" t="s">
        <v>2688</v>
      </c>
      <c r="I81" s="7" t="s">
        <v>2689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1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1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</row>
    <row r="82" spans="1:28" ht="45" x14ac:dyDescent="0.25">
      <c r="A82" s="5">
        <v>490</v>
      </c>
      <c r="B82" s="5">
        <v>0.1670212765957447</v>
      </c>
      <c r="C82" s="5">
        <v>0.33734939759036148</v>
      </c>
      <c r="D82" s="5">
        <v>4.2000000000000003E-2</v>
      </c>
      <c r="E82" s="5">
        <v>2.7820710973724878E-3</v>
      </c>
      <c r="F82" s="7" t="s">
        <v>976</v>
      </c>
      <c r="G82" s="7" t="s">
        <v>977</v>
      </c>
      <c r="H82" s="7" t="s">
        <v>2688</v>
      </c>
      <c r="I82" s="7" t="s">
        <v>2689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1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</row>
    <row r="83" spans="1:28" ht="45" x14ac:dyDescent="0.25">
      <c r="A83" s="5">
        <v>491</v>
      </c>
      <c r="B83" s="5">
        <v>0.18085106382978719</v>
      </c>
      <c r="C83" s="5">
        <v>0.37349397590361449</v>
      </c>
      <c r="D83" s="5">
        <v>4.2000000000000003E-2</v>
      </c>
      <c r="E83" s="5">
        <v>0</v>
      </c>
      <c r="F83" s="7" t="s">
        <v>978</v>
      </c>
      <c r="G83" s="7" t="s">
        <v>979</v>
      </c>
      <c r="H83" s="7" t="s">
        <v>2688</v>
      </c>
      <c r="I83" s="7" t="s">
        <v>2689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</row>
    <row r="84" spans="1:28" ht="30" x14ac:dyDescent="0.25">
      <c r="A84" s="5">
        <v>492</v>
      </c>
      <c r="B84" s="5">
        <v>0.1627659574468085</v>
      </c>
      <c r="C84" s="5">
        <v>0.36144578313253012</v>
      </c>
      <c r="D84" s="5">
        <v>2.8000000000000001E-2</v>
      </c>
      <c r="E84" s="5">
        <v>0</v>
      </c>
      <c r="F84" s="7" t="s">
        <v>980</v>
      </c>
      <c r="G84" s="7" t="s">
        <v>981</v>
      </c>
      <c r="H84" s="7" t="s">
        <v>2688</v>
      </c>
      <c r="I84" s="7" t="s">
        <v>2689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1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</row>
    <row r="85" spans="1:28" ht="30" x14ac:dyDescent="0.25">
      <c r="A85" s="5">
        <v>493</v>
      </c>
      <c r="B85" s="5">
        <v>0.15106382978723401</v>
      </c>
      <c r="C85" s="5">
        <v>0.3253012048192771</v>
      </c>
      <c r="D85" s="5">
        <v>0.03</v>
      </c>
      <c r="E85" s="5">
        <v>0</v>
      </c>
      <c r="F85" s="7" t="s">
        <v>982</v>
      </c>
      <c r="G85" s="7" t="s">
        <v>983</v>
      </c>
      <c r="H85" s="7" t="s">
        <v>2688</v>
      </c>
      <c r="I85" s="7" t="s">
        <v>2689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</row>
    <row r="86" spans="1:28" ht="45" x14ac:dyDescent="0.25">
      <c r="A86" s="5">
        <v>494</v>
      </c>
      <c r="B86" s="5">
        <v>0.44148936170212771</v>
      </c>
      <c r="C86" s="5">
        <v>0.73855421686746991</v>
      </c>
      <c r="D86" s="5">
        <v>0.17599999999999999</v>
      </c>
      <c r="E86" s="5">
        <v>4.4822256568778978E-3</v>
      </c>
      <c r="F86" s="7" t="s">
        <v>984</v>
      </c>
      <c r="G86" s="7" t="s">
        <v>985</v>
      </c>
      <c r="H86" s="7" t="s">
        <v>2688</v>
      </c>
      <c r="I86" s="7" t="s">
        <v>2689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1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</row>
    <row r="87" spans="1:28" ht="30" x14ac:dyDescent="0.25">
      <c r="A87" s="5">
        <v>495</v>
      </c>
      <c r="B87" s="5">
        <v>0.56808510638297871</v>
      </c>
      <c r="C87" s="5">
        <v>0.48433734939759038</v>
      </c>
      <c r="D87" s="5">
        <v>0.39300000000000002</v>
      </c>
      <c r="E87" s="5">
        <v>7.573415765069552E-3</v>
      </c>
      <c r="F87" s="7" t="s">
        <v>986</v>
      </c>
      <c r="G87" s="7" t="s">
        <v>987</v>
      </c>
      <c r="H87" s="7" t="s">
        <v>2688</v>
      </c>
      <c r="I87" s="7" t="s">
        <v>2689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1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</row>
    <row r="88" spans="1:28" ht="30" x14ac:dyDescent="0.25">
      <c r="A88" s="5">
        <v>496</v>
      </c>
      <c r="B88" s="5">
        <v>0.30212765957446808</v>
      </c>
      <c r="C88" s="5">
        <v>0.41084337349397593</v>
      </c>
      <c r="D88" s="5">
        <v>9.9000000000000005E-2</v>
      </c>
      <c r="E88" s="5">
        <v>2.2565687789799071E-2</v>
      </c>
      <c r="F88" s="7" t="s">
        <v>988</v>
      </c>
      <c r="G88" s="7" t="s">
        <v>989</v>
      </c>
      <c r="H88" s="7" t="s">
        <v>2688</v>
      </c>
      <c r="I88" s="7" t="s">
        <v>2689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1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</row>
    <row r="89" spans="1:28" ht="30" x14ac:dyDescent="0.25">
      <c r="A89" s="5">
        <v>497</v>
      </c>
      <c r="B89" s="5">
        <v>0.1202127659574468</v>
      </c>
      <c r="C89" s="5">
        <v>0.1674698795180723</v>
      </c>
      <c r="D89" s="5">
        <v>4.9000000000000002E-2</v>
      </c>
      <c r="E89" s="5">
        <v>5.2550231839258114E-3</v>
      </c>
      <c r="F89" s="7" t="s">
        <v>990</v>
      </c>
      <c r="G89" s="7" t="s">
        <v>991</v>
      </c>
      <c r="H89" s="7" t="s">
        <v>2688</v>
      </c>
      <c r="I89" s="7" t="s">
        <v>2689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1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</row>
    <row r="90" spans="1:28" ht="45" x14ac:dyDescent="0.25">
      <c r="A90" s="5">
        <v>499</v>
      </c>
      <c r="B90" s="5">
        <v>0.1159574468085106</v>
      </c>
      <c r="C90" s="5">
        <v>0.2397590361445783</v>
      </c>
      <c r="D90" s="5">
        <v>1.7999999999999999E-2</v>
      </c>
      <c r="E90" s="5">
        <v>5.2550231839258114E-3</v>
      </c>
      <c r="F90" s="7" t="s">
        <v>994</v>
      </c>
      <c r="G90" s="7" t="s">
        <v>995</v>
      </c>
      <c r="H90" s="7" t="s">
        <v>2688</v>
      </c>
      <c r="I90" s="7" t="s">
        <v>2689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1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</row>
    <row r="91" spans="1:28" ht="45" x14ac:dyDescent="0.25">
      <c r="A91" s="5">
        <v>500</v>
      </c>
      <c r="B91" s="5">
        <v>0.1202127659574468</v>
      </c>
      <c r="C91" s="5">
        <v>0.20481927710843381</v>
      </c>
      <c r="D91" s="5">
        <v>4.4999999999999998E-2</v>
      </c>
      <c r="E91" s="5">
        <v>0</v>
      </c>
      <c r="F91" s="7" t="s">
        <v>996</v>
      </c>
      <c r="G91" s="7" t="s">
        <v>997</v>
      </c>
      <c r="H91" s="7" t="s">
        <v>2688</v>
      </c>
      <c r="I91" s="7" t="s">
        <v>2689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1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1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</row>
    <row r="92" spans="1:28" ht="45" x14ac:dyDescent="0.25">
      <c r="A92" s="5">
        <v>501</v>
      </c>
      <c r="B92" s="5">
        <v>0.20638297872340419</v>
      </c>
      <c r="C92" s="5">
        <v>0.45783132530120491</v>
      </c>
      <c r="D92" s="5">
        <v>3.5000000000000003E-2</v>
      </c>
      <c r="E92" s="5">
        <v>0</v>
      </c>
      <c r="F92" s="7" t="s">
        <v>998</v>
      </c>
      <c r="G92" s="7" t="s">
        <v>999</v>
      </c>
      <c r="H92" s="7" t="s">
        <v>2688</v>
      </c>
      <c r="I92" s="7" t="s">
        <v>2689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1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</row>
    <row r="93" spans="1:28" ht="30" x14ac:dyDescent="0.25">
      <c r="A93" s="5">
        <v>502</v>
      </c>
      <c r="B93" s="5">
        <v>0.14680851063829789</v>
      </c>
      <c r="C93" s="5">
        <v>0.3253012048192771</v>
      </c>
      <c r="D93" s="5">
        <v>3.3000000000000002E-2</v>
      </c>
      <c r="E93" s="5">
        <v>0</v>
      </c>
      <c r="F93" s="7" t="s">
        <v>1000</v>
      </c>
      <c r="G93" s="7" t="s">
        <v>1001</v>
      </c>
      <c r="H93" s="7" t="s">
        <v>2688</v>
      </c>
      <c r="I93" s="7" t="s">
        <v>2689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</row>
    <row r="94" spans="1:28" ht="60" x14ac:dyDescent="0.25">
      <c r="A94" s="5">
        <v>503</v>
      </c>
      <c r="B94" s="5">
        <v>0.1063829787234043</v>
      </c>
      <c r="C94" s="5">
        <v>0.22650602409638559</v>
      </c>
      <c r="D94" s="5">
        <v>2.1999999999999999E-2</v>
      </c>
      <c r="E94" s="5">
        <v>0</v>
      </c>
      <c r="F94" s="7" t="s">
        <v>1002</v>
      </c>
      <c r="G94" s="7" t="s">
        <v>1003</v>
      </c>
      <c r="H94" s="7" t="s">
        <v>2688</v>
      </c>
      <c r="I94" s="7" t="s">
        <v>2689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1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</row>
    <row r="95" spans="1:28" ht="30" x14ac:dyDescent="0.25">
      <c r="A95" s="5">
        <v>504</v>
      </c>
      <c r="B95" s="5">
        <v>0.30744680851063833</v>
      </c>
      <c r="C95" s="5">
        <v>0.45783132530120491</v>
      </c>
      <c r="D95" s="5">
        <v>0.14000000000000001</v>
      </c>
      <c r="E95" s="5">
        <v>0</v>
      </c>
      <c r="F95" s="7" t="s">
        <v>1004</v>
      </c>
      <c r="G95" s="7" t="s">
        <v>1005</v>
      </c>
      <c r="H95" s="7" t="s">
        <v>2688</v>
      </c>
      <c r="I95" s="7" t="s">
        <v>2689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1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1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</row>
    <row r="96" spans="1:28" ht="45" x14ac:dyDescent="0.25">
      <c r="A96" s="5">
        <v>505</v>
      </c>
      <c r="B96" s="5">
        <v>8.9361702127659579E-2</v>
      </c>
      <c r="C96" s="5">
        <v>0.18313253012048189</v>
      </c>
      <c r="D96" s="5">
        <v>6.0000000000000001E-3</v>
      </c>
      <c r="E96" s="5">
        <v>7.2642967542503869E-3</v>
      </c>
      <c r="F96" s="7" t="s">
        <v>1006</v>
      </c>
      <c r="G96" s="7" t="s">
        <v>1007</v>
      </c>
      <c r="H96" s="7" t="s">
        <v>2688</v>
      </c>
      <c r="I96" s="7" t="s">
        <v>2689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1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</row>
    <row r="97" spans="1:28" ht="30" x14ac:dyDescent="0.25">
      <c r="A97" s="5">
        <v>506</v>
      </c>
      <c r="B97" s="5">
        <v>8.6170212765957446E-2</v>
      </c>
      <c r="C97" s="5">
        <v>0.13734939759036149</v>
      </c>
      <c r="D97" s="5">
        <v>1.9E-2</v>
      </c>
      <c r="E97" s="5">
        <v>5.8732612055641424E-3</v>
      </c>
      <c r="F97" s="7" t="s">
        <v>1008</v>
      </c>
      <c r="G97" s="7" t="s">
        <v>208</v>
      </c>
      <c r="H97" s="7" t="s">
        <v>2688</v>
      </c>
      <c r="I97" s="7" t="s">
        <v>2689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1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</row>
    <row r="98" spans="1:28" ht="30" x14ac:dyDescent="0.25">
      <c r="A98" s="5">
        <v>507</v>
      </c>
      <c r="B98" s="5">
        <v>0.2117021276595745</v>
      </c>
      <c r="C98" s="5">
        <v>0.41084337349397593</v>
      </c>
      <c r="D98" s="5">
        <v>3.7999999999999999E-2</v>
      </c>
      <c r="E98" s="5">
        <v>1.097372488408037E-2</v>
      </c>
      <c r="F98" s="7" t="s">
        <v>1009</v>
      </c>
      <c r="G98" s="7" t="s">
        <v>1010</v>
      </c>
      <c r="H98" s="7" t="s">
        <v>2688</v>
      </c>
      <c r="I98" s="7" t="s">
        <v>2689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</row>
    <row r="99" spans="1:28" ht="30" x14ac:dyDescent="0.25">
      <c r="A99" s="5">
        <v>508</v>
      </c>
      <c r="B99" s="5">
        <v>0.1180851063829787</v>
      </c>
      <c r="C99" s="5">
        <v>0.16024096385542169</v>
      </c>
      <c r="D99" s="5">
        <v>3.4000000000000002E-2</v>
      </c>
      <c r="E99" s="5">
        <v>1.035548686244204E-2</v>
      </c>
      <c r="F99" s="7" t="s">
        <v>1011</v>
      </c>
      <c r="G99" s="7" t="s">
        <v>1012</v>
      </c>
      <c r="H99" s="7" t="s">
        <v>2688</v>
      </c>
      <c r="I99" s="7" t="s">
        <v>2689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1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1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</row>
    <row r="100" spans="1:28" ht="30" x14ac:dyDescent="0.25">
      <c r="A100" s="5">
        <v>509</v>
      </c>
      <c r="B100" s="5">
        <v>9.3617021276595741E-2</v>
      </c>
      <c r="C100" s="5">
        <v>0.19156626506024099</v>
      </c>
      <c r="D100" s="5">
        <v>9.0000000000000011E-3</v>
      </c>
      <c r="E100" s="5">
        <v>6.33693972179289E-3</v>
      </c>
      <c r="F100" s="7" t="s">
        <v>1013</v>
      </c>
      <c r="G100" s="7" t="s">
        <v>1014</v>
      </c>
      <c r="H100" s="7" t="s">
        <v>2683</v>
      </c>
      <c r="I100" s="7" t="s">
        <v>2689</v>
      </c>
      <c r="J100" s="5">
        <v>0</v>
      </c>
      <c r="K100" s="5">
        <v>0</v>
      </c>
      <c r="L100" s="5">
        <v>0</v>
      </c>
      <c r="M100" s="5">
        <v>1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1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</row>
    <row r="101" spans="1:28" ht="30" x14ac:dyDescent="0.25">
      <c r="A101" s="5">
        <v>510</v>
      </c>
      <c r="B101" s="5">
        <v>0.10212765957446809</v>
      </c>
      <c r="C101" s="5">
        <v>0.23493975903614461</v>
      </c>
      <c r="D101" s="5">
        <v>1.0999999999999999E-2</v>
      </c>
      <c r="E101" s="5">
        <v>3.0911901081916542E-3</v>
      </c>
      <c r="F101" s="7" t="s">
        <v>1015</v>
      </c>
      <c r="G101" s="7" t="s">
        <v>1016</v>
      </c>
      <c r="H101" s="7" t="s">
        <v>2688</v>
      </c>
      <c r="I101" s="7" t="s">
        <v>2689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1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1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</row>
    <row r="102" spans="1:28" ht="120" x14ac:dyDescent="0.25">
      <c r="A102" s="5">
        <v>511</v>
      </c>
      <c r="B102" s="5">
        <v>0.10106382978723399</v>
      </c>
      <c r="C102" s="5">
        <v>0.19036144578313249</v>
      </c>
      <c r="D102" s="5">
        <v>6.9999999999999993E-3</v>
      </c>
      <c r="E102" s="5">
        <v>1.004636785162288E-2</v>
      </c>
      <c r="F102" s="7" t="s">
        <v>1017</v>
      </c>
      <c r="G102" s="7" t="s">
        <v>1018</v>
      </c>
      <c r="H102" s="7" t="s">
        <v>2688</v>
      </c>
      <c r="I102" s="7" t="s">
        <v>2689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1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1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</row>
    <row r="103" spans="1:28" ht="45" x14ac:dyDescent="0.25">
      <c r="A103" s="5">
        <v>513</v>
      </c>
      <c r="B103" s="5">
        <v>0.21702127659574469</v>
      </c>
      <c r="C103" s="5">
        <v>0.19277108433734941</v>
      </c>
      <c r="D103" s="5">
        <v>0.15</v>
      </c>
      <c r="E103" s="5">
        <v>0</v>
      </c>
      <c r="F103" s="7" t="s">
        <v>1021</v>
      </c>
      <c r="G103" s="7" t="s">
        <v>1022</v>
      </c>
      <c r="H103" s="7" t="s">
        <v>2688</v>
      </c>
      <c r="I103" s="7" t="s">
        <v>2689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1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1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</row>
    <row r="104" spans="1:28" ht="45" x14ac:dyDescent="0.25">
      <c r="A104" s="5">
        <v>514</v>
      </c>
      <c r="B104" s="5">
        <v>0.1074468085106383</v>
      </c>
      <c r="C104" s="5">
        <v>0.1819277108433735</v>
      </c>
      <c r="D104" s="5">
        <v>4.0999999999999988E-2</v>
      </c>
      <c r="E104" s="5">
        <v>1.5455950540958271E-3</v>
      </c>
      <c r="F104" s="7" t="s">
        <v>1023</v>
      </c>
      <c r="G104" s="7" t="s">
        <v>1024</v>
      </c>
      <c r="H104" s="7" t="s">
        <v>2688</v>
      </c>
      <c r="I104" s="7" t="s">
        <v>2689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1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1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</row>
    <row r="105" spans="1:28" ht="45" x14ac:dyDescent="0.25">
      <c r="A105" s="5">
        <v>515</v>
      </c>
      <c r="B105" s="5">
        <v>0.33617021276595738</v>
      </c>
      <c r="C105" s="5">
        <v>0.72409638554216871</v>
      </c>
      <c r="D105" s="5">
        <v>6.5000000000000002E-2</v>
      </c>
      <c r="E105" s="5">
        <v>3.4621329211746522E-2</v>
      </c>
      <c r="F105" s="7" t="s">
        <v>1025</v>
      </c>
      <c r="G105" s="7" t="s">
        <v>1026</v>
      </c>
      <c r="H105" s="7" t="s">
        <v>2694</v>
      </c>
      <c r="I105" s="7" t="s">
        <v>2689</v>
      </c>
      <c r="J105" s="5">
        <v>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1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</row>
    <row r="106" spans="1:28" ht="90" x14ac:dyDescent="0.25">
      <c r="A106" s="5">
        <v>516</v>
      </c>
      <c r="B106" s="5">
        <v>0.1042553191489362</v>
      </c>
      <c r="C106" s="5">
        <v>0.236144578313253</v>
      </c>
      <c r="D106" s="5">
        <v>1.7000000000000001E-2</v>
      </c>
      <c r="E106" s="5">
        <v>1.5455950540958271E-3</v>
      </c>
      <c r="F106" s="7" t="s">
        <v>1027</v>
      </c>
      <c r="G106" s="7" t="s">
        <v>1028</v>
      </c>
      <c r="H106" s="7" t="s">
        <v>2688</v>
      </c>
      <c r="I106" s="7" t="s">
        <v>2689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1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</row>
    <row r="107" spans="1:28" ht="45" x14ac:dyDescent="0.25">
      <c r="A107" s="5">
        <v>517</v>
      </c>
      <c r="B107" s="5">
        <v>0.2946808510638298</v>
      </c>
      <c r="C107" s="5">
        <v>0.72289156626506024</v>
      </c>
      <c r="D107" s="5">
        <v>2.3E-2</v>
      </c>
      <c r="E107" s="5">
        <v>2.7820710973724878E-3</v>
      </c>
      <c r="F107" s="7" t="s">
        <v>1029</v>
      </c>
      <c r="G107" s="7" t="s">
        <v>1030</v>
      </c>
      <c r="H107" s="7" t="s">
        <v>2694</v>
      </c>
      <c r="I107" s="7" t="s">
        <v>2689</v>
      </c>
      <c r="J107" s="5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1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</row>
    <row r="108" spans="1:28" ht="90" x14ac:dyDescent="0.25">
      <c r="A108" s="5">
        <v>518</v>
      </c>
      <c r="B108" s="5">
        <v>0.18085106382978719</v>
      </c>
      <c r="C108" s="5">
        <v>0.40240963855421691</v>
      </c>
      <c r="D108" s="5">
        <v>0.03</v>
      </c>
      <c r="E108" s="5">
        <v>0</v>
      </c>
      <c r="F108" s="7" t="s">
        <v>1031</v>
      </c>
      <c r="G108" s="7" t="s">
        <v>1032</v>
      </c>
      <c r="H108" s="7" t="s">
        <v>2688</v>
      </c>
      <c r="I108" s="7" t="s">
        <v>2689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1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1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</row>
    <row r="109" spans="1:28" ht="45" x14ac:dyDescent="0.25">
      <c r="A109" s="5">
        <v>519</v>
      </c>
      <c r="B109" s="5">
        <v>0.35212765957446812</v>
      </c>
      <c r="C109" s="5">
        <v>0.8277108433734941</v>
      </c>
      <c r="D109" s="5">
        <v>4.2000000000000003E-2</v>
      </c>
      <c r="E109" s="5">
        <v>0</v>
      </c>
      <c r="F109" s="7" t="s">
        <v>1033</v>
      </c>
      <c r="G109" s="7" t="s">
        <v>1034</v>
      </c>
      <c r="H109" s="7" t="s">
        <v>2688</v>
      </c>
      <c r="I109" s="7" t="s">
        <v>2689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1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1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</row>
    <row r="110" spans="1:28" ht="30" x14ac:dyDescent="0.25">
      <c r="A110" s="5">
        <v>520</v>
      </c>
      <c r="B110" s="5">
        <v>0.1531914893617021</v>
      </c>
      <c r="C110" s="5">
        <v>0.391566265060241</v>
      </c>
      <c r="D110" s="5">
        <v>6.0000000000000001E-3</v>
      </c>
      <c r="E110" s="5">
        <v>0</v>
      </c>
      <c r="F110" s="7" t="s">
        <v>1035</v>
      </c>
      <c r="G110" s="7" t="s">
        <v>1036</v>
      </c>
      <c r="H110" s="7" t="s">
        <v>2683</v>
      </c>
      <c r="I110" s="7" t="s">
        <v>2689</v>
      </c>
      <c r="J110" s="5">
        <v>0</v>
      </c>
      <c r="K110" s="5">
        <v>0</v>
      </c>
      <c r="L110" s="5">
        <v>0</v>
      </c>
      <c r="M110" s="5">
        <v>1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1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</row>
    <row r="111" spans="1:28" ht="45" x14ac:dyDescent="0.25">
      <c r="A111" s="5">
        <v>521</v>
      </c>
      <c r="B111" s="5">
        <v>7.8723404255319152E-2</v>
      </c>
      <c r="C111" s="5">
        <v>0.1240963855421687</v>
      </c>
      <c r="D111" s="5">
        <v>1.4E-2</v>
      </c>
      <c r="E111" s="5">
        <v>6.33693972179289E-3</v>
      </c>
      <c r="F111" s="7" t="s">
        <v>1037</v>
      </c>
      <c r="G111" s="7" t="s">
        <v>1038</v>
      </c>
      <c r="H111" s="7" t="s">
        <v>2688</v>
      </c>
      <c r="I111" s="7" t="s">
        <v>2689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1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1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</row>
    <row r="112" spans="1:28" ht="30" x14ac:dyDescent="0.25">
      <c r="A112" s="5">
        <v>522</v>
      </c>
      <c r="B112" s="5">
        <v>0.36914893617021283</v>
      </c>
      <c r="C112" s="5">
        <v>0.58795180722891571</v>
      </c>
      <c r="D112" s="5">
        <v>6.4000000000000001E-2</v>
      </c>
      <c r="E112" s="5">
        <v>3.0293663060278211E-2</v>
      </c>
      <c r="F112" s="7" t="s">
        <v>1039</v>
      </c>
      <c r="G112" s="7" t="s">
        <v>1040</v>
      </c>
      <c r="H112" s="7" t="s">
        <v>2694</v>
      </c>
      <c r="I112" s="7" t="s">
        <v>2689</v>
      </c>
      <c r="J112" s="5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1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</row>
    <row r="113" spans="1:28" ht="30" x14ac:dyDescent="0.25">
      <c r="A113" s="5">
        <v>523</v>
      </c>
      <c r="B113" s="5">
        <v>8.723404255319149E-2</v>
      </c>
      <c r="C113" s="5">
        <v>0.2096385542168675</v>
      </c>
      <c r="D113" s="5">
        <v>4.0000000000000001E-3</v>
      </c>
      <c r="E113" s="5">
        <v>3.5548686244204009E-3</v>
      </c>
      <c r="F113" s="7" t="s">
        <v>1041</v>
      </c>
      <c r="G113" s="7" t="s">
        <v>1042</v>
      </c>
      <c r="H113" s="7" t="s">
        <v>2688</v>
      </c>
      <c r="I113" s="7" t="s">
        <v>2689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1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1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</row>
    <row r="114" spans="1:28" ht="30" x14ac:dyDescent="0.25">
      <c r="A114" s="5">
        <v>524</v>
      </c>
      <c r="B114" s="5">
        <v>0.1063829787234043</v>
      </c>
      <c r="C114" s="5">
        <v>0.16506024096385541</v>
      </c>
      <c r="D114" s="5">
        <v>1.4999999999999999E-2</v>
      </c>
      <c r="E114" s="5">
        <v>1.236476043276661E-2</v>
      </c>
      <c r="F114" s="7" t="s">
        <v>1043</v>
      </c>
      <c r="G114" s="7" t="s">
        <v>1044</v>
      </c>
      <c r="H114" s="7" t="s">
        <v>2688</v>
      </c>
      <c r="I114" s="7" t="s">
        <v>2689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1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1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</row>
    <row r="115" spans="1:28" x14ac:dyDescent="0.25">
      <c r="A115" s="5">
        <v>525</v>
      </c>
      <c r="B115" s="5">
        <v>0.10212765957446809</v>
      </c>
      <c r="C115" s="5">
        <v>0.23132530120481931</v>
      </c>
      <c r="D115" s="5">
        <v>0.02</v>
      </c>
      <c r="E115" s="5">
        <v>3.0911901081916539E-4</v>
      </c>
      <c r="F115" s="7" t="s">
        <v>1045</v>
      </c>
      <c r="G115" s="7" t="s">
        <v>1046</v>
      </c>
      <c r="H115" s="7" t="s">
        <v>2683</v>
      </c>
      <c r="I115" s="7" t="s">
        <v>2689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1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</row>
    <row r="116" spans="1:28" ht="75" x14ac:dyDescent="0.25">
      <c r="A116" s="5">
        <v>527</v>
      </c>
      <c r="B116" s="5">
        <v>0.52765957446808509</v>
      </c>
      <c r="C116" s="5">
        <v>0.36506024096385548</v>
      </c>
      <c r="D116" s="5">
        <v>0.33500000000000002</v>
      </c>
      <c r="E116" s="5">
        <v>2.8438948995363211E-2</v>
      </c>
      <c r="F116" s="7" t="s">
        <v>1049</v>
      </c>
      <c r="G116" s="7" t="s">
        <v>1050</v>
      </c>
      <c r="H116" s="7" t="s">
        <v>2688</v>
      </c>
      <c r="I116" s="7" t="s">
        <v>2689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1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1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</row>
    <row r="117" spans="1:28" ht="30" x14ac:dyDescent="0.25">
      <c r="A117" s="5">
        <v>671</v>
      </c>
      <c r="B117" s="5">
        <v>0.15851063829787229</v>
      </c>
      <c r="C117" s="5">
        <v>0.2</v>
      </c>
      <c r="D117" s="5">
        <v>9.1999999999999998E-2</v>
      </c>
      <c r="E117" s="5">
        <v>0</v>
      </c>
      <c r="F117" s="7" t="s">
        <v>1334</v>
      </c>
      <c r="G117" s="7" t="s">
        <v>1335</v>
      </c>
      <c r="H117" s="7" t="s">
        <v>2688</v>
      </c>
      <c r="I117" s="7" t="s">
        <v>2689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1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1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</row>
    <row r="118" spans="1:28" ht="30" x14ac:dyDescent="0.25">
      <c r="A118" s="5">
        <v>721</v>
      </c>
      <c r="B118" s="5">
        <v>8.4042553191489358E-2</v>
      </c>
      <c r="C118" s="5">
        <v>0.2253012048192771</v>
      </c>
      <c r="D118" s="5">
        <v>5.0000000000000001E-3</v>
      </c>
      <c r="E118" s="5">
        <v>0</v>
      </c>
      <c r="F118" s="7" t="s">
        <v>1434</v>
      </c>
      <c r="G118" s="7" t="s">
        <v>1435</v>
      </c>
      <c r="H118" s="7" t="s">
        <v>2688</v>
      </c>
      <c r="I118" s="7" t="s">
        <v>2689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1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1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</row>
    <row r="119" spans="1:28" ht="60" x14ac:dyDescent="0.25">
      <c r="A119" s="5">
        <v>739</v>
      </c>
      <c r="B119" s="5">
        <v>0.36382978723404258</v>
      </c>
      <c r="C119" s="5">
        <v>0.19277108433734941</v>
      </c>
      <c r="D119" s="5">
        <v>4.0000000000000001E-3</v>
      </c>
      <c r="E119" s="5">
        <v>0.1013910355486862</v>
      </c>
      <c r="F119" s="7" t="s">
        <v>1470</v>
      </c>
      <c r="G119" s="7" t="s">
        <v>1471</v>
      </c>
      <c r="H119" s="7" t="s">
        <v>2688</v>
      </c>
      <c r="I119" s="7" t="s">
        <v>2689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1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1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</row>
    <row r="120" spans="1:28" ht="45" x14ac:dyDescent="0.25">
      <c r="A120" s="5">
        <v>740</v>
      </c>
      <c r="B120" s="5">
        <v>0.34574468085106391</v>
      </c>
      <c r="C120" s="5">
        <v>2.168674698795181E-2</v>
      </c>
      <c r="D120" s="5">
        <v>4.0000000000000001E-3</v>
      </c>
      <c r="E120" s="5">
        <v>0.12132921174652241</v>
      </c>
      <c r="F120" s="7" t="s">
        <v>1472</v>
      </c>
      <c r="G120" s="7" t="s">
        <v>1473</v>
      </c>
      <c r="H120" s="7" t="s">
        <v>2688</v>
      </c>
      <c r="I120" s="7" t="s">
        <v>2689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1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1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</row>
    <row r="121" spans="1:28" ht="45" x14ac:dyDescent="0.25">
      <c r="A121" s="5">
        <v>743</v>
      </c>
      <c r="B121" s="5">
        <v>0.44893617021276588</v>
      </c>
      <c r="C121" s="5">
        <v>1</v>
      </c>
      <c r="D121" s="5">
        <v>0.04</v>
      </c>
      <c r="E121" s="5">
        <v>0</v>
      </c>
      <c r="F121" s="7" t="s">
        <v>1478</v>
      </c>
      <c r="G121" s="7" t="s">
        <v>1479</v>
      </c>
      <c r="H121" s="7" t="s">
        <v>2688</v>
      </c>
      <c r="I121" s="7" t="s">
        <v>2689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1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1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</row>
    <row r="122" spans="1:28" ht="45" x14ac:dyDescent="0.25">
      <c r="A122" s="5">
        <v>885</v>
      </c>
      <c r="B122" s="5">
        <v>0.3425531914893617</v>
      </c>
      <c r="C122" s="5">
        <v>0.67228915662650601</v>
      </c>
      <c r="D122" s="5">
        <v>0.02</v>
      </c>
      <c r="E122" s="5">
        <v>3.5085007727975272E-2</v>
      </c>
      <c r="F122" s="7" t="s">
        <v>1756</v>
      </c>
      <c r="G122" s="7" t="s">
        <v>1757</v>
      </c>
      <c r="H122" s="7" t="s">
        <v>2688</v>
      </c>
      <c r="I122" s="7" t="s">
        <v>2689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1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1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</row>
    <row r="123" spans="1:28" ht="45" x14ac:dyDescent="0.25">
      <c r="A123" s="5">
        <v>968</v>
      </c>
      <c r="B123" s="5">
        <v>0.1659574468085106</v>
      </c>
      <c r="C123" s="5">
        <v>0.33734939759036148</v>
      </c>
      <c r="D123" s="5">
        <v>0.04</v>
      </c>
      <c r="E123" s="5">
        <v>0</v>
      </c>
      <c r="F123" s="7" t="s">
        <v>1917</v>
      </c>
      <c r="G123" s="7" t="s">
        <v>1918</v>
      </c>
      <c r="H123" s="7" t="s">
        <v>2688</v>
      </c>
      <c r="I123" s="7" t="s">
        <v>2689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1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1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</row>
    <row r="124" spans="1:28" ht="45" x14ac:dyDescent="0.25">
      <c r="A124" s="5">
        <v>987</v>
      </c>
      <c r="B124" s="5">
        <v>0.17127659574468079</v>
      </c>
      <c r="C124" s="5">
        <v>0.24096385542168669</v>
      </c>
      <c r="D124" s="5">
        <v>2E-3</v>
      </c>
      <c r="E124" s="5">
        <v>3.7094281298299843E-2</v>
      </c>
      <c r="F124" s="7" t="s">
        <v>1955</v>
      </c>
      <c r="G124" s="7" t="s">
        <v>1956</v>
      </c>
      <c r="H124" s="7" t="s">
        <v>2697</v>
      </c>
      <c r="I124" s="7" t="s">
        <v>2689</v>
      </c>
      <c r="J124" s="5">
        <v>0</v>
      </c>
      <c r="K124" s="5">
        <v>0</v>
      </c>
      <c r="L124" s="5">
        <v>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1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</row>
    <row r="125" spans="1:28" ht="60" x14ac:dyDescent="0.25">
      <c r="A125" s="5">
        <v>993</v>
      </c>
      <c r="B125" s="5">
        <v>0.1670212765957447</v>
      </c>
      <c r="C125" s="5">
        <v>0.33734939759036148</v>
      </c>
      <c r="D125" s="5">
        <v>4.2000000000000003E-2</v>
      </c>
      <c r="E125" s="5">
        <v>0</v>
      </c>
      <c r="F125" s="7" t="s">
        <v>1967</v>
      </c>
      <c r="G125" s="7" t="s">
        <v>1968</v>
      </c>
      <c r="H125" s="7" t="s">
        <v>2688</v>
      </c>
      <c r="I125" s="7" t="s">
        <v>2689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1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1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</row>
    <row r="126" spans="1:28" ht="60" x14ac:dyDescent="0.25">
      <c r="A126" s="5">
        <v>994</v>
      </c>
      <c r="B126" s="5">
        <v>0.18085106382978719</v>
      </c>
      <c r="C126" s="5">
        <v>0.37349397590361449</v>
      </c>
      <c r="D126" s="5">
        <v>4.2000000000000003E-2</v>
      </c>
      <c r="E126" s="5">
        <v>0</v>
      </c>
      <c r="F126" s="7" t="s">
        <v>1969</v>
      </c>
      <c r="G126" s="7" t="s">
        <v>1970</v>
      </c>
      <c r="H126" s="7" t="s">
        <v>2688</v>
      </c>
      <c r="I126" s="7" t="s">
        <v>2689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1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1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</row>
    <row r="127" spans="1:28" ht="45" x14ac:dyDescent="0.25">
      <c r="A127" s="5">
        <v>995</v>
      </c>
      <c r="B127" s="5">
        <v>0.1627659574468085</v>
      </c>
      <c r="C127" s="5">
        <v>0.36144578313253012</v>
      </c>
      <c r="D127" s="5">
        <v>2.8000000000000001E-2</v>
      </c>
      <c r="E127" s="5">
        <v>0</v>
      </c>
      <c r="F127" s="7" t="s">
        <v>1971</v>
      </c>
      <c r="G127" s="7" t="s">
        <v>1972</v>
      </c>
      <c r="H127" s="7" t="s">
        <v>2688</v>
      </c>
      <c r="I127" s="7" t="s">
        <v>2689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1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1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</row>
    <row r="128" spans="1:28" ht="45" x14ac:dyDescent="0.25">
      <c r="A128" s="5">
        <v>996</v>
      </c>
      <c r="B128" s="5">
        <v>0.15106382978723401</v>
      </c>
      <c r="C128" s="5">
        <v>0.3253012048192771</v>
      </c>
      <c r="D128" s="5">
        <v>0.03</v>
      </c>
      <c r="E128" s="5">
        <v>0</v>
      </c>
      <c r="F128" s="7" t="s">
        <v>1973</v>
      </c>
      <c r="G128" s="7" t="s">
        <v>1974</v>
      </c>
      <c r="H128" s="7" t="s">
        <v>2688</v>
      </c>
      <c r="I128" s="7" t="s">
        <v>2689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1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1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</row>
    <row r="129" spans="1:28" ht="45" x14ac:dyDescent="0.25">
      <c r="A129" s="5">
        <v>1000</v>
      </c>
      <c r="B129" s="5">
        <v>0.1276595744680851</v>
      </c>
      <c r="C129" s="5">
        <v>1.3253012048192771E-2</v>
      </c>
      <c r="D129" s="5">
        <v>2E-3</v>
      </c>
      <c r="E129" s="5">
        <v>4.1421947449768161E-2</v>
      </c>
      <c r="F129" s="7" t="s">
        <v>1981</v>
      </c>
      <c r="G129" s="7" t="s">
        <v>1982</v>
      </c>
      <c r="H129" s="7" t="s">
        <v>2683</v>
      </c>
      <c r="I129" s="7" t="s">
        <v>2689</v>
      </c>
      <c r="J129" s="5">
        <v>0</v>
      </c>
      <c r="K129" s="5">
        <v>0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</row>
    <row r="130" spans="1:28" ht="90" x14ac:dyDescent="0.25">
      <c r="A130" s="5">
        <v>1077</v>
      </c>
      <c r="B130" s="5">
        <v>0.22553191489361701</v>
      </c>
      <c r="C130" s="5">
        <v>0.2168674698795181</v>
      </c>
      <c r="D130" s="5">
        <v>0.106</v>
      </c>
      <c r="E130" s="5">
        <v>9.1653786707882531E-2</v>
      </c>
      <c r="F130" s="7" t="s">
        <v>2131</v>
      </c>
      <c r="G130" s="7" t="s">
        <v>2132</v>
      </c>
      <c r="H130" s="7" t="s">
        <v>2688</v>
      </c>
      <c r="I130" s="7" t="s">
        <v>2689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1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</row>
    <row r="131" spans="1:28" ht="45" x14ac:dyDescent="0.25">
      <c r="A131" s="5">
        <v>1078</v>
      </c>
      <c r="B131" s="5">
        <v>0.1148936170212766</v>
      </c>
      <c r="C131" s="5">
        <v>0.21204819277108439</v>
      </c>
      <c r="D131" s="5">
        <v>4.2000000000000003E-2</v>
      </c>
      <c r="E131" s="5">
        <v>0</v>
      </c>
      <c r="F131" s="7" t="s">
        <v>2133</v>
      </c>
      <c r="G131" s="7" t="s">
        <v>2134</v>
      </c>
      <c r="H131" s="7" t="s">
        <v>2688</v>
      </c>
      <c r="I131" s="7" t="s">
        <v>2689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1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</row>
    <row r="132" spans="1:28" ht="45" x14ac:dyDescent="0.25">
      <c r="A132" s="5">
        <v>1079</v>
      </c>
      <c r="B132" s="5">
        <v>0.19361702127659569</v>
      </c>
      <c r="C132" s="5">
        <v>0.38554216867469882</v>
      </c>
      <c r="D132" s="5">
        <v>0.06</v>
      </c>
      <c r="E132" s="5">
        <v>0</v>
      </c>
      <c r="F132" s="7" t="s">
        <v>2135</v>
      </c>
      <c r="G132" s="7" t="s">
        <v>2136</v>
      </c>
      <c r="H132" s="7" t="s">
        <v>2688</v>
      </c>
      <c r="I132" s="7" t="s">
        <v>2689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1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1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</row>
    <row r="133" spans="1:28" ht="60" x14ac:dyDescent="0.25">
      <c r="A133" s="5">
        <v>1080</v>
      </c>
      <c r="B133" s="5">
        <v>0.3202127659574468</v>
      </c>
      <c r="C133" s="5">
        <v>0.66265060240963858</v>
      </c>
      <c r="D133" s="5">
        <v>0.09</v>
      </c>
      <c r="E133" s="5">
        <v>0</v>
      </c>
      <c r="F133" s="7" t="s">
        <v>2137</v>
      </c>
      <c r="G133" s="7" t="s">
        <v>2138</v>
      </c>
      <c r="H133" s="7" t="s">
        <v>2688</v>
      </c>
      <c r="I133" s="7" t="s">
        <v>2689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1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1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</row>
    <row r="134" spans="1:28" ht="90" x14ac:dyDescent="0.25">
      <c r="A134" s="5">
        <v>1081</v>
      </c>
      <c r="B134" s="5">
        <v>0.29042553191489362</v>
      </c>
      <c r="C134" s="5">
        <v>0.21084337349397589</v>
      </c>
      <c r="D134" s="5">
        <v>0.22</v>
      </c>
      <c r="E134" s="5">
        <v>0</v>
      </c>
      <c r="F134" s="7" t="s">
        <v>2139</v>
      </c>
      <c r="G134" s="7" t="s">
        <v>2140</v>
      </c>
      <c r="H134" s="7" t="s">
        <v>2688</v>
      </c>
      <c r="I134" s="7" t="s">
        <v>2689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1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1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</row>
    <row r="135" spans="1:28" ht="30" x14ac:dyDescent="0.25">
      <c r="A135" s="5">
        <v>1082</v>
      </c>
      <c r="B135" s="5">
        <v>0.30744680851063833</v>
      </c>
      <c r="C135" s="5">
        <v>0.19277108433734941</v>
      </c>
      <c r="D135" s="5">
        <v>0.25</v>
      </c>
      <c r="E135" s="5">
        <v>0</v>
      </c>
      <c r="F135" s="7" t="s">
        <v>2141</v>
      </c>
      <c r="G135" s="7" t="s">
        <v>2142</v>
      </c>
      <c r="H135" s="7" t="s">
        <v>2688</v>
      </c>
      <c r="I135" s="7" t="s">
        <v>2689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1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</row>
    <row r="136" spans="1:28" ht="90" x14ac:dyDescent="0.25">
      <c r="A136" s="5">
        <v>1083</v>
      </c>
      <c r="B136" s="5">
        <v>0.18510638297872339</v>
      </c>
      <c r="C136" s="5">
        <v>0.236144578313253</v>
      </c>
      <c r="D136" s="5">
        <v>0.1</v>
      </c>
      <c r="E136" s="5">
        <v>0</v>
      </c>
      <c r="F136" s="7" t="s">
        <v>2143</v>
      </c>
      <c r="G136" s="7" t="s">
        <v>2140</v>
      </c>
      <c r="H136" s="7" t="s">
        <v>2688</v>
      </c>
      <c r="I136" s="7" t="s">
        <v>2689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1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1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</row>
    <row r="137" spans="1:28" ht="45" x14ac:dyDescent="0.25">
      <c r="A137" s="5">
        <v>1084</v>
      </c>
      <c r="B137" s="5">
        <v>0.21382978723404261</v>
      </c>
      <c r="C137" s="5">
        <v>0.22650602409638559</v>
      </c>
      <c r="D137" s="5">
        <v>0.14000000000000001</v>
      </c>
      <c r="E137" s="5">
        <v>0</v>
      </c>
      <c r="F137" s="7" t="s">
        <v>2144</v>
      </c>
      <c r="G137" s="7" t="s">
        <v>2145</v>
      </c>
      <c r="H137" s="7" t="s">
        <v>2688</v>
      </c>
      <c r="I137" s="7" t="s">
        <v>2689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1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1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</row>
    <row r="138" spans="1:28" ht="45" x14ac:dyDescent="0.25">
      <c r="A138" s="5">
        <v>1086</v>
      </c>
      <c r="B138" s="5">
        <v>0.19468085106382979</v>
      </c>
      <c r="C138" s="5">
        <v>0.1445783132530121</v>
      </c>
      <c r="D138" s="5">
        <v>0.14399999999999999</v>
      </c>
      <c r="E138" s="5">
        <v>2.1638330757341581E-3</v>
      </c>
      <c r="F138" s="7" t="s">
        <v>2148</v>
      </c>
      <c r="G138" s="7" t="s">
        <v>2149</v>
      </c>
      <c r="H138" s="7" t="s">
        <v>2683</v>
      </c>
      <c r="I138" s="7" t="s">
        <v>2689</v>
      </c>
      <c r="J138" s="5">
        <v>0</v>
      </c>
      <c r="K138" s="5">
        <v>0</v>
      </c>
      <c r="L138" s="5">
        <v>0</v>
      </c>
      <c r="M138" s="5">
        <v>1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1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</row>
    <row r="139" spans="1:28" ht="60" x14ac:dyDescent="0.25">
      <c r="A139" s="5">
        <v>1087</v>
      </c>
      <c r="B139" s="5">
        <v>0.1042553191489362</v>
      </c>
      <c r="C139" s="5">
        <v>0.26385542168674703</v>
      </c>
      <c r="D139" s="5">
        <v>1.0999999999999999E-2</v>
      </c>
      <c r="E139" s="5">
        <v>0</v>
      </c>
      <c r="F139" s="7" t="s">
        <v>2150</v>
      </c>
      <c r="G139" s="7" t="s">
        <v>650</v>
      </c>
      <c r="H139" s="7" t="s">
        <v>2688</v>
      </c>
      <c r="I139" s="7" t="s">
        <v>2689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1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1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</row>
    <row r="140" spans="1:28" ht="45" x14ac:dyDescent="0.25">
      <c r="A140" s="5">
        <v>1090</v>
      </c>
      <c r="B140" s="5">
        <v>8.9361702127659579E-2</v>
      </c>
      <c r="C140" s="5">
        <v>0.12650602409638559</v>
      </c>
      <c r="D140" s="5">
        <v>4.5999999999999999E-2</v>
      </c>
      <c r="E140" s="5">
        <v>3.0911901081916539E-4</v>
      </c>
      <c r="F140" s="7" t="s">
        <v>2154</v>
      </c>
      <c r="G140" s="7" t="s">
        <v>2155</v>
      </c>
      <c r="H140" s="7" t="s">
        <v>2683</v>
      </c>
      <c r="I140" s="7" t="s">
        <v>2689</v>
      </c>
      <c r="J140" s="5">
        <v>0</v>
      </c>
      <c r="K140" s="5">
        <v>0</v>
      </c>
      <c r="L140" s="5">
        <v>0</v>
      </c>
      <c r="M140" s="5">
        <v>1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1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</row>
    <row r="141" spans="1:28" ht="45" x14ac:dyDescent="0.25">
      <c r="A141" s="5">
        <v>1091</v>
      </c>
      <c r="B141" s="5">
        <v>0.1404255319148936</v>
      </c>
      <c r="C141" s="5">
        <v>0.23734939759036139</v>
      </c>
      <c r="D141" s="5">
        <v>3.2000000000000001E-2</v>
      </c>
      <c r="E141" s="5">
        <v>9.2735703245749607E-3</v>
      </c>
      <c r="F141" s="7" t="s">
        <v>2156</v>
      </c>
      <c r="G141" s="7" t="s">
        <v>2157</v>
      </c>
      <c r="H141" s="7" t="s">
        <v>2688</v>
      </c>
      <c r="I141" s="7" t="s">
        <v>2689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1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1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</row>
    <row r="142" spans="1:28" ht="45" x14ac:dyDescent="0.25">
      <c r="A142" s="5">
        <v>1093</v>
      </c>
      <c r="B142" s="5">
        <v>0.38297872340425532</v>
      </c>
      <c r="C142" s="5">
        <v>0.69036144578313252</v>
      </c>
      <c r="D142" s="5">
        <v>0.06</v>
      </c>
      <c r="E142" s="5">
        <v>2.9675425038639871E-2</v>
      </c>
      <c r="F142" s="7" t="s">
        <v>2159</v>
      </c>
      <c r="G142" s="7" t="s">
        <v>2160</v>
      </c>
      <c r="H142" s="7" t="s">
        <v>2688</v>
      </c>
      <c r="I142" s="7" t="s">
        <v>2689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1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1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</row>
    <row r="143" spans="1:28" ht="45" x14ac:dyDescent="0.25">
      <c r="A143" s="5">
        <v>1095</v>
      </c>
      <c r="B143" s="5">
        <v>0.13404255319148939</v>
      </c>
      <c r="C143" s="5">
        <v>0.16867469879518071</v>
      </c>
      <c r="D143" s="5">
        <v>7.2000000000000008E-2</v>
      </c>
      <c r="E143" s="5">
        <v>2.3183925811437402E-3</v>
      </c>
      <c r="F143" s="7" t="s">
        <v>2163</v>
      </c>
      <c r="G143" s="7" t="s">
        <v>2164</v>
      </c>
      <c r="H143" s="7" t="s">
        <v>2688</v>
      </c>
      <c r="I143" s="7" t="s">
        <v>2689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1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1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</row>
    <row r="144" spans="1:28" ht="45" x14ac:dyDescent="0.25">
      <c r="A144" s="5">
        <v>1255</v>
      </c>
      <c r="B144" s="5">
        <v>0.33617021276595738</v>
      </c>
      <c r="C144" s="5">
        <v>0.72409638554216871</v>
      </c>
      <c r="D144" s="5">
        <v>6.5000000000000002E-2</v>
      </c>
      <c r="E144" s="5">
        <v>3.4621329211746522E-2</v>
      </c>
      <c r="F144" s="7" t="s">
        <v>2479</v>
      </c>
      <c r="G144" s="7" t="s">
        <v>2480</v>
      </c>
      <c r="H144" s="7" t="s">
        <v>2694</v>
      </c>
      <c r="I144" s="7" t="s">
        <v>2689</v>
      </c>
      <c r="J144" s="5">
        <v>1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1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</row>
    <row r="145" spans="1:28" ht="30" x14ac:dyDescent="0.25">
      <c r="A145" s="5">
        <v>1332</v>
      </c>
      <c r="B145" s="5">
        <v>0.13829787234042551</v>
      </c>
      <c r="C145" s="5">
        <v>0.16867469879518071</v>
      </c>
      <c r="D145" s="5">
        <v>7.2000000000000008E-2</v>
      </c>
      <c r="E145" s="5">
        <v>2.3183925811437402E-3</v>
      </c>
      <c r="F145" s="7" t="s">
        <v>2630</v>
      </c>
      <c r="G145" s="7" t="s">
        <v>2631</v>
      </c>
      <c r="H145" s="7" t="s">
        <v>2688</v>
      </c>
      <c r="I145" s="7" t="s">
        <v>2689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1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1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</row>
    <row r="146" spans="1:28" ht="60" x14ac:dyDescent="0.25">
      <c r="A146" s="5">
        <v>1327</v>
      </c>
      <c r="B146" s="5">
        <v>9.6808510638297873E-2</v>
      </c>
      <c r="C146" s="5">
        <v>0.25301204819277112</v>
      </c>
      <c r="D146" s="5">
        <v>2E-3</v>
      </c>
      <c r="E146" s="5">
        <v>1.545595054095827E-4</v>
      </c>
      <c r="F146" s="7" t="s">
        <v>2714</v>
      </c>
      <c r="G146" s="7" t="s">
        <v>2621</v>
      </c>
      <c r="H146" s="7" t="s">
        <v>2688</v>
      </c>
      <c r="I146" s="7" t="s">
        <v>2689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1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1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27"/>
  <sheetViews>
    <sheetView topLeftCell="B1" workbookViewId="0">
      <pane ySplit="1" topLeftCell="A50" activePane="bottomLeft" state="frozen"/>
      <selection pane="bottomLeft" activeCell="F4" sqref="F4"/>
    </sheetView>
  </sheetViews>
  <sheetFormatPr defaultRowHeight="15" x14ac:dyDescent="0.25"/>
  <cols>
    <col min="1" max="1" width="6" customWidth="1"/>
    <col min="2" max="4" width="22" customWidth="1"/>
    <col min="5" max="5" width="23" customWidth="1"/>
    <col min="6" max="6" width="33" customWidth="1"/>
    <col min="7" max="7" width="50" customWidth="1"/>
    <col min="8" max="8" width="9" customWidth="1"/>
    <col min="9" max="9" width="10" customWidth="1"/>
    <col min="10" max="10" width="15" customWidth="1"/>
    <col min="11" max="11" width="14" customWidth="1"/>
    <col min="12" max="14" width="16" customWidth="1"/>
    <col min="15" max="15" width="15" customWidth="1"/>
    <col min="16" max="16" width="16" customWidth="1"/>
    <col min="17" max="17" width="15" customWidth="1"/>
    <col min="18" max="18" width="27" customWidth="1"/>
    <col min="19" max="19" width="26" customWidth="1"/>
    <col min="20" max="20" width="24" customWidth="1"/>
    <col min="21" max="21" width="18" customWidth="1"/>
    <col min="22" max="22" width="15" customWidth="1"/>
    <col min="23" max="23" width="23" customWidth="1"/>
    <col min="24" max="25" width="18" customWidth="1"/>
    <col min="26" max="26" width="15" customWidth="1"/>
    <col min="27" max="27" width="16" customWidth="1"/>
    <col min="28" max="28" width="23" customWidth="1"/>
  </cols>
  <sheetData>
    <row r="1" spans="1:2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2660</v>
      </c>
      <c r="I1" s="1" t="s">
        <v>2661</v>
      </c>
      <c r="J1" s="1" t="s">
        <v>2662</v>
      </c>
      <c r="K1" s="1" t="s">
        <v>2663</v>
      </c>
      <c r="L1" s="1" t="s">
        <v>2664</v>
      </c>
      <c r="M1" s="1" t="s">
        <v>2665</v>
      </c>
      <c r="N1" s="1" t="s">
        <v>2666</v>
      </c>
      <c r="O1" s="1" t="s">
        <v>2667</v>
      </c>
      <c r="P1" s="1" t="s">
        <v>2668</v>
      </c>
      <c r="Q1" s="1" t="s">
        <v>2669</v>
      </c>
      <c r="R1" s="1" t="s">
        <v>2670</v>
      </c>
      <c r="S1" s="1" t="s">
        <v>2671</v>
      </c>
      <c r="T1" s="1" t="s">
        <v>2672</v>
      </c>
      <c r="U1" s="1" t="s">
        <v>2673</v>
      </c>
      <c r="V1" s="1" t="s">
        <v>2674</v>
      </c>
      <c r="W1" s="1" t="s">
        <v>2675</v>
      </c>
      <c r="X1" s="1" t="s">
        <v>2676</v>
      </c>
      <c r="Y1" s="1" t="s">
        <v>2677</v>
      </c>
      <c r="Z1" s="1" t="s">
        <v>2678</v>
      </c>
      <c r="AA1" s="1" t="s">
        <v>2679</v>
      </c>
      <c r="AB1" s="1" t="s">
        <v>2680</v>
      </c>
    </row>
    <row r="2" spans="1:28" ht="60" x14ac:dyDescent="0.25">
      <c r="A2" s="5">
        <v>4</v>
      </c>
      <c r="B2" s="5">
        <v>4.7872340425531908E-2</v>
      </c>
      <c r="C2" s="5">
        <v>1.3253012048192771E-2</v>
      </c>
      <c r="D2" s="5">
        <v>4.0000000000000001E-3</v>
      </c>
      <c r="E2" s="5">
        <v>1.6692426584234931E-2</v>
      </c>
      <c r="F2" s="7" t="s">
        <v>13</v>
      </c>
      <c r="G2" s="7" t="s">
        <v>14</v>
      </c>
      <c r="H2" s="7" t="s">
        <v>2684</v>
      </c>
      <c r="I2" s="7" t="s">
        <v>2685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1</v>
      </c>
      <c r="Y2" s="5">
        <v>0</v>
      </c>
      <c r="Z2" s="5">
        <v>0</v>
      </c>
      <c r="AA2" s="5">
        <v>0</v>
      </c>
      <c r="AB2" s="5">
        <v>0</v>
      </c>
    </row>
    <row r="3" spans="1:28" ht="30" x14ac:dyDescent="0.25">
      <c r="A3" s="5">
        <v>5</v>
      </c>
      <c r="B3" s="5">
        <v>3.9361702127659583E-2</v>
      </c>
      <c r="C3" s="5">
        <v>5.301204819277109E-2</v>
      </c>
      <c r="D3" s="5">
        <v>5.0000000000000001E-3</v>
      </c>
      <c r="E3" s="5">
        <v>5.8732612055641424E-3</v>
      </c>
      <c r="F3" s="7" t="s">
        <v>15</v>
      </c>
      <c r="G3" s="7" t="s">
        <v>16</v>
      </c>
      <c r="H3" s="7" t="s">
        <v>2684</v>
      </c>
      <c r="I3" s="7" t="s">
        <v>2685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  <c r="Y3" s="5">
        <v>0</v>
      </c>
      <c r="Z3" s="5">
        <v>0</v>
      </c>
      <c r="AA3" s="5">
        <v>0</v>
      </c>
      <c r="AB3" s="5">
        <v>0</v>
      </c>
    </row>
    <row r="4" spans="1:28" ht="30" x14ac:dyDescent="0.25">
      <c r="A4" s="5">
        <v>15</v>
      </c>
      <c r="B4" s="5">
        <v>2.6595744680851061E-2</v>
      </c>
      <c r="C4" s="5">
        <v>1.9277108433734941E-2</v>
      </c>
      <c r="D4" s="5">
        <v>2E-3</v>
      </c>
      <c r="E4" s="5">
        <v>8.1916537867078813E-3</v>
      </c>
      <c r="F4" s="7" t="s">
        <v>35</v>
      </c>
      <c r="G4" s="7" t="s">
        <v>36</v>
      </c>
      <c r="H4" s="7" t="s">
        <v>2684</v>
      </c>
      <c r="I4" s="7" t="s">
        <v>2685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  <c r="Y4" s="5">
        <v>0</v>
      </c>
      <c r="Z4" s="5">
        <v>0</v>
      </c>
      <c r="AA4" s="5">
        <v>0</v>
      </c>
      <c r="AB4" s="5">
        <v>0</v>
      </c>
    </row>
    <row r="5" spans="1:28" ht="30" x14ac:dyDescent="0.25">
      <c r="A5" s="5">
        <v>18</v>
      </c>
      <c r="B5" s="5">
        <v>0.13404255319148939</v>
      </c>
      <c r="C5" s="5">
        <v>4.0963855421686748E-2</v>
      </c>
      <c r="D5" s="5">
        <v>7.9000000000000001E-2</v>
      </c>
      <c r="E5" s="5">
        <v>1.591962905718702E-2</v>
      </c>
      <c r="F5" s="7" t="s">
        <v>41</v>
      </c>
      <c r="G5" s="7" t="s">
        <v>42</v>
      </c>
      <c r="H5" s="7" t="s">
        <v>2684</v>
      </c>
      <c r="I5" s="7" t="s">
        <v>2685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  <c r="Y5" s="5">
        <v>0</v>
      </c>
      <c r="Z5" s="5">
        <v>0</v>
      </c>
      <c r="AA5" s="5">
        <v>0</v>
      </c>
      <c r="AB5" s="5">
        <v>0</v>
      </c>
    </row>
    <row r="6" spans="1:28" ht="45" x14ac:dyDescent="0.25">
      <c r="A6" s="5">
        <v>22</v>
      </c>
      <c r="B6" s="5">
        <v>0.1202127659574468</v>
      </c>
      <c r="C6" s="5">
        <v>1.084337349397591E-2</v>
      </c>
      <c r="D6" s="5">
        <v>7.2000000000000008E-2</v>
      </c>
      <c r="E6" s="5">
        <v>1.7310664605873261E-2</v>
      </c>
      <c r="F6" s="7" t="s">
        <v>49</v>
      </c>
      <c r="G6" s="7" t="s">
        <v>50</v>
      </c>
      <c r="H6" s="7" t="s">
        <v>2683</v>
      </c>
      <c r="I6" s="7" t="s">
        <v>2685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  <c r="Y6" s="5">
        <v>0</v>
      </c>
      <c r="Z6" s="5">
        <v>0</v>
      </c>
      <c r="AA6" s="5">
        <v>0</v>
      </c>
      <c r="AB6" s="5">
        <v>0</v>
      </c>
    </row>
    <row r="7" spans="1:28" ht="45" x14ac:dyDescent="0.25">
      <c r="A7" s="5">
        <v>29</v>
      </c>
      <c r="B7" s="5">
        <v>0.1042553191489362</v>
      </c>
      <c r="C7" s="5">
        <v>4.6987951807228923E-2</v>
      </c>
      <c r="D7" s="5">
        <v>2.5999999999999999E-2</v>
      </c>
      <c r="E7" s="5">
        <v>2.2874806800618239E-2</v>
      </c>
      <c r="F7" s="7" t="s">
        <v>63</v>
      </c>
      <c r="G7" s="7" t="s">
        <v>64</v>
      </c>
      <c r="H7" s="7" t="s">
        <v>2681</v>
      </c>
      <c r="I7" s="7" t="s">
        <v>2685</v>
      </c>
      <c r="J7" s="5">
        <v>0</v>
      </c>
      <c r="K7" s="5">
        <v>0</v>
      </c>
      <c r="L7" s="5">
        <v>0</v>
      </c>
      <c r="M7" s="5">
        <v>0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  <c r="Y7" s="5">
        <v>0</v>
      </c>
      <c r="Z7" s="5">
        <v>0</v>
      </c>
      <c r="AA7" s="5">
        <v>0</v>
      </c>
      <c r="AB7" s="5">
        <v>0</v>
      </c>
    </row>
    <row r="8" spans="1:28" ht="30" x14ac:dyDescent="0.25">
      <c r="A8" s="5">
        <v>65</v>
      </c>
      <c r="B8" s="5">
        <v>2.8723404255319149E-2</v>
      </c>
      <c r="C8" s="5">
        <v>2.4096385542168679E-2</v>
      </c>
      <c r="D8" s="5">
        <v>2E-3</v>
      </c>
      <c r="E8" s="5">
        <v>6.4914992272024734E-3</v>
      </c>
      <c r="F8" s="7" t="s">
        <v>135</v>
      </c>
      <c r="G8" s="7" t="s">
        <v>136</v>
      </c>
      <c r="H8" s="7" t="s">
        <v>2683</v>
      </c>
      <c r="I8" s="7" t="s">
        <v>2685</v>
      </c>
      <c r="J8" s="5">
        <v>0</v>
      </c>
      <c r="K8" s="5">
        <v>0</v>
      </c>
      <c r="L8" s="5">
        <v>0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  <c r="Y8" s="5">
        <v>0</v>
      </c>
      <c r="Z8" s="5">
        <v>0</v>
      </c>
      <c r="AA8" s="5">
        <v>0</v>
      </c>
      <c r="AB8" s="5">
        <v>0</v>
      </c>
    </row>
    <row r="9" spans="1:28" ht="45" x14ac:dyDescent="0.25">
      <c r="A9" s="5">
        <v>81</v>
      </c>
      <c r="B9" s="5">
        <v>5.4255319148936172E-2</v>
      </c>
      <c r="C9" s="5">
        <v>5.5421686746987948E-2</v>
      </c>
      <c r="D9" s="5">
        <v>5.0000000000000001E-3</v>
      </c>
      <c r="E9" s="5">
        <v>1.5455950540958271E-2</v>
      </c>
      <c r="F9" s="7" t="s">
        <v>167</v>
      </c>
      <c r="G9" s="7" t="s">
        <v>168</v>
      </c>
      <c r="H9" s="7" t="s">
        <v>2683</v>
      </c>
      <c r="I9" s="7" t="s">
        <v>2685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  <c r="Y9" s="5">
        <v>0</v>
      </c>
      <c r="Z9" s="5">
        <v>0</v>
      </c>
      <c r="AA9" s="5">
        <v>0</v>
      </c>
      <c r="AB9" s="5">
        <v>0</v>
      </c>
    </row>
    <row r="10" spans="1:28" ht="45" x14ac:dyDescent="0.25">
      <c r="A10" s="5">
        <v>82</v>
      </c>
      <c r="B10" s="5">
        <v>4.3617021276595752E-2</v>
      </c>
      <c r="C10" s="5">
        <v>2.6506024096385541E-2</v>
      </c>
      <c r="D10" s="5">
        <v>8.0000000000000002E-3</v>
      </c>
      <c r="E10" s="5">
        <v>9.7372488408037083E-3</v>
      </c>
      <c r="F10" s="7" t="s">
        <v>169</v>
      </c>
      <c r="G10" s="7" t="s">
        <v>170</v>
      </c>
      <c r="H10" s="7" t="s">
        <v>2683</v>
      </c>
      <c r="I10" s="7" t="s">
        <v>2685</v>
      </c>
      <c r="J10" s="5">
        <v>0</v>
      </c>
      <c r="K10" s="5">
        <v>0</v>
      </c>
      <c r="L10" s="5">
        <v>0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  <c r="Y10" s="5">
        <v>0</v>
      </c>
      <c r="Z10" s="5">
        <v>0</v>
      </c>
      <c r="AA10" s="5">
        <v>0</v>
      </c>
      <c r="AB10" s="5">
        <v>0</v>
      </c>
    </row>
    <row r="11" spans="1:28" ht="45" x14ac:dyDescent="0.25">
      <c r="A11" s="5">
        <v>83</v>
      </c>
      <c r="B11" s="5">
        <v>2.4468085106382979E-2</v>
      </c>
      <c r="C11" s="5">
        <v>1.445783132530121E-2</v>
      </c>
      <c r="D11" s="5">
        <v>6.0000000000000001E-3</v>
      </c>
      <c r="E11" s="5">
        <v>5.7187017001545598E-3</v>
      </c>
      <c r="F11" s="7" t="s">
        <v>171</v>
      </c>
      <c r="G11" s="7" t="s">
        <v>172</v>
      </c>
      <c r="H11" s="7" t="s">
        <v>2683</v>
      </c>
      <c r="I11" s="7" t="s">
        <v>2685</v>
      </c>
      <c r="J11" s="5">
        <v>0</v>
      </c>
      <c r="K11" s="5">
        <v>0</v>
      </c>
      <c r="L11" s="5">
        <v>0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  <c r="Y11" s="5">
        <v>0</v>
      </c>
      <c r="Z11" s="5">
        <v>0</v>
      </c>
      <c r="AA11" s="5">
        <v>0</v>
      </c>
      <c r="AB11" s="5">
        <v>0</v>
      </c>
    </row>
    <row r="12" spans="1:28" ht="30" x14ac:dyDescent="0.25">
      <c r="A12" s="5">
        <v>84</v>
      </c>
      <c r="B12" s="5">
        <v>3.8297872340425532E-2</v>
      </c>
      <c r="C12" s="5">
        <v>4.2168674698795178E-2</v>
      </c>
      <c r="D12" s="5">
        <v>5.0000000000000001E-3</v>
      </c>
      <c r="E12" s="5">
        <v>1.004636785162288E-2</v>
      </c>
      <c r="F12" s="7" t="s">
        <v>173</v>
      </c>
      <c r="G12" s="7" t="s">
        <v>174</v>
      </c>
      <c r="H12" s="7" t="s">
        <v>2683</v>
      </c>
      <c r="I12" s="7" t="s">
        <v>2685</v>
      </c>
      <c r="J12" s="5">
        <v>0</v>
      </c>
      <c r="K12" s="5">
        <v>0</v>
      </c>
      <c r="L12" s="5">
        <v>0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  <c r="Y12" s="5">
        <v>0</v>
      </c>
      <c r="Z12" s="5">
        <v>0</v>
      </c>
      <c r="AA12" s="5">
        <v>0</v>
      </c>
      <c r="AB12" s="5">
        <v>0</v>
      </c>
    </row>
    <row r="13" spans="1:28" ht="45" x14ac:dyDescent="0.25">
      <c r="A13" s="5">
        <v>85</v>
      </c>
      <c r="B13" s="5">
        <v>0.1085106382978723</v>
      </c>
      <c r="C13" s="5">
        <v>4.457831325301205E-2</v>
      </c>
      <c r="D13" s="5">
        <v>6.7000000000000004E-2</v>
      </c>
      <c r="E13" s="5">
        <v>1.066460587326121E-2</v>
      </c>
      <c r="F13" s="7" t="s">
        <v>175</v>
      </c>
      <c r="G13" s="7" t="s">
        <v>176</v>
      </c>
      <c r="H13" s="7" t="s">
        <v>2683</v>
      </c>
      <c r="I13" s="7" t="s">
        <v>2685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  <c r="Y13" s="5">
        <v>0</v>
      </c>
      <c r="Z13" s="5">
        <v>0</v>
      </c>
      <c r="AA13" s="5">
        <v>0</v>
      </c>
      <c r="AB13" s="5">
        <v>0</v>
      </c>
    </row>
    <row r="14" spans="1:28" ht="60" x14ac:dyDescent="0.25">
      <c r="A14" s="5">
        <v>86</v>
      </c>
      <c r="B14" s="5">
        <v>5.1063829787234047E-2</v>
      </c>
      <c r="C14" s="5">
        <v>1.6867469879518069E-2</v>
      </c>
      <c r="D14" s="5">
        <v>4.2000000000000003E-2</v>
      </c>
      <c r="E14" s="5">
        <v>4.0185471406491502E-3</v>
      </c>
      <c r="F14" s="7" t="s">
        <v>177</v>
      </c>
      <c r="G14" s="7" t="s">
        <v>178</v>
      </c>
      <c r="H14" s="7" t="s">
        <v>2683</v>
      </c>
      <c r="I14" s="7" t="s">
        <v>2685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  <c r="Y14" s="5">
        <v>0</v>
      </c>
      <c r="Z14" s="5">
        <v>0</v>
      </c>
      <c r="AA14" s="5">
        <v>0</v>
      </c>
      <c r="AB14" s="5">
        <v>0</v>
      </c>
    </row>
    <row r="15" spans="1:28" ht="30" x14ac:dyDescent="0.25">
      <c r="A15" s="5">
        <v>162</v>
      </c>
      <c r="B15" s="5">
        <v>4.042553191489362E-2</v>
      </c>
      <c r="C15" s="5">
        <v>1.8072289156626509E-2</v>
      </c>
      <c r="D15" s="5">
        <v>2E-3</v>
      </c>
      <c r="E15" s="5">
        <v>1.15919629057187E-2</v>
      </c>
      <c r="F15" s="7" t="s">
        <v>328</v>
      </c>
      <c r="G15" s="7" t="s">
        <v>329</v>
      </c>
      <c r="H15" s="7" t="s">
        <v>2683</v>
      </c>
      <c r="I15" s="7" t="s">
        <v>2685</v>
      </c>
      <c r="J15" s="5">
        <v>0</v>
      </c>
      <c r="K15" s="5">
        <v>0</v>
      </c>
      <c r="L15" s="5">
        <v>0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  <c r="Y15" s="5">
        <v>0</v>
      </c>
      <c r="Z15" s="5">
        <v>0</v>
      </c>
      <c r="AA15" s="5">
        <v>0</v>
      </c>
      <c r="AB15" s="5">
        <v>0</v>
      </c>
    </row>
    <row r="16" spans="1:28" ht="45" x14ac:dyDescent="0.25">
      <c r="A16" s="5">
        <v>190</v>
      </c>
      <c r="B16" s="5">
        <v>0.15</v>
      </c>
      <c r="C16" s="5">
        <v>5.301204819277109E-2</v>
      </c>
      <c r="D16" s="5">
        <v>0.10199999999999999</v>
      </c>
      <c r="E16" s="5">
        <v>1.236476043276661E-2</v>
      </c>
      <c r="F16" s="7" t="s">
        <v>384</v>
      </c>
      <c r="G16" s="7" t="s">
        <v>385</v>
      </c>
      <c r="H16" s="7" t="s">
        <v>2683</v>
      </c>
      <c r="I16" s="7" t="s">
        <v>2685</v>
      </c>
      <c r="J16" s="5">
        <v>0</v>
      </c>
      <c r="K16" s="5">
        <v>0</v>
      </c>
      <c r="L16" s="5">
        <v>0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  <c r="Y16" s="5">
        <v>0</v>
      </c>
      <c r="Z16" s="5">
        <v>0</v>
      </c>
      <c r="AA16" s="5">
        <v>0</v>
      </c>
      <c r="AB16" s="5">
        <v>0</v>
      </c>
    </row>
    <row r="17" spans="1:28" ht="45" x14ac:dyDescent="0.25">
      <c r="A17" s="2">
        <v>198</v>
      </c>
      <c r="B17" s="5">
        <v>2.1276595744680851E-2</v>
      </c>
      <c r="C17" s="5">
        <v>2.0481927710843371E-2</v>
      </c>
      <c r="D17" s="5">
        <v>4.0000000000000001E-3</v>
      </c>
      <c r="E17" s="5">
        <v>5.2550231839258114E-3</v>
      </c>
      <c r="F17" s="7" t="s">
        <v>400</v>
      </c>
      <c r="G17" s="7" t="s">
        <v>401</v>
      </c>
      <c r="H17" s="7" t="s">
        <v>2684</v>
      </c>
      <c r="I17" s="7" t="s">
        <v>2685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  <c r="Y17" s="5">
        <v>0</v>
      </c>
      <c r="Z17" s="5">
        <v>0</v>
      </c>
      <c r="AA17" s="5">
        <v>0</v>
      </c>
      <c r="AB17" s="5">
        <v>0</v>
      </c>
    </row>
    <row r="18" spans="1:28" ht="45" x14ac:dyDescent="0.25">
      <c r="A18" s="5">
        <v>203</v>
      </c>
      <c r="B18" s="5">
        <v>0.1031914893617021</v>
      </c>
      <c r="C18" s="5">
        <v>6.9879518072289162E-2</v>
      </c>
      <c r="D18" s="5">
        <v>6.3E-2</v>
      </c>
      <c r="E18" s="5">
        <v>6.4914992272024734E-3</v>
      </c>
      <c r="F18" s="7" t="s">
        <v>410</v>
      </c>
      <c r="G18" s="7" t="s">
        <v>411</v>
      </c>
      <c r="H18" s="7" t="s">
        <v>2684</v>
      </c>
      <c r="I18" s="7" t="s">
        <v>2685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  <c r="Y18" s="5">
        <v>0</v>
      </c>
      <c r="Z18" s="5">
        <v>0</v>
      </c>
      <c r="AA18" s="5">
        <v>0</v>
      </c>
      <c r="AB18" s="5">
        <v>0</v>
      </c>
    </row>
    <row r="19" spans="1:28" ht="45" x14ac:dyDescent="0.25">
      <c r="A19" s="5">
        <v>233</v>
      </c>
      <c r="B19" s="5">
        <v>2.8723404255319149E-2</v>
      </c>
      <c r="C19" s="5">
        <v>1.566265060240964E-2</v>
      </c>
      <c r="D19" s="5">
        <v>6.0000000000000001E-3</v>
      </c>
      <c r="E19" s="5">
        <v>6.1823802163833066E-3</v>
      </c>
      <c r="F19" s="7" t="s">
        <v>469</v>
      </c>
      <c r="G19" s="7" t="s">
        <v>470</v>
      </c>
      <c r="H19" s="7" t="s">
        <v>2683</v>
      </c>
      <c r="I19" s="7" t="s">
        <v>2685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</row>
    <row r="20" spans="1:28" ht="45" x14ac:dyDescent="0.25">
      <c r="A20" s="5">
        <v>236</v>
      </c>
      <c r="B20" s="5">
        <v>4.3617021276595752E-2</v>
      </c>
      <c r="C20" s="5">
        <v>3.2530120481927723E-2</v>
      </c>
      <c r="D20" s="5">
        <v>0.01</v>
      </c>
      <c r="E20" s="5">
        <v>1.1282843894899541E-2</v>
      </c>
      <c r="F20" s="7" t="s">
        <v>475</v>
      </c>
      <c r="G20" s="7" t="s">
        <v>476</v>
      </c>
      <c r="H20" s="7" t="s">
        <v>2683</v>
      </c>
      <c r="I20" s="7" t="s">
        <v>2685</v>
      </c>
      <c r="J20" s="5">
        <v>0</v>
      </c>
      <c r="K20" s="5">
        <v>0</v>
      </c>
      <c r="L20" s="5">
        <v>0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  <c r="Y20" s="5">
        <v>0</v>
      </c>
      <c r="Z20" s="5">
        <v>0</v>
      </c>
      <c r="AA20" s="5">
        <v>0</v>
      </c>
      <c r="AB20" s="5">
        <v>0</v>
      </c>
    </row>
    <row r="21" spans="1:28" ht="45" x14ac:dyDescent="0.25">
      <c r="A21" s="5">
        <v>237</v>
      </c>
      <c r="B21" s="5">
        <v>5.3191489361702128E-2</v>
      </c>
      <c r="C21" s="5">
        <v>5.301204819277109E-2</v>
      </c>
      <c r="D21" s="5">
        <v>1.4E-2</v>
      </c>
      <c r="E21" s="5">
        <v>1.205564142194745E-2</v>
      </c>
      <c r="F21" s="7" t="s">
        <v>477</v>
      </c>
      <c r="G21" s="7" t="s">
        <v>478</v>
      </c>
      <c r="H21" s="7" t="s">
        <v>2683</v>
      </c>
      <c r="I21" s="7" t="s">
        <v>2685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  <c r="Y21" s="5">
        <v>0</v>
      </c>
      <c r="Z21" s="5">
        <v>0</v>
      </c>
      <c r="AA21" s="5">
        <v>0</v>
      </c>
      <c r="AB21" s="5">
        <v>0</v>
      </c>
    </row>
    <row r="22" spans="1:28" ht="45" x14ac:dyDescent="0.25">
      <c r="A22" s="5">
        <v>238</v>
      </c>
      <c r="B22" s="5">
        <v>4.4680851063829789E-2</v>
      </c>
      <c r="C22" s="5">
        <v>2.168674698795181E-2</v>
      </c>
      <c r="D22" s="5">
        <v>5.0000000000000001E-3</v>
      </c>
      <c r="E22" s="5">
        <v>1.452859350850077E-2</v>
      </c>
      <c r="F22" s="7" t="s">
        <v>479</v>
      </c>
      <c r="G22" s="7" t="s">
        <v>480</v>
      </c>
      <c r="H22" s="7" t="s">
        <v>2683</v>
      </c>
      <c r="I22" s="7" t="s">
        <v>2685</v>
      </c>
      <c r="J22" s="5">
        <v>0</v>
      </c>
      <c r="K22" s="5">
        <v>0</v>
      </c>
      <c r="L22" s="5">
        <v>0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0</v>
      </c>
      <c r="AA22" s="5">
        <v>0</v>
      </c>
      <c r="AB22" s="5">
        <v>0</v>
      </c>
    </row>
    <row r="23" spans="1:28" ht="60" x14ac:dyDescent="0.25">
      <c r="A23" s="5">
        <v>239</v>
      </c>
      <c r="B23" s="5">
        <v>0.12978723404255321</v>
      </c>
      <c r="C23" s="5">
        <v>7.2289156626506035E-2</v>
      </c>
      <c r="D23" s="5">
        <v>0.01</v>
      </c>
      <c r="E23" s="5">
        <v>4.0185471406491501E-2</v>
      </c>
      <c r="F23" s="7" t="s">
        <v>481</v>
      </c>
      <c r="G23" s="7" t="s">
        <v>482</v>
      </c>
      <c r="H23" s="7" t="s">
        <v>2683</v>
      </c>
      <c r="I23" s="7" t="s">
        <v>2685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  <c r="Y23" s="5">
        <v>0</v>
      </c>
      <c r="Z23" s="5">
        <v>0</v>
      </c>
      <c r="AA23" s="5">
        <v>0</v>
      </c>
      <c r="AB23" s="5">
        <v>0</v>
      </c>
    </row>
    <row r="24" spans="1:28" ht="30" x14ac:dyDescent="0.25">
      <c r="A24" s="5">
        <v>240</v>
      </c>
      <c r="B24" s="5">
        <v>6.3829787234042548E-2</v>
      </c>
      <c r="C24" s="5">
        <v>3.7349397590361447E-2</v>
      </c>
      <c r="D24" s="5">
        <v>3.0000000000000001E-3</v>
      </c>
      <c r="E24" s="5">
        <v>2.1638330757341579E-2</v>
      </c>
      <c r="F24" s="7" t="s">
        <v>483</v>
      </c>
      <c r="G24" s="7" t="s">
        <v>484</v>
      </c>
      <c r="H24" s="7" t="s">
        <v>2683</v>
      </c>
      <c r="I24" s="7" t="s">
        <v>2685</v>
      </c>
      <c r="J24" s="5">
        <v>0</v>
      </c>
      <c r="K24" s="5">
        <v>0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  <c r="Y24" s="5">
        <v>0</v>
      </c>
      <c r="Z24" s="5">
        <v>0</v>
      </c>
      <c r="AA24" s="5">
        <v>0</v>
      </c>
      <c r="AB24" s="5">
        <v>0</v>
      </c>
    </row>
    <row r="25" spans="1:28" ht="45" x14ac:dyDescent="0.25">
      <c r="A25" s="5">
        <v>241</v>
      </c>
      <c r="B25" s="5">
        <v>6.1702127659574467E-2</v>
      </c>
      <c r="C25" s="5">
        <v>3.4939759036144581E-2</v>
      </c>
      <c r="D25" s="5">
        <v>6.9999999999999993E-3</v>
      </c>
      <c r="E25" s="5">
        <v>1.5455950540958271E-2</v>
      </c>
      <c r="F25" s="7" t="s">
        <v>485</v>
      </c>
      <c r="G25" s="7" t="s">
        <v>486</v>
      </c>
      <c r="H25" s="7" t="s">
        <v>2683</v>
      </c>
      <c r="I25" s="7" t="s">
        <v>2685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  <c r="Y25" s="5">
        <v>0</v>
      </c>
      <c r="Z25" s="5">
        <v>0</v>
      </c>
      <c r="AA25" s="5">
        <v>0</v>
      </c>
      <c r="AB25" s="5">
        <v>0</v>
      </c>
    </row>
    <row r="26" spans="1:28" ht="45" x14ac:dyDescent="0.25">
      <c r="A26" s="5">
        <v>242</v>
      </c>
      <c r="B26" s="5">
        <v>3.1914893617021267E-2</v>
      </c>
      <c r="C26" s="5">
        <v>1.566265060240964E-2</v>
      </c>
      <c r="D26" s="5">
        <v>6.9999999999999993E-3</v>
      </c>
      <c r="E26" s="5">
        <v>8.9644513137557957E-3</v>
      </c>
      <c r="F26" s="7" t="s">
        <v>487</v>
      </c>
      <c r="G26" s="7" t="s">
        <v>488</v>
      </c>
      <c r="H26" s="7" t="s">
        <v>2683</v>
      </c>
      <c r="I26" s="7" t="s">
        <v>2685</v>
      </c>
      <c r="J26" s="5">
        <v>0</v>
      </c>
      <c r="K26" s="5">
        <v>0</v>
      </c>
      <c r="L26" s="5">
        <v>0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  <c r="Y26" s="5">
        <v>0</v>
      </c>
      <c r="Z26" s="5">
        <v>0</v>
      </c>
      <c r="AA26" s="5">
        <v>0</v>
      </c>
      <c r="AB26" s="5">
        <v>0</v>
      </c>
    </row>
    <row r="27" spans="1:28" ht="30" x14ac:dyDescent="0.25">
      <c r="A27" s="5">
        <v>243</v>
      </c>
      <c r="B27" s="5">
        <v>5.3191489361702128E-2</v>
      </c>
      <c r="C27" s="5">
        <v>5.5421686746987948E-2</v>
      </c>
      <c r="D27" s="5">
        <v>9.0000000000000011E-3</v>
      </c>
      <c r="E27" s="5">
        <v>1.081916537867079E-2</v>
      </c>
      <c r="F27" s="7" t="s">
        <v>489</v>
      </c>
      <c r="G27" s="7" t="s">
        <v>490</v>
      </c>
      <c r="H27" s="7" t="s">
        <v>2683</v>
      </c>
      <c r="I27" s="7" t="s">
        <v>2685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</row>
    <row r="28" spans="1:28" ht="30" x14ac:dyDescent="0.25">
      <c r="A28" s="5">
        <v>244</v>
      </c>
      <c r="B28" s="5">
        <v>6.5957446808510636E-2</v>
      </c>
      <c r="C28" s="5">
        <v>5.0602409638554217E-2</v>
      </c>
      <c r="D28" s="5">
        <v>9.0000000000000011E-3</v>
      </c>
      <c r="E28" s="5">
        <v>1.4219474497681611E-2</v>
      </c>
      <c r="F28" s="7" t="s">
        <v>491</v>
      </c>
      <c r="G28" s="7" t="s">
        <v>492</v>
      </c>
      <c r="H28" s="7" t="s">
        <v>2683</v>
      </c>
      <c r="I28" s="7" t="s">
        <v>2685</v>
      </c>
      <c r="J28" s="5">
        <v>0</v>
      </c>
      <c r="K28" s="5">
        <v>0</v>
      </c>
      <c r="L28" s="5">
        <v>0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</row>
    <row r="29" spans="1:28" ht="45" x14ac:dyDescent="0.25">
      <c r="A29" s="5">
        <v>245</v>
      </c>
      <c r="B29" s="5">
        <v>7.7659574468085107E-2</v>
      </c>
      <c r="C29" s="5">
        <v>5.5421686746987948E-2</v>
      </c>
      <c r="D29" s="5">
        <v>5.0000000000000001E-3</v>
      </c>
      <c r="E29" s="5">
        <v>2.5038639876352391E-2</v>
      </c>
      <c r="F29" s="7" t="s">
        <v>493</v>
      </c>
      <c r="G29" s="7" t="s">
        <v>494</v>
      </c>
      <c r="H29" s="7" t="s">
        <v>2683</v>
      </c>
      <c r="I29" s="7" t="s">
        <v>2685</v>
      </c>
      <c r="J29" s="5">
        <v>0</v>
      </c>
      <c r="K29" s="5">
        <v>0</v>
      </c>
      <c r="L29" s="5">
        <v>0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  <c r="Y29" s="5">
        <v>0</v>
      </c>
      <c r="Z29" s="5">
        <v>0</v>
      </c>
      <c r="AA29" s="5">
        <v>0</v>
      </c>
      <c r="AB29" s="5">
        <v>0</v>
      </c>
    </row>
    <row r="30" spans="1:28" ht="45" x14ac:dyDescent="0.25">
      <c r="A30" s="5">
        <v>246</v>
      </c>
      <c r="B30" s="5">
        <v>3.617021276595745E-2</v>
      </c>
      <c r="C30" s="5">
        <v>4.5783132530120479E-2</v>
      </c>
      <c r="D30" s="5">
        <v>5.0000000000000001E-3</v>
      </c>
      <c r="E30" s="5">
        <v>8.1916537867078813E-3</v>
      </c>
      <c r="F30" s="7" t="s">
        <v>495</v>
      </c>
      <c r="G30" s="7" t="s">
        <v>496</v>
      </c>
      <c r="H30" s="7" t="s">
        <v>2683</v>
      </c>
      <c r="I30" s="7" t="s">
        <v>2685</v>
      </c>
      <c r="J30" s="5">
        <v>0</v>
      </c>
      <c r="K30" s="5">
        <v>0</v>
      </c>
      <c r="L30" s="5">
        <v>0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  <c r="Y30" s="5">
        <v>0</v>
      </c>
      <c r="Z30" s="5">
        <v>0</v>
      </c>
      <c r="AA30" s="5">
        <v>0</v>
      </c>
      <c r="AB30" s="5">
        <v>0</v>
      </c>
    </row>
    <row r="31" spans="1:28" ht="45" x14ac:dyDescent="0.25">
      <c r="A31" s="5">
        <v>247</v>
      </c>
      <c r="B31" s="5">
        <v>9.8936170212765961E-2</v>
      </c>
      <c r="C31" s="5">
        <v>6.0240963855421693E-2</v>
      </c>
      <c r="D31" s="5">
        <v>1.2999999999999999E-2</v>
      </c>
      <c r="E31" s="5">
        <v>2.364760432766615E-2</v>
      </c>
      <c r="F31" s="7" t="s">
        <v>497</v>
      </c>
      <c r="G31" s="7" t="s">
        <v>498</v>
      </c>
      <c r="H31" s="7" t="s">
        <v>2683</v>
      </c>
      <c r="I31" s="7" t="s">
        <v>2685</v>
      </c>
      <c r="J31" s="5">
        <v>0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  <c r="Y31" s="5">
        <v>0</v>
      </c>
      <c r="Z31" s="5">
        <v>0</v>
      </c>
      <c r="AA31" s="5">
        <v>0</v>
      </c>
      <c r="AB31" s="5">
        <v>0</v>
      </c>
    </row>
    <row r="32" spans="1:28" ht="45" x14ac:dyDescent="0.25">
      <c r="A32" s="5">
        <v>248</v>
      </c>
      <c r="B32" s="5">
        <v>2.8723404255319149E-2</v>
      </c>
      <c r="C32" s="5">
        <v>2.5301204819277109E-2</v>
      </c>
      <c r="D32" s="5">
        <v>6.9999999999999993E-3</v>
      </c>
      <c r="E32" s="5">
        <v>6.8006182380216376E-3</v>
      </c>
      <c r="F32" s="7" t="s">
        <v>499</v>
      </c>
      <c r="G32" s="7" t="s">
        <v>500</v>
      </c>
      <c r="H32" s="7" t="s">
        <v>2683</v>
      </c>
      <c r="I32" s="7" t="s">
        <v>2685</v>
      </c>
      <c r="J32" s="5">
        <v>0</v>
      </c>
      <c r="K32" s="5">
        <v>0</v>
      </c>
      <c r="L32" s="5">
        <v>0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  <c r="Y32" s="5">
        <v>0</v>
      </c>
      <c r="Z32" s="5">
        <v>0</v>
      </c>
      <c r="AA32" s="5">
        <v>0</v>
      </c>
      <c r="AB32" s="5">
        <v>0</v>
      </c>
    </row>
    <row r="33" spans="1:28" ht="30" x14ac:dyDescent="0.25">
      <c r="A33" s="5">
        <v>253</v>
      </c>
      <c r="B33" s="5">
        <v>9.7872340425531917E-2</v>
      </c>
      <c r="C33" s="5">
        <v>4.8192771084337352E-2</v>
      </c>
      <c r="D33" s="5">
        <v>3.5999999999999997E-2</v>
      </c>
      <c r="E33" s="5">
        <v>1.6846986089644508E-2</v>
      </c>
      <c r="F33" s="7" t="s">
        <v>509</v>
      </c>
      <c r="G33" s="7" t="s">
        <v>510</v>
      </c>
      <c r="H33" s="7" t="s">
        <v>2683</v>
      </c>
      <c r="I33" s="7" t="s">
        <v>2685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</row>
    <row r="34" spans="1:28" ht="30" x14ac:dyDescent="0.25">
      <c r="A34" s="5">
        <v>254</v>
      </c>
      <c r="B34" s="5">
        <v>6.2765957446808518E-2</v>
      </c>
      <c r="C34" s="5">
        <v>5.7831325301204821E-2</v>
      </c>
      <c r="D34" s="5">
        <v>0.01</v>
      </c>
      <c r="E34" s="5">
        <v>1.70015455950541E-2</v>
      </c>
      <c r="F34" s="7" t="s">
        <v>511</v>
      </c>
      <c r="G34" s="7" t="s">
        <v>512</v>
      </c>
      <c r="H34" s="7" t="s">
        <v>2683</v>
      </c>
      <c r="I34" s="7" t="s">
        <v>2685</v>
      </c>
      <c r="J34" s="5">
        <v>0</v>
      </c>
      <c r="K34" s="5">
        <v>0</v>
      </c>
      <c r="L34" s="5">
        <v>0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  <c r="Y34" s="5">
        <v>0</v>
      </c>
      <c r="Z34" s="5">
        <v>0</v>
      </c>
      <c r="AA34" s="5">
        <v>0</v>
      </c>
      <c r="AB34" s="5">
        <v>0</v>
      </c>
    </row>
    <row r="35" spans="1:28" ht="45" x14ac:dyDescent="0.25">
      <c r="A35" s="5">
        <v>255</v>
      </c>
      <c r="B35" s="5">
        <v>5.6382978723404253E-2</v>
      </c>
      <c r="C35" s="5">
        <v>6.3855421686746988E-2</v>
      </c>
      <c r="D35" s="5">
        <v>9.0000000000000011E-3</v>
      </c>
      <c r="E35" s="5">
        <v>1.4064914992272019E-2</v>
      </c>
      <c r="F35" s="7" t="s">
        <v>513</v>
      </c>
      <c r="G35" s="7" t="s">
        <v>514</v>
      </c>
      <c r="H35" s="7" t="s">
        <v>2683</v>
      </c>
      <c r="I35" s="7" t="s">
        <v>2685</v>
      </c>
      <c r="J35" s="5">
        <v>0</v>
      </c>
      <c r="K35" s="5">
        <v>0</v>
      </c>
      <c r="L35" s="5">
        <v>0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  <c r="Y35" s="5">
        <v>0</v>
      </c>
      <c r="Z35" s="5">
        <v>0</v>
      </c>
      <c r="AA35" s="5">
        <v>0</v>
      </c>
      <c r="AB35" s="5">
        <v>0</v>
      </c>
    </row>
    <row r="36" spans="1:28" ht="60" x14ac:dyDescent="0.25">
      <c r="A36" s="5">
        <v>256</v>
      </c>
      <c r="B36" s="5">
        <v>6.2765957446808518E-2</v>
      </c>
      <c r="C36" s="5">
        <v>7.7108433734939766E-2</v>
      </c>
      <c r="D36" s="5">
        <v>0.01</v>
      </c>
      <c r="E36" s="5">
        <v>1.530139103554869E-2</v>
      </c>
      <c r="F36" s="7" t="s">
        <v>515</v>
      </c>
      <c r="G36" s="7" t="s">
        <v>516</v>
      </c>
      <c r="H36" s="7" t="s">
        <v>2683</v>
      </c>
      <c r="I36" s="7" t="s">
        <v>2685</v>
      </c>
      <c r="J36" s="5">
        <v>0</v>
      </c>
      <c r="K36" s="5">
        <v>0</v>
      </c>
      <c r="L36" s="5">
        <v>0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0</v>
      </c>
      <c r="Z36" s="5">
        <v>0</v>
      </c>
      <c r="AA36" s="5">
        <v>0</v>
      </c>
      <c r="AB36" s="5">
        <v>0</v>
      </c>
    </row>
    <row r="37" spans="1:28" ht="60" x14ac:dyDescent="0.25">
      <c r="A37" s="5">
        <v>257</v>
      </c>
      <c r="B37" s="5">
        <v>0.05</v>
      </c>
      <c r="C37" s="5">
        <v>6.0240963855421693E-2</v>
      </c>
      <c r="D37" s="5">
        <v>5.0000000000000001E-3</v>
      </c>
      <c r="E37" s="5">
        <v>1.3137557959814529E-2</v>
      </c>
      <c r="F37" s="7" t="s">
        <v>517</v>
      </c>
      <c r="G37" s="7" t="s">
        <v>518</v>
      </c>
      <c r="H37" s="7" t="s">
        <v>2683</v>
      </c>
      <c r="I37" s="7" t="s">
        <v>2685</v>
      </c>
      <c r="J37" s="5">
        <v>0</v>
      </c>
      <c r="K37" s="5">
        <v>0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  <c r="Y37" s="5">
        <v>0</v>
      </c>
      <c r="Z37" s="5">
        <v>0</v>
      </c>
      <c r="AA37" s="5">
        <v>0</v>
      </c>
      <c r="AB37" s="5">
        <v>0</v>
      </c>
    </row>
    <row r="38" spans="1:28" ht="45" x14ac:dyDescent="0.25">
      <c r="A38" s="5">
        <v>258</v>
      </c>
      <c r="B38" s="5">
        <v>6.2765957446808518E-2</v>
      </c>
      <c r="C38" s="5">
        <v>3.3734939759036138E-2</v>
      </c>
      <c r="D38" s="5">
        <v>3.0000000000000001E-3</v>
      </c>
      <c r="E38" s="5">
        <v>2.071097372488408E-2</v>
      </c>
      <c r="F38" s="7" t="s">
        <v>519</v>
      </c>
      <c r="G38" s="7" t="s">
        <v>520</v>
      </c>
      <c r="H38" s="7" t="s">
        <v>2683</v>
      </c>
      <c r="I38" s="7" t="s">
        <v>2685</v>
      </c>
      <c r="J38" s="5">
        <v>0</v>
      </c>
      <c r="K38" s="5">
        <v>0</v>
      </c>
      <c r="L38" s="5">
        <v>0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  <c r="Y38" s="5">
        <v>0</v>
      </c>
      <c r="Z38" s="5">
        <v>0</v>
      </c>
      <c r="AA38" s="5">
        <v>0</v>
      </c>
      <c r="AB38" s="5">
        <v>0</v>
      </c>
    </row>
    <row r="39" spans="1:28" ht="45" x14ac:dyDescent="0.25">
      <c r="A39" s="5">
        <v>259</v>
      </c>
      <c r="B39" s="5">
        <v>8.723404255319149E-2</v>
      </c>
      <c r="C39" s="5">
        <v>8.0722891566265068E-2</v>
      </c>
      <c r="D39" s="5">
        <v>1.7000000000000001E-2</v>
      </c>
      <c r="E39" s="5">
        <v>2.2102009273570321E-2</v>
      </c>
      <c r="F39" s="7" t="s">
        <v>521</v>
      </c>
      <c r="G39" s="7" t="s">
        <v>522</v>
      </c>
      <c r="H39" s="7" t="s">
        <v>2683</v>
      </c>
      <c r="I39" s="7" t="s">
        <v>2685</v>
      </c>
      <c r="J39" s="5">
        <v>0</v>
      </c>
      <c r="K39" s="5">
        <v>0</v>
      </c>
      <c r="L39" s="5">
        <v>0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  <c r="Y39" s="5">
        <v>0</v>
      </c>
      <c r="Z39" s="5">
        <v>0</v>
      </c>
      <c r="AA39" s="5">
        <v>0</v>
      </c>
      <c r="AB39" s="5">
        <v>0</v>
      </c>
    </row>
    <row r="40" spans="1:28" ht="45" x14ac:dyDescent="0.25">
      <c r="A40" s="5">
        <v>260</v>
      </c>
      <c r="B40" s="5">
        <v>6.4893617021276592E-2</v>
      </c>
      <c r="C40" s="5">
        <v>7.3493975903614464E-2</v>
      </c>
      <c r="D40" s="5">
        <v>9.0000000000000011E-3</v>
      </c>
      <c r="E40" s="5">
        <v>1.5455950540958271E-2</v>
      </c>
      <c r="F40" s="7" t="s">
        <v>523</v>
      </c>
      <c r="G40" s="7" t="s">
        <v>524</v>
      </c>
      <c r="H40" s="7" t="s">
        <v>2683</v>
      </c>
      <c r="I40" s="7" t="s">
        <v>2685</v>
      </c>
      <c r="J40" s="5">
        <v>0</v>
      </c>
      <c r="K40" s="5">
        <v>0</v>
      </c>
      <c r="L40" s="5">
        <v>0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  <c r="Y40" s="5">
        <v>0</v>
      </c>
      <c r="Z40" s="5">
        <v>0</v>
      </c>
      <c r="AA40" s="5">
        <v>0</v>
      </c>
      <c r="AB40" s="5">
        <v>0</v>
      </c>
    </row>
    <row r="41" spans="1:28" ht="45" x14ac:dyDescent="0.25">
      <c r="A41" s="5">
        <v>261</v>
      </c>
      <c r="B41" s="5">
        <v>4.8936170212765959E-2</v>
      </c>
      <c r="C41" s="5">
        <v>4.8192771084337352E-2</v>
      </c>
      <c r="D41" s="5">
        <v>5.0000000000000001E-3</v>
      </c>
      <c r="E41" s="5">
        <v>1.3755795981452859E-2</v>
      </c>
      <c r="F41" s="7" t="s">
        <v>525</v>
      </c>
      <c r="G41" s="7" t="s">
        <v>526</v>
      </c>
      <c r="H41" s="7" t="s">
        <v>2683</v>
      </c>
      <c r="I41" s="7" t="s">
        <v>2685</v>
      </c>
      <c r="J41" s="5">
        <v>0</v>
      </c>
      <c r="K41" s="5">
        <v>0</v>
      </c>
      <c r="L41" s="5">
        <v>0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</row>
    <row r="42" spans="1:28" ht="30" x14ac:dyDescent="0.25">
      <c r="A42" s="5">
        <v>262</v>
      </c>
      <c r="B42" s="5">
        <v>4.7872340425531908E-2</v>
      </c>
      <c r="C42" s="5">
        <v>4.457831325301205E-2</v>
      </c>
      <c r="D42" s="5">
        <v>5.0000000000000001E-3</v>
      </c>
      <c r="E42" s="5">
        <v>1.0200927357032459E-2</v>
      </c>
      <c r="F42" s="7" t="s">
        <v>527</v>
      </c>
      <c r="G42" s="7" t="s">
        <v>528</v>
      </c>
      <c r="H42" s="7" t="s">
        <v>2683</v>
      </c>
      <c r="I42" s="7" t="s">
        <v>2685</v>
      </c>
      <c r="J42" s="5">
        <v>0</v>
      </c>
      <c r="K42" s="5">
        <v>0</v>
      </c>
      <c r="L42" s="5">
        <v>0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  <c r="Y42" s="5">
        <v>0</v>
      </c>
      <c r="Z42" s="5">
        <v>0</v>
      </c>
      <c r="AA42" s="5">
        <v>0</v>
      </c>
      <c r="AB42" s="5">
        <v>0</v>
      </c>
    </row>
    <row r="43" spans="1:28" ht="45" x14ac:dyDescent="0.25">
      <c r="A43" s="5">
        <v>263</v>
      </c>
      <c r="B43" s="5">
        <v>5.1063829787234047E-2</v>
      </c>
      <c r="C43" s="5">
        <v>5.4216867469879519E-2</v>
      </c>
      <c r="D43" s="5">
        <v>8.0000000000000002E-3</v>
      </c>
      <c r="E43" s="5">
        <v>1.4064914992272019E-2</v>
      </c>
      <c r="F43" s="7" t="s">
        <v>529</v>
      </c>
      <c r="G43" s="7" t="s">
        <v>530</v>
      </c>
      <c r="H43" s="7" t="s">
        <v>2683</v>
      </c>
      <c r="I43" s="7" t="s">
        <v>2685</v>
      </c>
      <c r="J43" s="5">
        <v>0</v>
      </c>
      <c r="K43" s="5">
        <v>0</v>
      </c>
      <c r="L43" s="5">
        <v>0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</row>
    <row r="44" spans="1:28" ht="45" x14ac:dyDescent="0.25">
      <c r="A44" s="5">
        <v>264</v>
      </c>
      <c r="B44" s="5">
        <v>2.3404255319148939E-2</v>
      </c>
      <c r="C44" s="5">
        <v>2.5301204819277109E-2</v>
      </c>
      <c r="D44" s="5">
        <v>5.0000000000000001E-3</v>
      </c>
      <c r="E44" s="5">
        <v>5.5641421947449756E-3</v>
      </c>
      <c r="F44" s="7" t="s">
        <v>531</v>
      </c>
      <c r="G44" s="7" t="s">
        <v>532</v>
      </c>
      <c r="H44" s="7" t="s">
        <v>2683</v>
      </c>
      <c r="I44" s="7" t="s">
        <v>2685</v>
      </c>
      <c r="J44" s="5">
        <v>0</v>
      </c>
      <c r="K44" s="5">
        <v>0</v>
      </c>
      <c r="L44" s="5">
        <v>0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  <c r="Y44" s="5">
        <v>0</v>
      </c>
      <c r="Z44" s="5">
        <v>0</v>
      </c>
      <c r="AA44" s="5">
        <v>0</v>
      </c>
      <c r="AB44" s="5">
        <v>0</v>
      </c>
    </row>
    <row r="45" spans="1:28" ht="30" x14ac:dyDescent="0.25">
      <c r="A45" s="5">
        <v>266</v>
      </c>
      <c r="B45" s="5">
        <v>5.4255319148936172E-2</v>
      </c>
      <c r="C45" s="5">
        <v>3.012048192771084E-2</v>
      </c>
      <c r="D45" s="5">
        <v>1.0999999999999999E-2</v>
      </c>
      <c r="E45" s="5">
        <v>1.236476043276661E-2</v>
      </c>
      <c r="F45" s="7" t="s">
        <v>535</v>
      </c>
      <c r="G45" s="7" t="s">
        <v>536</v>
      </c>
      <c r="H45" s="7" t="s">
        <v>2683</v>
      </c>
      <c r="I45" s="7" t="s">
        <v>2685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</row>
    <row r="46" spans="1:28" ht="45" x14ac:dyDescent="0.25">
      <c r="A46" s="5">
        <v>267</v>
      </c>
      <c r="B46" s="5">
        <v>1.48936170212766E-2</v>
      </c>
      <c r="C46" s="5">
        <v>1.566265060240964E-2</v>
      </c>
      <c r="D46" s="5">
        <v>3.0000000000000001E-3</v>
      </c>
      <c r="E46" s="5">
        <v>3.5548686244204009E-3</v>
      </c>
      <c r="F46" s="7" t="s">
        <v>537</v>
      </c>
      <c r="G46" s="7" t="s">
        <v>538</v>
      </c>
      <c r="H46" s="7" t="s">
        <v>2683</v>
      </c>
      <c r="I46" s="7" t="s">
        <v>2685</v>
      </c>
      <c r="J46" s="5">
        <v>0</v>
      </c>
      <c r="K46" s="5">
        <v>0</v>
      </c>
      <c r="L46" s="5">
        <v>0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  <c r="Y46" s="5">
        <v>0</v>
      </c>
      <c r="Z46" s="5">
        <v>0</v>
      </c>
      <c r="AA46" s="5">
        <v>0</v>
      </c>
      <c r="AB46" s="5">
        <v>0</v>
      </c>
    </row>
    <row r="47" spans="1:28" ht="30" x14ac:dyDescent="0.25">
      <c r="A47" s="5">
        <v>268</v>
      </c>
      <c r="B47" s="5">
        <v>6.3829787234042548E-2</v>
      </c>
      <c r="C47" s="5">
        <v>4.8192771084337352E-2</v>
      </c>
      <c r="D47" s="5">
        <v>4.0000000000000001E-3</v>
      </c>
      <c r="E47" s="5">
        <v>7.2642967542503869E-3</v>
      </c>
      <c r="F47" s="7" t="s">
        <v>539</v>
      </c>
      <c r="G47" s="7" t="s">
        <v>540</v>
      </c>
      <c r="H47" s="7" t="s">
        <v>2683</v>
      </c>
      <c r="I47" s="7" t="s">
        <v>2685</v>
      </c>
      <c r="J47" s="5">
        <v>0</v>
      </c>
      <c r="K47" s="5">
        <v>0</v>
      </c>
      <c r="L47" s="5">
        <v>0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  <c r="Y47" s="5">
        <v>0</v>
      </c>
      <c r="Z47" s="5">
        <v>0</v>
      </c>
      <c r="AA47" s="5">
        <v>0</v>
      </c>
      <c r="AB47" s="5">
        <v>0</v>
      </c>
    </row>
    <row r="48" spans="1:28" x14ac:dyDescent="0.25">
      <c r="A48" s="5">
        <v>269</v>
      </c>
      <c r="B48" s="5">
        <v>3.1914893617021267E-2</v>
      </c>
      <c r="C48" s="5">
        <v>4.3373493975903621E-2</v>
      </c>
      <c r="D48" s="5">
        <v>6.0000000000000001E-3</v>
      </c>
      <c r="E48" s="5">
        <v>6.955177743431221E-3</v>
      </c>
      <c r="F48" s="7" t="s">
        <v>541</v>
      </c>
      <c r="G48" s="7" t="s">
        <v>542</v>
      </c>
      <c r="H48" s="7" t="s">
        <v>2683</v>
      </c>
      <c r="I48" s="7" t="s">
        <v>2685</v>
      </c>
      <c r="J48" s="5">
        <v>0</v>
      </c>
      <c r="K48" s="5">
        <v>0</v>
      </c>
      <c r="L48" s="5">
        <v>0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  <c r="Y48" s="5">
        <v>0</v>
      </c>
      <c r="Z48" s="5">
        <v>0</v>
      </c>
      <c r="AA48" s="5">
        <v>0</v>
      </c>
      <c r="AB48" s="5">
        <v>0</v>
      </c>
    </row>
    <row r="49" spans="1:28" ht="45" x14ac:dyDescent="0.25">
      <c r="A49" s="5">
        <v>271</v>
      </c>
      <c r="B49" s="5">
        <v>8.085106382978724E-2</v>
      </c>
      <c r="C49" s="5">
        <v>3.3734939759036138E-2</v>
      </c>
      <c r="D49" s="5">
        <v>2E-3</v>
      </c>
      <c r="E49" s="5">
        <v>2.4420401854714061E-2</v>
      </c>
      <c r="F49" s="7" t="s">
        <v>545</v>
      </c>
      <c r="G49" s="7" t="s">
        <v>546</v>
      </c>
      <c r="H49" s="7" t="s">
        <v>2683</v>
      </c>
      <c r="I49" s="7" t="s">
        <v>2685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  <c r="Y49" s="5">
        <v>0</v>
      </c>
      <c r="Z49" s="5">
        <v>0</v>
      </c>
      <c r="AA49" s="5">
        <v>0</v>
      </c>
      <c r="AB49" s="5">
        <v>0</v>
      </c>
    </row>
    <row r="50" spans="1:28" ht="30" x14ac:dyDescent="0.25">
      <c r="A50" s="5">
        <v>272</v>
      </c>
      <c r="B50" s="5">
        <v>4.7872340425531908E-2</v>
      </c>
      <c r="C50" s="5">
        <v>5.6626506024096392E-2</v>
      </c>
      <c r="D50" s="5">
        <v>5.0000000000000001E-3</v>
      </c>
      <c r="E50" s="5">
        <v>1.2519319938176199E-2</v>
      </c>
      <c r="F50" s="7" t="s">
        <v>547</v>
      </c>
      <c r="G50" s="7" t="s">
        <v>548</v>
      </c>
      <c r="H50" s="7" t="s">
        <v>2683</v>
      </c>
      <c r="I50" s="7" t="s">
        <v>2685</v>
      </c>
      <c r="J50" s="5">
        <v>0</v>
      </c>
      <c r="K50" s="5">
        <v>0</v>
      </c>
      <c r="L50" s="5">
        <v>0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  <c r="Y50" s="5">
        <v>0</v>
      </c>
      <c r="Z50" s="5">
        <v>0</v>
      </c>
      <c r="AA50" s="5">
        <v>0</v>
      </c>
      <c r="AB50" s="5">
        <v>0</v>
      </c>
    </row>
    <row r="51" spans="1:28" ht="45" x14ac:dyDescent="0.25">
      <c r="A51" s="5">
        <v>273</v>
      </c>
      <c r="B51" s="5">
        <v>3.1914893617021267E-2</v>
      </c>
      <c r="C51" s="5">
        <v>2.7710843373493971E-2</v>
      </c>
      <c r="D51" s="5">
        <v>4.0000000000000001E-3</v>
      </c>
      <c r="E51" s="5">
        <v>8.9644513137557957E-3</v>
      </c>
      <c r="F51" s="7" t="s">
        <v>549</v>
      </c>
      <c r="G51" s="7" t="s">
        <v>550</v>
      </c>
      <c r="H51" s="7" t="s">
        <v>2683</v>
      </c>
      <c r="I51" s="7" t="s">
        <v>2685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</row>
    <row r="52" spans="1:28" ht="30" x14ac:dyDescent="0.25">
      <c r="A52" s="5">
        <v>274</v>
      </c>
      <c r="B52" s="5">
        <v>4.2553191489361701E-2</v>
      </c>
      <c r="C52" s="5">
        <v>3.6144578313253017E-2</v>
      </c>
      <c r="D52" s="5">
        <v>8.0000000000000002E-3</v>
      </c>
      <c r="E52" s="5">
        <v>1.143740340030912E-2</v>
      </c>
      <c r="F52" s="7" t="s">
        <v>551</v>
      </c>
      <c r="G52" s="7" t="s">
        <v>552</v>
      </c>
      <c r="H52" s="7" t="s">
        <v>2683</v>
      </c>
      <c r="I52" s="7" t="s">
        <v>2685</v>
      </c>
      <c r="J52" s="5">
        <v>0</v>
      </c>
      <c r="K52" s="5">
        <v>0</v>
      </c>
      <c r="L52" s="5">
        <v>0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  <c r="Y52" s="5">
        <v>0</v>
      </c>
      <c r="Z52" s="5">
        <v>0</v>
      </c>
      <c r="AA52" s="5">
        <v>0</v>
      </c>
      <c r="AB52" s="5">
        <v>0</v>
      </c>
    </row>
    <row r="53" spans="1:28" ht="45" x14ac:dyDescent="0.25">
      <c r="A53" s="5">
        <v>275</v>
      </c>
      <c r="B53" s="5">
        <v>5.7446808510638298E-2</v>
      </c>
      <c r="C53" s="5">
        <v>4.457831325301205E-2</v>
      </c>
      <c r="D53" s="5">
        <v>3.0000000000000001E-3</v>
      </c>
      <c r="E53" s="5">
        <v>1.823802163833076E-2</v>
      </c>
      <c r="F53" s="7" t="s">
        <v>553</v>
      </c>
      <c r="G53" s="7" t="s">
        <v>554</v>
      </c>
      <c r="H53" s="7" t="s">
        <v>2683</v>
      </c>
      <c r="I53" s="7" t="s">
        <v>2685</v>
      </c>
      <c r="J53" s="5">
        <v>0</v>
      </c>
      <c r="K53" s="5">
        <v>0</v>
      </c>
      <c r="L53" s="5">
        <v>0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</row>
    <row r="54" spans="1:28" ht="30" x14ac:dyDescent="0.25">
      <c r="A54" s="5">
        <v>276</v>
      </c>
      <c r="B54" s="5">
        <v>7.5531914893617019E-2</v>
      </c>
      <c r="C54" s="5">
        <v>8.1927710843373497E-2</v>
      </c>
      <c r="D54" s="5">
        <v>1.6E-2</v>
      </c>
      <c r="E54" s="5">
        <v>1.7774343122102011E-2</v>
      </c>
      <c r="F54" s="7" t="s">
        <v>555</v>
      </c>
      <c r="G54" s="7" t="s">
        <v>556</v>
      </c>
      <c r="H54" s="7" t="s">
        <v>2683</v>
      </c>
      <c r="I54" s="7" t="s">
        <v>2685</v>
      </c>
      <c r="J54" s="5">
        <v>0</v>
      </c>
      <c r="K54" s="5">
        <v>0</v>
      </c>
      <c r="L54" s="5">
        <v>0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  <c r="Y54" s="5">
        <v>0</v>
      </c>
      <c r="Z54" s="5">
        <v>0</v>
      </c>
      <c r="AA54" s="5">
        <v>0</v>
      </c>
      <c r="AB54" s="5">
        <v>0</v>
      </c>
    </row>
    <row r="55" spans="1:28" ht="45" x14ac:dyDescent="0.25">
      <c r="A55" s="5">
        <v>279</v>
      </c>
      <c r="B55" s="5">
        <v>0.1765957446808511</v>
      </c>
      <c r="C55" s="5">
        <v>2.0481927710843371E-2</v>
      </c>
      <c r="D55" s="5">
        <v>5.0000000000000001E-3</v>
      </c>
      <c r="E55" s="5">
        <v>5.9969088098918079E-2</v>
      </c>
      <c r="F55" s="7" t="s">
        <v>561</v>
      </c>
      <c r="G55" s="7" t="s">
        <v>562</v>
      </c>
      <c r="H55" s="7" t="s">
        <v>2683</v>
      </c>
      <c r="I55" s="7" t="s">
        <v>2685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  <c r="Y55" s="5">
        <v>0</v>
      </c>
      <c r="Z55" s="5">
        <v>0</v>
      </c>
      <c r="AA55" s="5">
        <v>0</v>
      </c>
      <c r="AB55" s="5">
        <v>0</v>
      </c>
    </row>
    <row r="56" spans="1:28" ht="45" x14ac:dyDescent="0.25">
      <c r="A56" s="5">
        <v>280</v>
      </c>
      <c r="B56" s="5">
        <v>2.3404255319148939E-2</v>
      </c>
      <c r="C56" s="5">
        <v>1.204819277108434E-2</v>
      </c>
      <c r="D56" s="5">
        <v>1E-3</v>
      </c>
      <c r="E56" s="5">
        <v>8.1916537867078813E-3</v>
      </c>
      <c r="F56" s="7" t="s">
        <v>563</v>
      </c>
      <c r="G56" s="7" t="s">
        <v>564</v>
      </c>
      <c r="H56" s="7" t="s">
        <v>2683</v>
      </c>
      <c r="I56" s="7" t="s">
        <v>2685</v>
      </c>
      <c r="J56" s="5">
        <v>0</v>
      </c>
      <c r="K56" s="5">
        <v>0</v>
      </c>
      <c r="L56" s="5">
        <v>0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  <c r="Y56" s="5">
        <v>0</v>
      </c>
      <c r="Z56" s="5">
        <v>0</v>
      </c>
      <c r="AA56" s="5">
        <v>0</v>
      </c>
      <c r="AB56" s="5">
        <v>0</v>
      </c>
    </row>
    <row r="57" spans="1:28" ht="30" x14ac:dyDescent="0.25">
      <c r="A57" s="5">
        <v>281</v>
      </c>
      <c r="B57" s="5">
        <v>2.3404255319148939E-2</v>
      </c>
      <c r="C57" s="5">
        <v>1.204819277108434E-2</v>
      </c>
      <c r="D57" s="5">
        <v>1E-3</v>
      </c>
      <c r="E57" s="5">
        <v>8.1916537867078813E-3</v>
      </c>
      <c r="F57" s="7" t="s">
        <v>565</v>
      </c>
      <c r="G57" s="7" t="s">
        <v>566</v>
      </c>
      <c r="H57" s="7" t="s">
        <v>2683</v>
      </c>
      <c r="I57" s="7" t="s">
        <v>2685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  <c r="Y57" s="5">
        <v>0</v>
      </c>
      <c r="Z57" s="5">
        <v>0</v>
      </c>
      <c r="AA57" s="5">
        <v>0</v>
      </c>
      <c r="AB57" s="5">
        <v>0</v>
      </c>
    </row>
    <row r="58" spans="1:28" ht="45" x14ac:dyDescent="0.25">
      <c r="A58" s="5">
        <v>282</v>
      </c>
      <c r="B58" s="5">
        <v>3.7234042553191488E-2</v>
      </c>
      <c r="C58" s="5">
        <v>4.8192771084337352E-2</v>
      </c>
      <c r="D58" s="5">
        <v>3.0000000000000001E-3</v>
      </c>
      <c r="E58" s="5">
        <v>9.8918083462132926E-3</v>
      </c>
      <c r="F58" s="7" t="s">
        <v>567</v>
      </c>
      <c r="G58" s="7" t="s">
        <v>568</v>
      </c>
      <c r="H58" s="7" t="s">
        <v>2683</v>
      </c>
      <c r="I58" s="7" t="s">
        <v>2685</v>
      </c>
      <c r="J58" s="5">
        <v>0</v>
      </c>
      <c r="K58" s="5">
        <v>0</v>
      </c>
      <c r="L58" s="5">
        <v>0</v>
      </c>
      <c r="M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  <c r="Y58" s="5">
        <v>0</v>
      </c>
      <c r="Z58" s="5">
        <v>0</v>
      </c>
      <c r="AA58" s="5">
        <v>0</v>
      </c>
      <c r="AB58" s="5">
        <v>0</v>
      </c>
    </row>
    <row r="59" spans="1:28" ht="45" x14ac:dyDescent="0.25">
      <c r="A59" s="5">
        <v>283</v>
      </c>
      <c r="B59" s="5">
        <v>5.7446808510638298E-2</v>
      </c>
      <c r="C59" s="5">
        <v>2.6506024096385541E-2</v>
      </c>
      <c r="D59" s="5">
        <v>3.5999999999999997E-2</v>
      </c>
      <c r="E59" s="5">
        <v>4.7913446676970638E-3</v>
      </c>
      <c r="F59" s="7" t="s">
        <v>569</v>
      </c>
      <c r="G59" s="7" t="s">
        <v>570</v>
      </c>
      <c r="H59" s="7" t="s">
        <v>2683</v>
      </c>
      <c r="I59" s="7" t="s">
        <v>2685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  <c r="Y59" s="5">
        <v>0</v>
      </c>
      <c r="Z59" s="5">
        <v>0</v>
      </c>
      <c r="AA59" s="5">
        <v>0</v>
      </c>
      <c r="AB59" s="5">
        <v>0</v>
      </c>
    </row>
    <row r="60" spans="1:28" ht="45" x14ac:dyDescent="0.25">
      <c r="A60" s="5">
        <v>284</v>
      </c>
      <c r="B60" s="5">
        <v>4.1489361702127657E-2</v>
      </c>
      <c r="C60" s="5">
        <v>5.4216867469879519E-2</v>
      </c>
      <c r="D60" s="5">
        <v>4.0000000000000001E-3</v>
      </c>
      <c r="E60" s="5">
        <v>1.066460587326121E-2</v>
      </c>
      <c r="F60" s="7" t="s">
        <v>571</v>
      </c>
      <c r="G60" s="7" t="s">
        <v>572</v>
      </c>
      <c r="H60" s="7" t="s">
        <v>2683</v>
      </c>
      <c r="I60" s="7" t="s">
        <v>2685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  <c r="Y60" s="5">
        <v>0</v>
      </c>
      <c r="Z60" s="5">
        <v>0</v>
      </c>
      <c r="AA60" s="5">
        <v>0</v>
      </c>
      <c r="AB60" s="5">
        <v>0</v>
      </c>
    </row>
    <row r="61" spans="1:28" ht="45" x14ac:dyDescent="0.25">
      <c r="A61" s="5">
        <v>285</v>
      </c>
      <c r="B61" s="5">
        <v>5.6382978723404253E-2</v>
      </c>
      <c r="C61" s="5">
        <v>4.0963855421686748E-2</v>
      </c>
      <c r="D61" s="5">
        <v>1.2E-2</v>
      </c>
      <c r="E61" s="5">
        <v>1.1128284389489949E-2</v>
      </c>
      <c r="F61" s="7" t="s">
        <v>573</v>
      </c>
      <c r="G61" s="7" t="s">
        <v>574</v>
      </c>
      <c r="H61" s="7" t="s">
        <v>2683</v>
      </c>
      <c r="I61" s="7" t="s">
        <v>2685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</row>
    <row r="62" spans="1:28" ht="45" x14ac:dyDescent="0.25">
      <c r="A62" s="5">
        <v>286</v>
      </c>
      <c r="B62" s="5">
        <v>3.085106382978723E-2</v>
      </c>
      <c r="C62" s="5">
        <v>4.0963855421686748E-2</v>
      </c>
      <c r="D62" s="5">
        <v>1E-3</v>
      </c>
      <c r="E62" s="5">
        <v>1.004636785162288E-2</v>
      </c>
      <c r="F62" s="7" t="s">
        <v>575</v>
      </c>
      <c r="G62" s="7" t="s">
        <v>576</v>
      </c>
      <c r="H62" s="7" t="s">
        <v>2683</v>
      </c>
      <c r="I62" s="7" t="s">
        <v>2685</v>
      </c>
      <c r="J62" s="5">
        <v>0</v>
      </c>
      <c r="K62" s="5">
        <v>0</v>
      </c>
      <c r="L62" s="5">
        <v>0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0</v>
      </c>
      <c r="AA62" s="5">
        <v>0</v>
      </c>
      <c r="AB62" s="5">
        <v>0</v>
      </c>
    </row>
    <row r="63" spans="1:28" ht="90" x14ac:dyDescent="0.25">
      <c r="A63" s="5">
        <v>287</v>
      </c>
      <c r="B63" s="5">
        <v>0.1106382978723404</v>
      </c>
      <c r="C63" s="5">
        <v>4.6987951807228923E-2</v>
      </c>
      <c r="D63" s="5">
        <v>6.0000000000000001E-3</v>
      </c>
      <c r="E63" s="5">
        <v>2.76661514683153E-2</v>
      </c>
      <c r="F63" s="7" t="s">
        <v>577</v>
      </c>
      <c r="G63" s="7" t="s">
        <v>578</v>
      </c>
      <c r="H63" s="7" t="s">
        <v>2683</v>
      </c>
      <c r="I63" s="7" t="s">
        <v>2685</v>
      </c>
      <c r="J63" s="5">
        <v>0</v>
      </c>
      <c r="K63" s="5">
        <v>0</v>
      </c>
      <c r="L63" s="5">
        <v>0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  <c r="Y63" s="5">
        <v>0</v>
      </c>
      <c r="Z63" s="5">
        <v>0</v>
      </c>
      <c r="AA63" s="5">
        <v>0</v>
      </c>
      <c r="AB63" s="5">
        <v>0</v>
      </c>
    </row>
    <row r="64" spans="1:28" ht="45" x14ac:dyDescent="0.25">
      <c r="A64" s="5">
        <v>288</v>
      </c>
      <c r="B64" s="5">
        <v>5.2127659574468077E-2</v>
      </c>
      <c r="C64" s="5">
        <v>3.2530120481927723E-2</v>
      </c>
      <c r="D64" s="5">
        <v>0.01</v>
      </c>
      <c r="E64" s="5">
        <v>1.298299845440495E-2</v>
      </c>
      <c r="F64" s="7" t="s">
        <v>579</v>
      </c>
      <c r="G64" s="7" t="s">
        <v>580</v>
      </c>
      <c r="H64" s="7" t="s">
        <v>2683</v>
      </c>
      <c r="I64" s="7" t="s">
        <v>2685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  <c r="Y64" s="5">
        <v>0</v>
      </c>
      <c r="Z64" s="5">
        <v>0</v>
      </c>
      <c r="AA64" s="5">
        <v>0</v>
      </c>
      <c r="AB64" s="5">
        <v>0</v>
      </c>
    </row>
    <row r="65" spans="1:28" ht="45" x14ac:dyDescent="0.25">
      <c r="A65" s="5">
        <v>289</v>
      </c>
      <c r="B65" s="5">
        <v>9.2553191489361697E-2</v>
      </c>
      <c r="C65" s="5">
        <v>9.6385542168674704E-2</v>
      </c>
      <c r="D65" s="5">
        <v>0.02</v>
      </c>
      <c r="E65" s="5">
        <v>1.8392581143740341E-2</v>
      </c>
      <c r="F65" s="7" t="s">
        <v>581</v>
      </c>
      <c r="G65" s="7" t="s">
        <v>582</v>
      </c>
      <c r="H65" s="7" t="s">
        <v>2683</v>
      </c>
      <c r="I65" s="7" t="s">
        <v>2685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  <c r="Y65" s="5">
        <v>0</v>
      </c>
      <c r="Z65" s="5">
        <v>0</v>
      </c>
      <c r="AA65" s="5">
        <v>0</v>
      </c>
      <c r="AB65" s="5">
        <v>0</v>
      </c>
    </row>
    <row r="66" spans="1:28" ht="45" x14ac:dyDescent="0.25">
      <c r="A66" s="5">
        <v>290</v>
      </c>
      <c r="B66" s="5">
        <v>0.13617021276595739</v>
      </c>
      <c r="C66" s="5">
        <v>0.1445783132530121</v>
      </c>
      <c r="D66" s="5">
        <v>6.5000000000000002E-2</v>
      </c>
      <c r="E66" s="5">
        <v>1.9165378670788259E-2</v>
      </c>
      <c r="F66" s="7" t="s">
        <v>583</v>
      </c>
      <c r="G66" s="7" t="s">
        <v>584</v>
      </c>
      <c r="H66" s="7" t="s">
        <v>2683</v>
      </c>
      <c r="I66" s="7" t="s">
        <v>2685</v>
      </c>
      <c r="J66" s="5">
        <v>0</v>
      </c>
      <c r="K66" s="5">
        <v>0</v>
      </c>
      <c r="L66" s="5">
        <v>0</v>
      </c>
      <c r="M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  <c r="Y66" s="5">
        <v>0</v>
      </c>
      <c r="Z66" s="5">
        <v>0</v>
      </c>
      <c r="AA66" s="5">
        <v>0</v>
      </c>
      <c r="AB66" s="5">
        <v>0</v>
      </c>
    </row>
    <row r="67" spans="1:28" ht="45" x14ac:dyDescent="0.25">
      <c r="A67" s="5">
        <v>291</v>
      </c>
      <c r="B67" s="5">
        <v>3.9361702127659583E-2</v>
      </c>
      <c r="C67" s="5">
        <v>3.012048192771084E-2</v>
      </c>
      <c r="D67" s="5">
        <v>8.0000000000000002E-3</v>
      </c>
      <c r="E67" s="5">
        <v>1.066460587326121E-2</v>
      </c>
      <c r="F67" s="7" t="s">
        <v>585</v>
      </c>
      <c r="G67" s="7" t="s">
        <v>586</v>
      </c>
      <c r="H67" s="7" t="s">
        <v>2683</v>
      </c>
      <c r="I67" s="7" t="s">
        <v>2685</v>
      </c>
      <c r="J67" s="5">
        <v>0</v>
      </c>
      <c r="K67" s="5">
        <v>0</v>
      </c>
      <c r="L67" s="5">
        <v>0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  <c r="Y67" s="5">
        <v>0</v>
      </c>
      <c r="Z67" s="5">
        <v>0</v>
      </c>
      <c r="AA67" s="5">
        <v>0</v>
      </c>
      <c r="AB67" s="5">
        <v>0</v>
      </c>
    </row>
    <row r="68" spans="1:28" ht="30" x14ac:dyDescent="0.25">
      <c r="A68" s="5">
        <v>292</v>
      </c>
      <c r="B68" s="5">
        <v>0.3202127659574468</v>
      </c>
      <c r="C68" s="5">
        <v>0.1710843373493976</v>
      </c>
      <c r="D68" s="5">
        <v>0.109</v>
      </c>
      <c r="E68" s="5">
        <v>7.5734157650695522E-2</v>
      </c>
      <c r="F68" s="7" t="s">
        <v>587</v>
      </c>
      <c r="G68" s="7" t="s">
        <v>588</v>
      </c>
      <c r="H68" s="7" t="s">
        <v>2694</v>
      </c>
      <c r="I68" s="7" t="s">
        <v>2685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  <c r="Y68" s="5">
        <v>0</v>
      </c>
      <c r="Z68" s="5">
        <v>0</v>
      </c>
      <c r="AA68" s="5">
        <v>0</v>
      </c>
      <c r="AB68" s="5">
        <v>0</v>
      </c>
    </row>
    <row r="69" spans="1:28" ht="45" x14ac:dyDescent="0.25">
      <c r="A69" s="5">
        <v>293</v>
      </c>
      <c r="B69" s="5">
        <v>6.5957446808510636E-2</v>
      </c>
      <c r="C69" s="5">
        <v>4.8192771084337352E-2</v>
      </c>
      <c r="D69" s="5">
        <v>5.0000000000000001E-3</v>
      </c>
      <c r="E69" s="5">
        <v>1.6228748068006182E-2</v>
      </c>
      <c r="F69" s="7" t="s">
        <v>589</v>
      </c>
      <c r="G69" s="7" t="s">
        <v>590</v>
      </c>
      <c r="H69" s="7" t="s">
        <v>2683</v>
      </c>
      <c r="I69" s="7" t="s">
        <v>2685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  <c r="Y69" s="5">
        <v>0</v>
      </c>
      <c r="Z69" s="5">
        <v>0</v>
      </c>
      <c r="AA69" s="5">
        <v>0</v>
      </c>
      <c r="AB69" s="5">
        <v>0</v>
      </c>
    </row>
    <row r="70" spans="1:28" ht="30" x14ac:dyDescent="0.25">
      <c r="A70" s="5">
        <v>294</v>
      </c>
      <c r="B70" s="5">
        <v>4.7872340425531908E-2</v>
      </c>
      <c r="C70" s="5">
        <v>5.301204819277109E-2</v>
      </c>
      <c r="D70" s="5">
        <v>0.08</v>
      </c>
      <c r="E70" s="5">
        <v>7.7279752704791343E-4</v>
      </c>
      <c r="F70" s="7" t="s">
        <v>591</v>
      </c>
      <c r="G70" s="7" t="s">
        <v>592</v>
      </c>
      <c r="H70" s="7" t="s">
        <v>2683</v>
      </c>
      <c r="I70" s="7" t="s">
        <v>2685</v>
      </c>
      <c r="J70" s="5">
        <v>0</v>
      </c>
      <c r="K70" s="5">
        <v>0</v>
      </c>
      <c r="L70" s="5">
        <v>0</v>
      </c>
      <c r="M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  <c r="Y70" s="5">
        <v>0</v>
      </c>
      <c r="Z70" s="5">
        <v>0</v>
      </c>
      <c r="AA70" s="5">
        <v>0</v>
      </c>
      <c r="AB70" s="5">
        <v>0</v>
      </c>
    </row>
    <row r="71" spans="1:28" ht="45" x14ac:dyDescent="0.25">
      <c r="A71" s="5">
        <v>295</v>
      </c>
      <c r="B71" s="5">
        <v>4.7872340425531908E-2</v>
      </c>
      <c r="C71" s="5">
        <v>5.301204819277109E-2</v>
      </c>
      <c r="D71" s="5">
        <v>5.0000000000000001E-3</v>
      </c>
      <c r="E71" s="5">
        <v>1.3137557959814529E-2</v>
      </c>
      <c r="F71" s="7" t="s">
        <v>593</v>
      </c>
      <c r="G71" s="7" t="s">
        <v>594</v>
      </c>
      <c r="H71" s="7" t="s">
        <v>2683</v>
      </c>
      <c r="I71" s="7" t="s">
        <v>2685</v>
      </c>
      <c r="J71" s="5">
        <v>0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  <c r="Y71" s="5">
        <v>0</v>
      </c>
      <c r="Z71" s="5">
        <v>0</v>
      </c>
      <c r="AA71" s="5">
        <v>0</v>
      </c>
      <c r="AB71" s="5">
        <v>0</v>
      </c>
    </row>
    <row r="72" spans="1:28" ht="30" x14ac:dyDescent="0.25">
      <c r="A72" s="5">
        <v>296</v>
      </c>
      <c r="B72" s="5">
        <v>5.6382978723404253E-2</v>
      </c>
      <c r="C72" s="5">
        <v>3.8554216867469883E-2</v>
      </c>
      <c r="D72" s="5">
        <v>2.5000000000000001E-2</v>
      </c>
      <c r="E72" s="5">
        <v>1.174652241112828E-2</v>
      </c>
      <c r="F72" s="7" t="s">
        <v>595</v>
      </c>
      <c r="G72" s="7" t="s">
        <v>596</v>
      </c>
      <c r="H72" s="7" t="s">
        <v>2683</v>
      </c>
      <c r="I72" s="7" t="s">
        <v>2685</v>
      </c>
      <c r="J72" s="5">
        <v>0</v>
      </c>
      <c r="K72" s="5">
        <v>0</v>
      </c>
      <c r="L72" s="5">
        <v>0</v>
      </c>
      <c r="M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  <c r="Y72" s="5">
        <v>0</v>
      </c>
      <c r="Z72" s="5">
        <v>0</v>
      </c>
      <c r="AA72" s="5">
        <v>0</v>
      </c>
      <c r="AB72" s="5">
        <v>0</v>
      </c>
    </row>
    <row r="73" spans="1:28" ht="45" x14ac:dyDescent="0.25">
      <c r="A73" s="5">
        <v>297</v>
      </c>
      <c r="B73" s="5">
        <v>7.2340425531914901E-2</v>
      </c>
      <c r="C73" s="5">
        <v>2.4096385542168679E-2</v>
      </c>
      <c r="D73" s="5">
        <v>0.01</v>
      </c>
      <c r="E73" s="5">
        <v>2.349304482225657E-2</v>
      </c>
      <c r="F73" s="7" t="s">
        <v>597</v>
      </c>
      <c r="G73" s="7" t="s">
        <v>598</v>
      </c>
      <c r="H73" s="7" t="s">
        <v>2683</v>
      </c>
      <c r="I73" s="7" t="s">
        <v>2685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  <c r="Y73" s="5">
        <v>0</v>
      </c>
      <c r="Z73" s="5">
        <v>0</v>
      </c>
      <c r="AA73" s="5">
        <v>0</v>
      </c>
      <c r="AB73" s="5">
        <v>0</v>
      </c>
    </row>
    <row r="74" spans="1:28" ht="75" x14ac:dyDescent="0.25">
      <c r="A74" s="5">
        <v>298</v>
      </c>
      <c r="B74" s="5">
        <v>7.7659574468085107E-2</v>
      </c>
      <c r="C74" s="5">
        <v>8.1927710843373497E-2</v>
      </c>
      <c r="D74" s="5">
        <v>1.2E-2</v>
      </c>
      <c r="E74" s="5">
        <v>2.009273570324575E-2</v>
      </c>
      <c r="F74" s="7" t="s">
        <v>599</v>
      </c>
      <c r="G74" s="7" t="s">
        <v>600</v>
      </c>
      <c r="H74" s="7" t="s">
        <v>2683</v>
      </c>
      <c r="I74" s="7" t="s">
        <v>2685</v>
      </c>
      <c r="J74" s="5">
        <v>0</v>
      </c>
      <c r="K74" s="5">
        <v>0</v>
      </c>
      <c r="L74" s="5">
        <v>0</v>
      </c>
      <c r="M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  <c r="Y74" s="5">
        <v>0</v>
      </c>
      <c r="Z74" s="5">
        <v>0</v>
      </c>
      <c r="AA74" s="5">
        <v>0</v>
      </c>
      <c r="AB74" s="5">
        <v>0</v>
      </c>
    </row>
    <row r="75" spans="1:28" ht="45" x14ac:dyDescent="0.25">
      <c r="A75" s="5">
        <v>299</v>
      </c>
      <c r="B75" s="5">
        <v>0.1531914893617021</v>
      </c>
      <c r="C75" s="5">
        <v>0.15301204819277109</v>
      </c>
      <c r="D75" s="5">
        <v>1.2E-2</v>
      </c>
      <c r="E75" s="5">
        <v>3.8948995363214833E-2</v>
      </c>
      <c r="F75" s="7" t="s">
        <v>601</v>
      </c>
      <c r="G75" s="7" t="s">
        <v>602</v>
      </c>
      <c r="H75" s="7" t="s">
        <v>2683</v>
      </c>
      <c r="I75" s="7" t="s">
        <v>2685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  <c r="Y75" s="5">
        <v>0</v>
      </c>
      <c r="Z75" s="5">
        <v>0</v>
      </c>
      <c r="AA75" s="5">
        <v>0</v>
      </c>
      <c r="AB75" s="5">
        <v>0</v>
      </c>
    </row>
    <row r="76" spans="1:28" ht="45" x14ac:dyDescent="0.25">
      <c r="A76" s="5">
        <v>300</v>
      </c>
      <c r="B76" s="5">
        <v>5.3191489361702128E-2</v>
      </c>
      <c r="C76" s="5">
        <v>7.4698795180722893E-2</v>
      </c>
      <c r="D76" s="5">
        <v>1.0999999999999999E-2</v>
      </c>
      <c r="E76" s="5">
        <v>1.097372488408037E-2</v>
      </c>
      <c r="F76" s="7" t="s">
        <v>603</v>
      </c>
      <c r="G76" s="7" t="s">
        <v>604</v>
      </c>
      <c r="H76" s="7" t="s">
        <v>2683</v>
      </c>
      <c r="I76" s="7" t="s">
        <v>2685</v>
      </c>
      <c r="J76" s="5">
        <v>0</v>
      </c>
      <c r="K76" s="5">
        <v>0</v>
      </c>
      <c r="L76" s="5">
        <v>0</v>
      </c>
      <c r="M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  <c r="Y76" s="5">
        <v>0</v>
      </c>
      <c r="Z76" s="5">
        <v>0</v>
      </c>
      <c r="AA76" s="5">
        <v>0</v>
      </c>
      <c r="AB76" s="5">
        <v>0</v>
      </c>
    </row>
    <row r="77" spans="1:28" ht="30" x14ac:dyDescent="0.25">
      <c r="A77" s="5">
        <v>301</v>
      </c>
      <c r="B77" s="5">
        <v>7.8723404255319152E-2</v>
      </c>
      <c r="C77" s="5">
        <v>7.5903614457831323E-2</v>
      </c>
      <c r="D77" s="5">
        <v>6.9999999999999993E-3</v>
      </c>
      <c r="E77" s="5">
        <v>1.653786707882535E-2</v>
      </c>
      <c r="F77" s="7" t="s">
        <v>605</v>
      </c>
      <c r="G77" s="7" t="s">
        <v>606</v>
      </c>
      <c r="H77" s="7" t="s">
        <v>2683</v>
      </c>
      <c r="I77" s="7" t="s">
        <v>2685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</row>
    <row r="78" spans="1:28" ht="45" x14ac:dyDescent="0.25">
      <c r="A78" s="5">
        <v>302</v>
      </c>
      <c r="B78" s="5">
        <v>5.8510638297872342E-2</v>
      </c>
      <c r="C78" s="5">
        <v>4.8192771084337352E-2</v>
      </c>
      <c r="D78" s="5">
        <v>5.0000000000000001E-3</v>
      </c>
      <c r="E78" s="5">
        <v>1.3137557959814529E-2</v>
      </c>
      <c r="F78" s="7" t="s">
        <v>607</v>
      </c>
      <c r="G78" s="7" t="s">
        <v>608</v>
      </c>
      <c r="H78" s="7" t="s">
        <v>2683</v>
      </c>
      <c r="I78" s="7" t="s">
        <v>2685</v>
      </c>
      <c r="J78" s="5">
        <v>0</v>
      </c>
      <c r="K78" s="5">
        <v>0</v>
      </c>
      <c r="L78" s="5">
        <v>0</v>
      </c>
      <c r="M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  <c r="Y78" s="5">
        <v>0</v>
      </c>
      <c r="Z78" s="5">
        <v>0</v>
      </c>
      <c r="AA78" s="5">
        <v>0</v>
      </c>
      <c r="AB78" s="5">
        <v>0</v>
      </c>
    </row>
    <row r="79" spans="1:28" ht="60" x14ac:dyDescent="0.25">
      <c r="A79" s="5">
        <v>303</v>
      </c>
      <c r="B79" s="5">
        <v>3.2978723404255318E-2</v>
      </c>
      <c r="C79" s="5">
        <v>4.457831325301205E-2</v>
      </c>
      <c r="D79" s="5">
        <v>6.0000000000000001E-3</v>
      </c>
      <c r="E79" s="5">
        <v>7.4188562596599686E-3</v>
      </c>
      <c r="F79" s="7" t="s">
        <v>609</v>
      </c>
      <c r="G79" s="7" t="s">
        <v>610</v>
      </c>
      <c r="H79" s="7" t="s">
        <v>2683</v>
      </c>
      <c r="I79" s="7" t="s">
        <v>2685</v>
      </c>
      <c r="J79" s="5">
        <v>0</v>
      </c>
      <c r="K79" s="5">
        <v>0</v>
      </c>
      <c r="L79" s="5">
        <v>0</v>
      </c>
      <c r="M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  <c r="Y79" s="5">
        <v>0</v>
      </c>
      <c r="Z79" s="5">
        <v>0</v>
      </c>
      <c r="AA79" s="5">
        <v>0</v>
      </c>
      <c r="AB79" s="5">
        <v>0</v>
      </c>
    </row>
    <row r="80" spans="1:28" ht="45" x14ac:dyDescent="0.25">
      <c r="A80" s="5">
        <v>304</v>
      </c>
      <c r="B80" s="5">
        <v>5.3191489361702128E-2</v>
      </c>
      <c r="C80" s="5">
        <v>7.4698795180722893E-2</v>
      </c>
      <c r="D80" s="5">
        <v>1.0999999999999999E-2</v>
      </c>
      <c r="E80" s="5">
        <v>1.097372488408037E-2</v>
      </c>
      <c r="F80" s="7" t="s">
        <v>611</v>
      </c>
      <c r="G80" s="7" t="s">
        <v>612</v>
      </c>
      <c r="H80" s="7" t="s">
        <v>2683</v>
      </c>
      <c r="I80" s="7" t="s">
        <v>2685</v>
      </c>
      <c r="J80" s="5">
        <v>0</v>
      </c>
      <c r="K80" s="5">
        <v>0</v>
      </c>
      <c r="L80" s="5">
        <v>0</v>
      </c>
      <c r="M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  <c r="Y80" s="5">
        <v>0</v>
      </c>
      <c r="Z80" s="5">
        <v>0</v>
      </c>
      <c r="AA80" s="5">
        <v>0</v>
      </c>
      <c r="AB80" s="5">
        <v>0</v>
      </c>
    </row>
    <row r="81" spans="1:28" ht="45" x14ac:dyDescent="0.25">
      <c r="A81" s="5">
        <v>305</v>
      </c>
      <c r="B81" s="5">
        <v>3.8297872340425532E-2</v>
      </c>
      <c r="C81" s="5">
        <v>3.1325301204819279E-2</v>
      </c>
      <c r="D81" s="5">
        <v>9.0000000000000011E-3</v>
      </c>
      <c r="E81" s="5">
        <v>9.4281298299845433E-3</v>
      </c>
      <c r="F81" s="7" t="s">
        <v>613</v>
      </c>
      <c r="G81" s="7" t="s">
        <v>614</v>
      </c>
      <c r="H81" s="7" t="s">
        <v>2683</v>
      </c>
      <c r="I81" s="7" t="s">
        <v>2685</v>
      </c>
      <c r="J81" s="5">
        <v>0</v>
      </c>
      <c r="K81" s="5">
        <v>0</v>
      </c>
      <c r="L81" s="5">
        <v>0</v>
      </c>
      <c r="M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  <c r="Y81" s="5">
        <v>0</v>
      </c>
      <c r="Z81" s="5">
        <v>0</v>
      </c>
      <c r="AA81" s="5">
        <v>0</v>
      </c>
      <c r="AB81" s="5">
        <v>0</v>
      </c>
    </row>
    <row r="82" spans="1:28" ht="30" x14ac:dyDescent="0.25">
      <c r="A82" s="5">
        <v>306</v>
      </c>
      <c r="B82" s="5">
        <v>2.8723404255319149E-2</v>
      </c>
      <c r="C82" s="5">
        <v>1.566265060240964E-2</v>
      </c>
      <c r="D82" s="5">
        <v>2E-3</v>
      </c>
      <c r="E82" s="5">
        <v>9.1190108191653782E-3</v>
      </c>
      <c r="F82" s="7" t="s">
        <v>615</v>
      </c>
      <c r="G82" s="7" t="s">
        <v>616</v>
      </c>
      <c r="H82" s="7" t="s">
        <v>2683</v>
      </c>
      <c r="I82" s="7" t="s">
        <v>2685</v>
      </c>
      <c r="J82" s="5">
        <v>0</v>
      </c>
      <c r="K82" s="5">
        <v>0</v>
      </c>
      <c r="L82" s="5">
        <v>0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1</v>
      </c>
      <c r="Y82" s="5">
        <v>0</v>
      </c>
      <c r="Z82" s="5">
        <v>0</v>
      </c>
      <c r="AA82" s="5">
        <v>0</v>
      </c>
      <c r="AB82" s="5">
        <v>0</v>
      </c>
    </row>
    <row r="83" spans="1:28" ht="45" x14ac:dyDescent="0.25">
      <c r="A83" s="5">
        <v>307</v>
      </c>
      <c r="B83" s="5">
        <v>6.2765957446808518E-2</v>
      </c>
      <c r="C83" s="5">
        <v>3.6144578313253017E-2</v>
      </c>
      <c r="D83" s="5">
        <v>4.0000000000000001E-3</v>
      </c>
      <c r="E83" s="5">
        <v>2.0865533230293661E-2</v>
      </c>
      <c r="F83" s="7" t="s">
        <v>617</v>
      </c>
      <c r="G83" s="7" t="s">
        <v>618</v>
      </c>
      <c r="H83" s="7" t="s">
        <v>2683</v>
      </c>
      <c r="I83" s="7" t="s">
        <v>2685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  <c r="Y83" s="5">
        <v>0</v>
      </c>
      <c r="Z83" s="5">
        <v>0</v>
      </c>
      <c r="AA83" s="5">
        <v>0</v>
      </c>
      <c r="AB83" s="5">
        <v>0</v>
      </c>
    </row>
    <row r="84" spans="1:28" ht="30" x14ac:dyDescent="0.25">
      <c r="A84" s="5">
        <v>308</v>
      </c>
      <c r="B84" s="5">
        <v>7.5531914893617019E-2</v>
      </c>
      <c r="C84" s="5">
        <v>4.9397590361445781E-2</v>
      </c>
      <c r="D84" s="5">
        <v>2.1000000000000001E-2</v>
      </c>
      <c r="E84" s="5">
        <v>1.9010819165378671E-2</v>
      </c>
      <c r="F84" s="7" t="s">
        <v>619</v>
      </c>
      <c r="G84" s="7" t="s">
        <v>620</v>
      </c>
      <c r="H84" s="7" t="s">
        <v>2683</v>
      </c>
      <c r="I84" s="7" t="s">
        <v>2685</v>
      </c>
      <c r="J84" s="5">
        <v>0</v>
      </c>
      <c r="K84" s="5">
        <v>0</v>
      </c>
      <c r="L84" s="5">
        <v>0</v>
      </c>
      <c r="M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1</v>
      </c>
      <c r="Y84" s="5">
        <v>0</v>
      </c>
      <c r="Z84" s="5">
        <v>0</v>
      </c>
      <c r="AA84" s="5">
        <v>0</v>
      </c>
      <c r="AB84" s="5">
        <v>0</v>
      </c>
    </row>
    <row r="85" spans="1:28" ht="45" x14ac:dyDescent="0.25">
      <c r="A85" s="5">
        <v>309</v>
      </c>
      <c r="B85" s="5">
        <v>2.8723404255319149E-2</v>
      </c>
      <c r="C85" s="5">
        <v>1.566265060240964E-2</v>
      </c>
      <c r="D85" s="5">
        <v>2E-3</v>
      </c>
      <c r="E85" s="5">
        <v>9.1190108191653782E-3</v>
      </c>
      <c r="F85" s="7" t="s">
        <v>621</v>
      </c>
      <c r="G85" s="7" t="s">
        <v>622</v>
      </c>
      <c r="H85" s="7" t="s">
        <v>2683</v>
      </c>
      <c r="I85" s="7" t="s">
        <v>2685</v>
      </c>
      <c r="J85" s="5">
        <v>0</v>
      </c>
      <c r="K85" s="5">
        <v>0</v>
      </c>
      <c r="L85" s="5">
        <v>0</v>
      </c>
      <c r="M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  <c r="Y85" s="5">
        <v>0</v>
      </c>
      <c r="Z85" s="5">
        <v>0</v>
      </c>
      <c r="AA85" s="5">
        <v>0</v>
      </c>
      <c r="AB85" s="5">
        <v>0</v>
      </c>
    </row>
    <row r="86" spans="1:28" ht="45" x14ac:dyDescent="0.25">
      <c r="A86" s="5">
        <v>310</v>
      </c>
      <c r="B86" s="5">
        <v>7.4468085106382975E-2</v>
      </c>
      <c r="C86" s="5">
        <v>3.4939759036144581E-2</v>
      </c>
      <c r="D86" s="5">
        <v>3.0000000000000001E-3</v>
      </c>
      <c r="E86" s="5">
        <v>2.1483771251931991E-2</v>
      </c>
      <c r="F86" s="7" t="s">
        <v>623</v>
      </c>
      <c r="G86" s="7" t="s">
        <v>624</v>
      </c>
      <c r="H86" s="7" t="s">
        <v>2683</v>
      </c>
      <c r="I86" s="7" t="s">
        <v>2685</v>
      </c>
      <c r="J86" s="5">
        <v>0</v>
      </c>
      <c r="K86" s="5">
        <v>0</v>
      </c>
      <c r="L86" s="5">
        <v>0</v>
      </c>
      <c r="M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  <c r="Y86" s="5">
        <v>0</v>
      </c>
      <c r="Z86" s="5">
        <v>0</v>
      </c>
      <c r="AA86" s="5">
        <v>0</v>
      </c>
      <c r="AB86" s="5">
        <v>0</v>
      </c>
    </row>
    <row r="87" spans="1:28" ht="45" x14ac:dyDescent="0.25">
      <c r="A87" s="5">
        <v>311</v>
      </c>
      <c r="B87" s="5">
        <v>0.05</v>
      </c>
      <c r="C87" s="5">
        <v>3.3734939759036138E-2</v>
      </c>
      <c r="D87" s="5">
        <v>4.0000000000000001E-3</v>
      </c>
      <c r="E87" s="5">
        <v>1.6074188562596601E-2</v>
      </c>
      <c r="F87" s="7" t="s">
        <v>625</v>
      </c>
      <c r="G87" s="7" t="s">
        <v>626</v>
      </c>
      <c r="H87" s="7" t="s">
        <v>2683</v>
      </c>
      <c r="I87" s="7" t="s">
        <v>2685</v>
      </c>
      <c r="J87" s="5">
        <v>0</v>
      </c>
      <c r="K87" s="5">
        <v>0</v>
      </c>
      <c r="L87" s="5">
        <v>0</v>
      </c>
      <c r="M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  <c r="Y87" s="5">
        <v>0</v>
      </c>
      <c r="Z87" s="5">
        <v>0</v>
      </c>
      <c r="AA87" s="5">
        <v>0</v>
      </c>
      <c r="AB87" s="5">
        <v>0</v>
      </c>
    </row>
    <row r="88" spans="1:28" ht="45" x14ac:dyDescent="0.25">
      <c r="A88" s="5">
        <v>313</v>
      </c>
      <c r="B88" s="5">
        <v>6.5957446808510636E-2</v>
      </c>
      <c r="C88" s="5">
        <v>4.457831325301205E-2</v>
      </c>
      <c r="D88" s="5">
        <v>3.0000000000000001E-3</v>
      </c>
      <c r="E88" s="5">
        <v>1.715610510046368E-2</v>
      </c>
      <c r="F88" s="7" t="s">
        <v>629</v>
      </c>
      <c r="G88" s="7" t="s">
        <v>630</v>
      </c>
      <c r="H88" s="7" t="s">
        <v>2683</v>
      </c>
      <c r="I88" s="7" t="s">
        <v>2685</v>
      </c>
      <c r="J88" s="5">
        <v>0</v>
      </c>
      <c r="K88" s="5">
        <v>0</v>
      </c>
      <c r="L88" s="5">
        <v>0</v>
      </c>
      <c r="M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  <c r="Y88" s="5">
        <v>0</v>
      </c>
      <c r="Z88" s="5">
        <v>0</v>
      </c>
      <c r="AA88" s="5">
        <v>0</v>
      </c>
      <c r="AB88" s="5">
        <v>0</v>
      </c>
    </row>
    <row r="89" spans="1:28" ht="45" x14ac:dyDescent="0.25">
      <c r="A89" s="5">
        <v>315</v>
      </c>
      <c r="B89" s="5">
        <v>5.1063829787234047E-2</v>
      </c>
      <c r="C89" s="5">
        <v>3.6144578313253017E-2</v>
      </c>
      <c r="D89" s="5">
        <v>3.0000000000000001E-3</v>
      </c>
      <c r="E89" s="5">
        <v>1.6692426584234931E-2</v>
      </c>
      <c r="F89" s="7" t="s">
        <v>633</v>
      </c>
      <c r="G89" s="7" t="s">
        <v>634</v>
      </c>
      <c r="H89" s="7" t="s">
        <v>2683</v>
      </c>
      <c r="I89" s="7" t="s">
        <v>2685</v>
      </c>
      <c r="J89" s="5">
        <v>0</v>
      </c>
      <c r="K89" s="5">
        <v>0</v>
      </c>
      <c r="L89" s="5">
        <v>0</v>
      </c>
      <c r="M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  <c r="Y89" s="5">
        <v>0</v>
      </c>
      <c r="Z89" s="5">
        <v>0</v>
      </c>
      <c r="AA89" s="5">
        <v>0</v>
      </c>
      <c r="AB89" s="5">
        <v>0</v>
      </c>
    </row>
    <row r="90" spans="1:28" ht="45" x14ac:dyDescent="0.25">
      <c r="A90" s="5">
        <v>316</v>
      </c>
      <c r="B90" s="5">
        <v>4.8936170212765959E-2</v>
      </c>
      <c r="C90" s="5">
        <v>3.3734939759036138E-2</v>
      </c>
      <c r="D90" s="5">
        <v>2E-3</v>
      </c>
      <c r="E90" s="5">
        <v>1.267387944358578E-2</v>
      </c>
      <c r="F90" s="7" t="s">
        <v>635</v>
      </c>
      <c r="G90" s="7" t="s">
        <v>636</v>
      </c>
      <c r="H90" s="7" t="s">
        <v>2683</v>
      </c>
      <c r="I90" s="7" t="s">
        <v>2685</v>
      </c>
      <c r="J90" s="5">
        <v>0</v>
      </c>
      <c r="K90" s="5">
        <v>0</v>
      </c>
      <c r="L90" s="5">
        <v>0</v>
      </c>
      <c r="M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  <c r="Y90" s="5">
        <v>0</v>
      </c>
      <c r="Z90" s="5">
        <v>0</v>
      </c>
      <c r="AA90" s="5">
        <v>0</v>
      </c>
      <c r="AB90" s="5">
        <v>0</v>
      </c>
    </row>
    <row r="91" spans="1:28" ht="60" x14ac:dyDescent="0.25">
      <c r="A91" s="5">
        <v>317</v>
      </c>
      <c r="B91" s="5">
        <v>5.8510638297872342E-2</v>
      </c>
      <c r="C91" s="5">
        <v>2.0481927710843371E-2</v>
      </c>
      <c r="D91" s="5">
        <v>1E-3</v>
      </c>
      <c r="E91" s="5">
        <v>1.8392581143740341E-2</v>
      </c>
      <c r="F91" s="7" t="s">
        <v>637</v>
      </c>
      <c r="G91" s="7" t="s">
        <v>638</v>
      </c>
      <c r="H91" s="7" t="s">
        <v>2683</v>
      </c>
      <c r="I91" s="7" t="s">
        <v>2685</v>
      </c>
      <c r="J91" s="5">
        <v>0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  <c r="Y91" s="5">
        <v>0</v>
      </c>
      <c r="Z91" s="5">
        <v>0</v>
      </c>
      <c r="AA91" s="5">
        <v>0</v>
      </c>
      <c r="AB91" s="5">
        <v>0</v>
      </c>
    </row>
    <row r="92" spans="1:28" ht="60" x14ac:dyDescent="0.25">
      <c r="A92" s="5">
        <v>389</v>
      </c>
      <c r="B92" s="5">
        <v>0.1702127659574468</v>
      </c>
      <c r="C92" s="5">
        <v>3.9759036144578312E-2</v>
      </c>
      <c r="D92" s="5">
        <v>9.1999999999999998E-2</v>
      </c>
      <c r="E92" s="5">
        <v>2.472952086553323E-2</v>
      </c>
      <c r="F92" s="7" t="s">
        <v>779</v>
      </c>
      <c r="G92" s="7" t="s">
        <v>780</v>
      </c>
      <c r="H92" s="7" t="s">
        <v>2683</v>
      </c>
      <c r="I92" s="7" t="s">
        <v>2685</v>
      </c>
      <c r="J92" s="5">
        <v>0</v>
      </c>
      <c r="K92" s="5">
        <v>0</v>
      </c>
      <c r="L92" s="5">
        <v>0</v>
      </c>
      <c r="M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</v>
      </c>
      <c r="Y92" s="5">
        <v>0</v>
      </c>
      <c r="Z92" s="5">
        <v>0</v>
      </c>
      <c r="AA92" s="5">
        <v>0</v>
      </c>
      <c r="AB92" s="5">
        <v>0</v>
      </c>
    </row>
    <row r="93" spans="1:28" ht="45" x14ac:dyDescent="0.25">
      <c r="A93" s="5">
        <v>673</v>
      </c>
      <c r="B93" s="5">
        <v>3.085106382978723E-2</v>
      </c>
      <c r="C93" s="5">
        <v>3.6144578313253017E-2</v>
      </c>
      <c r="D93" s="5">
        <v>3.0000000000000001E-3</v>
      </c>
      <c r="E93" s="5">
        <v>8.3462132921174655E-3</v>
      </c>
      <c r="F93" s="7" t="s">
        <v>1338</v>
      </c>
      <c r="G93" s="7" t="s">
        <v>1339</v>
      </c>
      <c r="H93" s="7" t="s">
        <v>2683</v>
      </c>
      <c r="I93" s="7" t="s">
        <v>2685</v>
      </c>
      <c r="J93" s="5">
        <v>0</v>
      </c>
      <c r="K93" s="5">
        <v>0</v>
      </c>
      <c r="L93" s="5">
        <v>0</v>
      </c>
      <c r="M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  <c r="Y93" s="5">
        <v>0</v>
      </c>
      <c r="Z93" s="5">
        <v>0</v>
      </c>
      <c r="AA93" s="5">
        <v>0</v>
      </c>
      <c r="AB93" s="5">
        <v>0</v>
      </c>
    </row>
    <row r="94" spans="1:28" ht="90" x14ac:dyDescent="0.25">
      <c r="A94" s="5">
        <v>675</v>
      </c>
      <c r="B94" s="5">
        <v>2.3404255319148939E-2</v>
      </c>
      <c r="C94" s="5">
        <v>3.012048192771084E-2</v>
      </c>
      <c r="D94" s="5">
        <v>6.0000000000000001E-3</v>
      </c>
      <c r="E94" s="5">
        <v>4.7913446676970638E-3</v>
      </c>
      <c r="F94" s="7" t="s">
        <v>1342</v>
      </c>
      <c r="G94" s="7" t="s">
        <v>1343</v>
      </c>
      <c r="H94" s="7" t="s">
        <v>2683</v>
      </c>
      <c r="I94" s="7" t="s">
        <v>2685</v>
      </c>
      <c r="J94" s="5">
        <v>0</v>
      </c>
      <c r="K94" s="5">
        <v>0</v>
      </c>
      <c r="L94" s="5">
        <v>0</v>
      </c>
      <c r="M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  <c r="Y94" s="5">
        <v>0</v>
      </c>
      <c r="Z94" s="5">
        <v>0</v>
      </c>
      <c r="AA94" s="5">
        <v>0</v>
      </c>
      <c r="AB94" s="5">
        <v>0</v>
      </c>
    </row>
    <row r="95" spans="1:28" ht="30" x14ac:dyDescent="0.25">
      <c r="A95" s="5">
        <v>676</v>
      </c>
      <c r="B95" s="5">
        <v>4.5744680851063833E-2</v>
      </c>
      <c r="C95" s="5">
        <v>2.168674698795181E-2</v>
      </c>
      <c r="D95" s="5">
        <v>2E-3</v>
      </c>
      <c r="E95" s="5">
        <v>1.298299845440495E-2</v>
      </c>
      <c r="F95" s="7" t="s">
        <v>1344</v>
      </c>
      <c r="G95" s="7" t="s">
        <v>1345</v>
      </c>
      <c r="H95" s="7" t="s">
        <v>2683</v>
      </c>
      <c r="I95" s="7" t="s">
        <v>2685</v>
      </c>
      <c r="J95" s="5">
        <v>0</v>
      </c>
      <c r="K95" s="5">
        <v>0</v>
      </c>
      <c r="L95" s="5">
        <v>0</v>
      </c>
      <c r="M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  <c r="Y95" s="5">
        <v>0</v>
      </c>
      <c r="Z95" s="5">
        <v>0</v>
      </c>
      <c r="AA95" s="5">
        <v>0</v>
      </c>
      <c r="AB95" s="5">
        <v>0</v>
      </c>
    </row>
    <row r="96" spans="1:28" ht="60" x14ac:dyDescent="0.25">
      <c r="A96" s="5">
        <v>677</v>
      </c>
      <c r="B96" s="5">
        <v>5.5319148936170223E-2</v>
      </c>
      <c r="C96" s="5">
        <v>2.168674698795181E-2</v>
      </c>
      <c r="D96" s="5">
        <v>3.5999999999999997E-2</v>
      </c>
      <c r="E96" s="5">
        <v>4.6367851622874804E-3</v>
      </c>
      <c r="F96" s="7" t="s">
        <v>1346</v>
      </c>
      <c r="G96" s="7" t="s">
        <v>1347</v>
      </c>
      <c r="H96" s="7" t="s">
        <v>2683</v>
      </c>
      <c r="I96" s="7" t="s">
        <v>2685</v>
      </c>
      <c r="J96" s="5">
        <v>0</v>
      </c>
      <c r="K96" s="5">
        <v>0</v>
      </c>
      <c r="L96" s="5">
        <v>0</v>
      </c>
      <c r="M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  <c r="Y96" s="5">
        <v>0</v>
      </c>
      <c r="Z96" s="5">
        <v>0</v>
      </c>
      <c r="AA96" s="5">
        <v>0</v>
      </c>
      <c r="AB96" s="5">
        <v>0</v>
      </c>
    </row>
    <row r="97" spans="1:28" ht="30" x14ac:dyDescent="0.25">
      <c r="A97" s="5">
        <v>678</v>
      </c>
      <c r="B97" s="5">
        <v>4.042553191489362E-2</v>
      </c>
      <c r="C97" s="5">
        <v>2.891566265060241E-2</v>
      </c>
      <c r="D97" s="5">
        <v>0.02</v>
      </c>
      <c r="E97" s="5">
        <v>4.0185471406491502E-3</v>
      </c>
      <c r="F97" s="7" t="s">
        <v>1348</v>
      </c>
      <c r="G97" s="7" t="s">
        <v>1349</v>
      </c>
      <c r="H97" s="7" t="s">
        <v>2683</v>
      </c>
      <c r="I97" s="7" t="s">
        <v>2685</v>
      </c>
      <c r="J97" s="5">
        <v>0</v>
      </c>
      <c r="K97" s="5">
        <v>0</v>
      </c>
      <c r="L97" s="5">
        <v>0</v>
      </c>
      <c r="M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1</v>
      </c>
      <c r="Y97" s="5">
        <v>0</v>
      </c>
      <c r="Z97" s="5">
        <v>0</v>
      </c>
      <c r="AA97" s="5">
        <v>0</v>
      </c>
      <c r="AB97" s="5">
        <v>0</v>
      </c>
    </row>
    <row r="98" spans="1:28" ht="45" x14ac:dyDescent="0.25">
      <c r="A98" s="5">
        <v>684</v>
      </c>
      <c r="B98" s="5">
        <v>9.7872340425531917E-2</v>
      </c>
      <c r="C98" s="5">
        <v>2.6506024096385541E-2</v>
      </c>
      <c r="D98" s="5">
        <v>3.3000000000000002E-2</v>
      </c>
      <c r="E98" s="5">
        <v>2.179289026275116E-2</v>
      </c>
      <c r="F98" s="7" t="s">
        <v>1360</v>
      </c>
      <c r="G98" s="7" t="s">
        <v>1361</v>
      </c>
      <c r="H98" s="7" t="s">
        <v>2684</v>
      </c>
      <c r="I98" s="7" t="s">
        <v>2685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1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  <c r="Y98" s="5">
        <v>0</v>
      </c>
      <c r="Z98" s="5">
        <v>0</v>
      </c>
      <c r="AA98" s="5">
        <v>0</v>
      </c>
      <c r="AB98" s="5">
        <v>0</v>
      </c>
    </row>
    <row r="99" spans="1:28" ht="45" x14ac:dyDescent="0.25">
      <c r="A99" s="5">
        <v>724</v>
      </c>
      <c r="B99" s="5">
        <v>0.62340425531914889</v>
      </c>
      <c r="C99" s="5">
        <v>5.9036144578313257E-2</v>
      </c>
      <c r="D99" s="5">
        <v>0.40600000000000003</v>
      </c>
      <c r="E99" s="5">
        <v>7.7588871715610519E-2</v>
      </c>
      <c r="F99" s="7" t="s">
        <v>1440</v>
      </c>
      <c r="G99" s="7" t="s">
        <v>1441</v>
      </c>
      <c r="H99" s="7" t="s">
        <v>2684</v>
      </c>
      <c r="I99" s="7" t="s">
        <v>2685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1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1</v>
      </c>
      <c r="Y99" s="5">
        <v>0</v>
      </c>
      <c r="Z99" s="5">
        <v>0</v>
      </c>
      <c r="AA99" s="5">
        <v>0</v>
      </c>
      <c r="AB99" s="5">
        <v>0</v>
      </c>
    </row>
    <row r="100" spans="1:28" ht="45" x14ac:dyDescent="0.25">
      <c r="A100" s="2">
        <v>771</v>
      </c>
      <c r="B100" s="5">
        <v>2.6595744680851061E-2</v>
      </c>
      <c r="C100" s="5">
        <v>2.891566265060241E-2</v>
      </c>
      <c r="D100" s="5">
        <v>2E-3</v>
      </c>
      <c r="E100" s="5">
        <v>7.573415765069552E-3</v>
      </c>
      <c r="F100" s="7" t="s">
        <v>1532</v>
      </c>
      <c r="G100" s="7" t="s">
        <v>1533</v>
      </c>
      <c r="H100" s="7" t="s">
        <v>2684</v>
      </c>
      <c r="I100" s="7" t="s">
        <v>2685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1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1</v>
      </c>
      <c r="Y100" s="5">
        <v>0</v>
      </c>
      <c r="Z100" s="5">
        <v>0</v>
      </c>
      <c r="AA100" s="5">
        <v>0</v>
      </c>
      <c r="AB100" s="5">
        <v>0</v>
      </c>
    </row>
    <row r="101" spans="1:28" ht="75" x14ac:dyDescent="0.25">
      <c r="A101" s="5">
        <v>913</v>
      </c>
      <c r="B101" s="5">
        <v>3.5106382978723413E-2</v>
      </c>
      <c r="C101" s="5">
        <v>2.7710843373493971E-2</v>
      </c>
      <c r="D101" s="5">
        <v>5.0000000000000001E-3</v>
      </c>
      <c r="E101" s="5">
        <v>7.2642967542503869E-3</v>
      </c>
      <c r="F101" s="7" t="s">
        <v>1812</v>
      </c>
      <c r="G101" s="7" t="s">
        <v>1813</v>
      </c>
      <c r="H101" s="7" t="s">
        <v>2684</v>
      </c>
      <c r="I101" s="7" t="s">
        <v>2685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1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1</v>
      </c>
      <c r="Y101" s="5">
        <v>0</v>
      </c>
      <c r="Z101" s="5">
        <v>0</v>
      </c>
      <c r="AA101" s="5">
        <v>0</v>
      </c>
      <c r="AB101" s="5">
        <v>0</v>
      </c>
    </row>
    <row r="102" spans="1:28" ht="45" x14ac:dyDescent="0.25">
      <c r="A102" s="5">
        <v>969</v>
      </c>
      <c r="B102" s="5">
        <v>7.9787234042553196E-2</v>
      </c>
      <c r="C102" s="5">
        <v>3.012048192771084E-2</v>
      </c>
      <c r="D102" s="5">
        <v>2.8000000000000001E-2</v>
      </c>
      <c r="E102" s="5">
        <v>1.5455950540958271E-2</v>
      </c>
      <c r="F102" s="7" t="s">
        <v>1919</v>
      </c>
      <c r="G102" s="7" t="s">
        <v>1920</v>
      </c>
      <c r="H102" s="7" t="s">
        <v>2683</v>
      </c>
      <c r="I102" s="7" t="s">
        <v>2685</v>
      </c>
      <c r="J102" s="5">
        <v>0</v>
      </c>
      <c r="K102" s="5">
        <v>0</v>
      </c>
      <c r="L102" s="5">
        <v>0</v>
      </c>
      <c r="M102" s="5">
        <v>1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1</v>
      </c>
      <c r="Y102" s="5">
        <v>0</v>
      </c>
      <c r="Z102" s="5">
        <v>0</v>
      </c>
      <c r="AA102" s="5">
        <v>0</v>
      </c>
      <c r="AB102" s="5">
        <v>0</v>
      </c>
    </row>
    <row r="103" spans="1:28" ht="45" x14ac:dyDescent="0.25">
      <c r="A103" s="5">
        <v>1019</v>
      </c>
      <c r="B103" s="5">
        <v>3.5106382978723413E-2</v>
      </c>
      <c r="C103" s="5">
        <v>5.4216867469879519E-2</v>
      </c>
      <c r="D103" s="5">
        <v>4.0000000000000001E-3</v>
      </c>
      <c r="E103" s="5">
        <v>4.3276661514683153E-3</v>
      </c>
      <c r="F103" s="7" t="s">
        <v>2018</v>
      </c>
      <c r="G103" s="7" t="s">
        <v>2019</v>
      </c>
      <c r="H103" s="7" t="s">
        <v>2683</v>
      </c>
      <c r="I103" s="7" t="s">
        <v>2685</v>
      </c>
      <c r="J103" s="5">
        <v>0</v>
      </c>
      <c r="K103" s="5">
        <v>0</v>
      </c>
      <c r="L103" s="5">
        <v>0</v>
      </c>
      <c r="M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</v>
      </c>
      <c r="Y103" s="5">
        <v>0</v>
      </c>
      <c r="Z103" s="5">
        <v>0</v>
      </c>
      <c r="AA103" s="5">
        <v>0</v>
      </c>
      <c r="AB103" s="5">
        <v>0</v>
      </c>
    </row>
    <row r="104" spans="1:28" ht="45" x14ac:dyDescent="0.25">
      <c r="A104" s="5">
        <v>1105</v>
      </c>
      <c r="B104" s="5">
        <v>2.3404255319148939E-2</v>
      </c>
      <c r="C104" s="5">
        <v>2.7710843373493971E-2</v>
      </c>
      <c r="D104" s="5">
        <v>3.0000000000000001E-3</v>
      </c>
      <c r="E104" s="5">
        <v>6.1823802163833066E-3</v>
      </c>
      <c r="F104" s="7" t="s">
        <v>2183</v>
      </c>
      <c r="G104" s="7" t="s">
        <v>2184</v>
      </c>
      <c r="H104" s="7" t="s">
        <v>2684</v>
      </c>
      <c r="I104" s="7" t="s">
        <v>2685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1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1</v>
      </c>
      <c r="Y104" s="5">
        <v>0</v>
      </c>
      <c r="Z104" s="5">
        <v>0</v>
      </c>
      <c r="AA104" s="5">
        <v>0</v>
      </c>
      <c r="AB104" s="5">
        <v>0</v>
      </c>
    </row>
    <row r="105" spans="1:28" ht="45" x14ac:dyDescent="0.25">
      <c r="A105" s="5">
        <v>1106</v>
      </c>
      <c r="B105" s="5">
        <v>9.5744680851063829E-3</v>
      </c>
      <c r="C105" s="5">
        <v>1.204819277108434E-2</v>
      </c>
      <c r="D105" s="5">
        <v>1E-3</v>
      </c>
      <c r="E105" s="5">
        <v>2.6275115919629061E-3</v>
      </c>
      <c r="F105" s="7" t="s">
        <v>2185</v>
      </c>
      <c r="G105" s="7" t="s">
        <v>2186</v>
      </c>
      <c r="H105" s="7" t="s">
        <v>2684</v>
      </c>
      <c r="I105" s="7" t="s">
        <v>2685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1</v>
      </c>
      <c r="Y105" s="5">
        <v>0</v>
      </c>
      <c r="Z105" s="5">
        <v>0</v>
      </c>
      <c r="AA105" s="5">
        <v>0</v>
      </c>
      <c r="AB105" s="5">
        <v>0</v>
      </c>
    </row>
    <row r="106" spans="1:28" ht="30" x14ac:dyDescent="0.25">
      <c r="A106" s="5">
        <v>1107</v>
      </c>
      <c r="B106" s="5">
        <v>3.1914893617021267E-2</v>
      </c>
      <c r="C106" s="5">
        <v>2.289156626506024E-2</v>
      </c>
      <c r="D106" s="5">
        <v>5.0000000000000001E-3</v>
      </c>
      <c r="E106" s="5">
        <v>6.8006182380216376E-3</v>
      </c>
      <c r="F106" s="7" t="s">
        <v>2187</v>
      </c>
      <c r="G106" s="7" t="s">
        <v>2188</v>
      </c>
      <c r="H106" s="7" t="s">
        <v>2684</v>
      </c>
      <c r="I106" s="7" t="s">
        <v>2685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1</v>
      </c>
      <c r="Y106" s="5">
        <v>0</v>
      </c>
      <c r="Z106" s="5">
        <v>0</v>
      </c>
      <c r="AA106" s="5">
        <v>0</v>
      </c>
      <c r="AB106" s="5">
        <v>0</v>
      </c>
    </row>
    <row r="107" spans="1:28" ht="45" x14ac:dyDescent="0.25">
      <c r="A107" s="5">
        <v>1108</v>
      </c>
      <c r="B107" s="5">
        <v>2.021276595744681E-2</v>
      </c>
      <c r="C107" s="5">
        <v>1.566265060240964E-2</v>
      </c>
      <c r="D107" s="5">
        <v>2E-3</v>
      </c>
      <c r="E107" s="5">
        <v>4.4822256568778978E-3</v>
      </c>
      <c r="F107" s="7" t="s">
        <v>2189</v>
      </c>
      <c r="G107" s="7" t="s">
        <v>2190</v>
      </c>
      <c r="H107" s="7" t="s">
        <v>2684</v>
      </c>
      <c r="I107" s="7" t="s">
        <v>2685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1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1</v>
      </c>
      <c r="Y107" s="5">
        <v>0</v>
      </c>
      <c r="Z107" s="5">
        <v>0</v>
      </c>
      <c r="AA107" s="5">
        <v>0</v>
      </c>
      <c r="AB107" s="5">
        <v>0</v>
      </c>
    </row>
    <row r="108" spans="1:28" ht="30" x14ac:dyDescent="0.25">
      <c r="A108" s="5">
        <v>1113</v>
      </c>
      <c r="B108" s="5">
        <v>3.085106382978723E-2</v>
      </c>
      <c r="C108" s="5">
        <v>8.4337349397590362E-3</v>
      </c>
      <c r="D108" s="5">
        <v>6.0000000000000001E-3</v>
      </c>
      <c r="E108" s="5">
        <v>7.7279752704791354E-3</v>
      </c>
      <c r="F108" s="7" t="s">
        <v>2199</v>
      </c>
      <c r="G108" s="7" t="s">
        <v>2200</v>
      </c>
      <c r="H108" s="7" t="s">
        <v>2696</v>
      </c>
      <c r="I108" s="7" t="s">
        <v>2685</v>
      </c>
      <c r="J108" s="5">
        <v>0</v>
      </c>
      <c r="K108" s="5">
        <v>1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1</v>
      </c>
      <c r="Y108" s="5">
        <v>0</v>
      </c>
      <c r="Z108" s="5">
        <v>0</v>
      </c>
      <c r="AA108" s="5">
        <v>0</v>
      </c>
      <c r="AB108" s="5">
        <v>0</v>
      </c>
    </row>
    <row r="109" spans="1:28" ht="45" x14ac:dyDescent="0.25">
      <c r="A109" s="5">
        <v>1114</v>
      </c>
      <c r="B109" s="5">
        <v>5.2127659574468077E-2</v>
      </c>
      <c r="C109" s="5">
        <v>2.0481927710843371E-2</v>
      </c>
      <c r="D109" s="5">
        <v>3.0000000000000001E-3</v>
      </c>
      <c r="E109" s="5">
        <v>1.5146831530139101E-2</v>
      </c>
      <c r="F109" s="7" t="s">
        <v>2201</v>
      </c>
      <c r="G109" s="7" t="s">
        <v>2202</v>
      </c>
      <c r="H109" s="7" t="s">
        <v>2683</v>
      </c>
      <c r="I109" s="7" t="s">
        <v>2685</v>
      </c>
      <c r="J109" s="5">
        <v>0</v>
      </c>
      <c r="K109" s="5">
        <v>0</v>
      </c>
      <c r="L109" s="5">
        <v>0</v>
      </c>
      <c r="M109" s="5">
        <v>1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1</v>
      </c>
      <c r="Y109" s="5">
        <v>0</v>
      </c>
      <c r="Z109" s="5">
        <v>0</v>
      </c>
      <c r="AA109" s="5">
        <v>0</v>
      </c>
      <c r="AB109" s="5">
        <v>0</v>
      </c>
    </row>
    <row r="110" spans="1:28" ht="30" x14ac:dyDescent="0.25">
      <c r="A110" s="5">
        <v>1115</v>
      </c>
      <c r="B110" s="5">
        <v>0.1893617021276596</v>
      </c>
      <c r="C110" s="5">
        <v>3.1325301204819279E-2</v>
      </c>
      <c r="D110" s="5">
        <v>0.13900000000000001</v>
      </c>
      <c r="E110" s="5">
        <v>1.6383307573415759E-2</v>
      </c>
      <c r="F110" s="7" t="s">
        <v>2203</v>
      </c>
      <c r="G110" s="7" t="s">
        <v>2204</v>
      </c>
      <c r="H110" s="7" t="s">
        <v>2696</v>
      </c>
      <c r="I110" s="7" t="s">
        <v>2685</v>
      </c>
      <c r="J110" s="5">
        <v>0</v>
      </c>
      <c r="K110" s="5">
        <v>1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1</v>
      </c>
      <c r="Y110" s="5">
        <v>0</v>
      </c>
      <c r="Z110" s="5">
        <v>0</v>
      </c>
      <c r="AA110" s="5">
        <v>0</v>
      </c>
      <c r="AB110" s="5">
        <v>0</v>
      </c>
    </row>
    <row r="111" spans="1:28" ht="30" x14ac:dyDescent="0.25">
      <c r="A111" s="5">
        <v>1116</v>
      </c>
      <c r="B111" s="5">
        <v>0.1414893617021277</v>
      </c>
      <c r="C111" s="5">
        <v>8.7951807228915671E-2</v>
      </c>
      <c r="D111" s="5">
        <v>6.6000000000000003E-2</v>
      </c>
      <c r="E111" s="5">
        <v>1.7310664605873261E-2</v>
      </c>
      <c r="F111" s="7" t="s">
        <v>2205</v>
      </c>
      <c r="G111" s="7" t="s">
        <v>2206</v>
      </c>
      <c r="H111" s="7" t="s">
        <v>2696</v>
      </c>
      <c r="I111" s="7" t="s">
        <v>2685</v>
      </c>
      <c r="J111" s="5">
        <v>0</v>
      </c>
      <c r="K111" s="5">
        <v>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1</v>
      </c>
      <c r="Y111" s="5">
        <v>0</v>
      </c>
      <c r="Z111" s="5">
        <v>0</v>
      </c>
      <c r="AA111" s="5">
        <v>0</v>
      </c>
      <c r="AB111" s="5">
        <v>0</v>
      </c>
    </row>
    <row r="112" spans="1:28" ht="30" x14ac:dyDescent="0.25">
      <c r="A112" s="5">
        <v>1119</v>
      </c>
      <c r="B112" s="5">
        <v>5.2127659574468077E-2</v>
      </c>
      <c r="C112" s="5">
        <v>3.7349397590361447E-2</v>
      </c>
      <c r="D112" s="5">
        <v>2.5000000000000001E-2</v>
      </c>
      <c r="E112" s="5">
        <v>5.5641421947449756E-3</v>
      </c>
      <c r="F112" s="7" t="s">
        <v>2211</v>
      </c>
      <c r="G112" s="7" t="s">
        <v>2212</v>
      </c>
      <c r="H112" s="7" t="s">
        <v>2696</v>
      </c>
      <c r="I112" s="7" t="s">
        <v>2685</v>
      </c>
      <c r="J112" s="5">
        <v>0</v>
      </c>
      <c r="K112" s="5">
        <v>1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1</v>
      </c>
      <c r="Y112" s="5">
        <v>0</v>
      </c>
      <c r="Z112" s="5">
        <v>0</v>
      </c>
      <c r="AA112" s="5">
        <v>0</v>
      </c>
      <c r="AB112" s="5">
        <v>0</v>
      </c>
    </row>
    <row r="113" spans="1:28" ht="60" x14ac:dyDescent="0.25">
      <c r="A113" s="5">
        <v>1120</v>
      </c>
      <c r="B113" s="5">
        <v>2.8723404255319149E-2</v>
      </c>
      <c r="C113" s="5">
        <v>1.566265060240964E-2</v>
      </c>
      <c r="D113" s="5">
        <v>0.02</v>
      </c>
      <c r="E113" s="5">
        <v>1.5455950540958271E-3</v>
      </c>
      <c r="F113" s="7" t="s">
        <v>2213</v>
      </c>
      <c r="G113" s="7" t="s">
        <v>2214</v>
      </c>
      <c r="H113" s="7" t="s">
        <v>2696</v>
      </c>
      <c r="I113" s="7" t="s">
        <v>2685</v>
      </c>
      <c r="J113" s="5">
        <v>0</v>
      </c>
      <c r="K113" s="5">
        <v>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1</v>
      </c>
      <c r="Y113" s="5">
        <v>0</v>
      </c>
      <c r="Z113" s="5">
        <v>0</v>
      </c>
      <c r="AA113" s="5">
        <v>0</v>
      </c>
      <c r="AB113" s="5">
        <v>0</v>
      </c>
    </row>
    <row r="114" spans="1:28" ht="45" x14ac:dyDescent="0.25">
      <c r="A114" s="5">
        <v>1122</v>
      </c>
      <c r="B114" s="5">
        <v>6.063829787234043E-2</v>
      </c>
      <c r="C114" s="5">
        <v>6.5060240963855431E-2</v>
      </c>
      <c r="D114" s="5">
        <v>2.5999999999999999E-2</v>
      </c>
      <c r="E114" s="5">
        <v>4.7913446676970638E-3</v>
      </c>
      <c r="F114" s="7" t="s">
        <v>2217</v>
      </c>
      <c r="G114" s="7" t="s">
        <v>2218</v>
      </c>
      <c r="H114" s="7" t="s">
        <v>2696</v>
      </c>
      <c r="I114" s="7" t="s">
        <v>2685</v>
      </c>
      <c r="J114" s="5">
        <v>0</v>
      </c>
      <c r="K114" s="5">
        <v>1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1</v>
      </c>
      <c r="Y114" s="5">
        <v>0</v>
      </c>
      <c r="Z114" s="5">
        <v>0</v>
      </c>
      <c r="AA114" s="5">
        <v>0</v>
      </c>
      <c r="AB114" s="5">
        <v>0</v>
      </c>
    </row>
    <row r="115" spans="1:28" ht="90" x14ac:dyDescent="0.25">
      <c r="A115" s="2">
        <v>1124</v>
      </c>
      <c r="B115" s="5">
        <v>1.8085106382978729E-2</v>
      </c>
      <c r="C115" s="5">
        <v>2.0481927710843371E-2</v>
      </c>
      <c r="D115" s="5">
        <v>3.0000000000000001E-3</v>
      </c>
      <c r="E115" s="5">
        <v>4.6367851622874804E-3</v>
      </c>
      <c r="F115" s="7" t="s">
        <v>2221</v>
      </c>
      <c r="G115" s="7" t="s">
        <v>2222</v>
      </c>
      <c r="H115" s="2" t="s">
        <v>2684</v>
      </c>
      <c r="I115" s="2" t="s">
        <v>2685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1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1</v>
      </c>
      <c r="Y115" s="5">
        <v>0</v>
      </c>
      <c r="Z115" s="5">
        <v>0</v>
      </c>
      <c r="AA115" s="5">
        <v>0</v>
      </c>
      <c r="AB115" s="5">
        <v>0</v>
      </c>
    </row>
    <row r="116" spans="1:28" ht="45" x14ac:dyDescent="0.25">
      <c r="A116" s="5">
        <v>1150</v>
      </c>
      <c r="B116" s="5">
        <v>1.5957446808510641E-2</v>
      </c>
      <c r="C116" s="5">
        <v>7.2289156626506026E-3</v>
      </c>
      <c r="D116" s="5">
        <v>1E-3</v>
      </c>
      <c r="E116" s="5">
        <v>4.7913446676970638E-3</v>
      </c>
      <c r="F116" s="7" t="s">
        <v>2271</v>
      </c>
      <c r="G116" s="7" t="s">
        <v>2272</v>
      </c>
      <c r="H116" s="7" t="s">
        <v>2696</v>
      </c>
      <c r="I116" s="7" t="s">
        <v>2685</v>
      </c>
      <c r="J116" s="5">
        <v>0</v>
      </c>
      <c r="K116" s="5">
        <v>1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1</v>
      </c>
      <c r="Y116" s="5">
        <v>0</v>
      </c>
      <c r="Z116" s="5">
        <v>0</v>
      </c>
      <c r="AA116" s="5">
        <v>0</v>
      </c>
      <c r="AB116" s="5">
        <v>0</v>
      </c>
    </row>
    <row r="117" spans="1:28" ht="30" x14ac:dyDescent="0.25">
      <c r="A117" s="5">
        <v>1210</v>
      </c>
      <c r="B117" s="5">
        <v>0.31914893617021278</v>
      </c>
      <c r="C117" s="5">
        <v>0.34096385542168678</v>
      </c>
      <c r="D117" s="5">
        <v>4.8000000000000001E-2</v>
      </c>
      <c r="E117" s="5">
        <v>8.2843894899536322E-2</v>
      </c>
      <c r="F117" s="7" t="s">
        <v>2391</v>
      </c>
      <c r="G117" s="7" t="s">
        <v>2392</v>
      </c>
      <c r="H117" s="7" t="s">
        <v>2696</v>
      </c>
      <c r="I117" s="7" t="s">
        <v>2685</v>
      </c>
      <c r="J117" s="5">
        <v>0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1</v>
      </c>
      <c r="Y117" s="5">
        <v>0</v>
      </c>
      <c r="Z117" s="5">
        <v>0</v>
      </c>
      <c r="AA117" s="5">
        <v>0</v>
      </c>
      <c r="AB117" s="5">
        <v>0</v>
      </c>
    </row>
    <row r="118" spans="1:28" ht="45" x14ac:dyDescent="0.25">
      <c r="A118" s="5">
        <v>1211</v>
      </c>
      <c r="B118" s="5">
        <v>0.31808510638297871</v>
      </c>
      <c r="C118" s="5">
        <v>0.29036144578313261</v>
      </c>
      <c r="D118" s="5">
        <v>3.5000000000000003E-2</v>
      </c>
      <c r="E118" s="5">
        <v>9.1190108191653782E-2</v>
      </c>
      <c r="F118" s="7" t="s">
        <v>2393</v>
      </c>
      <c r="G118" s="7" t="s">
        <v>2394</v>
      </c>
      <c r="H118" s="7" t="s">
        <v>2696</v>
      </c>
      <c r="I118" s="7" t="s">
        <v>2685</v>
      </c>
      <c r="J118" s="5">
        <v>0</v>
      </c>
      <c r="K118" s="5">
        <v>1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1</v>
      </c>
      <c r="Y118" s="5">
        <v>0</v>
      </c>
      <c r="Z118" s="5">
        <v>0</v>
      </c>
      <c r="AA118" s="5">
        <v>0</v>
      </c>
      <c r="AB118" s="5">
        <v>0</v>
      </c>
    </row>
    <row r="119" spans="1:28" ht="30" x14ac:dyDescent="0.25">
      <c r="A119" s="5">
        <v>1290</v>
      </c>
      <c r="B119" s="5">
        <v>6.2765957446808518E-2</v>
      </c>
      <c r="C119" s="5">
        <v>3.4939759036144581E-2</v>
      </c>
      <c r="D119" s="5">
        <v>3.0000000000000001E-3</v>
      </c>
      <c r="E119" s="5">
        <v>2.1483771251931991E-2</v>
      </c>
      <c r="F119" s="7" t="s">
        <v>2548</v>
      </c>
      <c r="G119" s="7" t="s">
        <v>2549</v>
      </c>
      <c r="H119" s="7" t="s">
        <v>2683</v>
      </c>
      <c r="I119" s="7" t="s">
        <v>2685</v>
      </c>
      <c r="J119" s="5">
        <v>0</v>
      </c>
      <c r="K119" s="5">
        <v>0</v>
      </c>
      <c r="L119" s="5">
        <v>0</v>
      </c>
      <c r="M119" s="5">
        <v>1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1</v>
      </c>
      <c r="Y119" s="5">
        <v>0</v>
      </c>
      <c r="Z119" s="5">
        <v>0</v>
      </c>
      <c r="AA119" s="5">
        <v>0</v>
      </c>
      <c r="AB119" s="5">
        <v>0</v>
      </c>
    </row>
    <row r="120" spans="1:28" ht="30" x14ac:dyDescent="0.25">
      <c r="A120" s="5">
        <v>1303</v>
      </c>
      <c r="B120" s="5">
        <v>2.1276595744680851E-2</v>
      </c>
      <c r="C120" s="5">
        <v>1.204819277108434E-2</v>
      </c>
      <c r="D120" s="5">
        <v>2E-3</v>
      </c>
      <c r="E120" s="5">
        <v>5.4095826893353939E-3</v>
      </c>
      <c r="F120" s="7" t="s">
        <v>2574</v>
      </c>
      <c r="G120" s="7" t="s">
        <v>2575</v>
      </c>
      <c r="H120" s="7" t="s">
        <v>2696</v>
      </c>
      <c r="I120" s="7" t="s">
        <v>2685</v>
      </c>
      <c r="J120" s="5">
        <v>0</v>
      </c>
      <c r="K120" s="5">
        <v>1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1</v>
      </c>
      <c r="Y120" s="5">
        <v>0</v>
      </c>
      <c r="Z120" s="5">
        <v>0</v>
      </c>
      <c r="AA120" s="5">
        <v>0</v>
      </c>
      <c r="AB120" s="5">
        <v>0</v>
      </c>
    </row>
    <row r="121" spans="1:28" ht="30" x14ac:dyDescent="0.25">
      <c r="A121" s="5">
        <v>1304</v>
      </c>
      <c r="B121" s="5">
        <v>2.1276595744680851E-2</v>
      </c>
      <c r="C121" s="5">
        <v>1.204819277108434E-2</v>
      </c>
      <c r="D121" s="5">
        <v>3.0000000000000001E-3</v>
      </c>
      <c r="E121" s="5">
        <v>6.4914992272024734E-3</v>
      </c>
      <c r="F121" s="7" t="s">
        <v>2576</v>
      </c>
      <c r="G121" s="7" t="s">
        <v>2577</v>
      </c>
      <c r="H121" s="7" t="s">
        <v>2683</v>
      </c>
      <c r="I121" s="7" t="s">
        <v>2685</v>
      </c>
      <c r="J121" s="5">
        <v>0</v>
      </c>
      <c r="K121" s="5">
        <v>0</v>
      </c>
      <c r="L121" s="5">
        <v>0</v>
      </c>
      <c r="M121" s="5">
        <v>1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1</v>
      </c>
      <c r="Y121" s="5">
        <v>0</v>
      </c>
      <c r="Z121" s="5">
        <v>0</v>
      </c>
      <c r="AA121" s="5">
        <v>0</v>
      </c>
      <c r="AB121" s="5">
        <v>0</v>
      </c>
    </row>
    <row r="122" spans="1:28" ht="30" x14ac:dyDescent="0.25">
      <c r="A122" s="5">
        <v>1305</v>
      </c>
      <c r="B122" s="5">
        <v>2.553191489361702E-2</v>
      </c>
      <c r="C122" s="5">
        <v>1.566265060240964E-2</v>
      </c>
      <c r="D122" s="5">
        <v>5.0000000000000001E-3</v>
      </c>
      <c r="E122" s="5">
        <v>7.2642967542503869E-3</v>
      </c>
      <c r="F122" s="7" t="s">
        <v>2578</v>
      </c>
      <c r="G122" s="7" t="s">
        <v>2579</v>
      </c>
      <c r="H122" s="7" t="s">
        <v>2683</v>
      </c>
      <c r="I122" s="7" t="s">
        <v>2685</v>
      </c>
      <c r="J122" s="5">
        <v>0</v>
      </c>
      <c r="K122" s="5">
        <v>0</v>
      </c>
      <c r="L122" s="5">
        <v>0</v>
      </c>
      <c r="M122" s="5">
        <v>1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1</v>
      </c>
      <c r="Y122" s="5">
        <v>0</v>
      </c>
      <c r="Z122" s="5">
        <v>0</v>
      </c>
      <c r="AA122" s="5">
        <v>0</v>
      </c>
      <c r="AB122" s="5">
        <v>0</v>
      </c>
    </row>
    <row r="123" spans="1:28" ht="45" x14ac:dyDescent="0.25">
      <c r="A123" s="5">
        <v>1306</v>
      </c>
      <c r="B123" s="5">
        <v>2.553191489361702E-2</v>
      </c>
      <c r="C123" s="5">
        <v>2.4096385542168679E-2</v>
      </c>
      <c r="D123" s="5">
        <v>6.9999999999999993E-3</v>
      </c>
      <c r="E123" s="5">
        <v>5.100463678516228E-3</v>
      </c>
      <c r="F123" s="7" t="s">
        <v>2580</v>
      </c>
      <c r="G123" s="7" t="s">
        <v>2581</v>
      </c>
      <c r="H123" s="7" t="s">
        <v>2683</v>
      </c>
      <c r="I123" s="7" t="s">
        <v>2685</v>
      </c>
      <c r="J123" s="5">
        <v>0</v>
      </c>
      <c r="K123" s="5">
        <v>0</v>
      </c>
      <c r="L123" s="5">
        <v>0</v>
      </c>
      <c r="M123" s="5">
        <v>1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1</v>
      </c>
      <c r="Y123" s="5">
        <v>0</v>
      </c>
      <c r="Z123" s="5">
        <v>0</v>
      </c>
      <c r="AA123" s="5">
        <v>0</v>
      </c>
      <c r="AB123" s="5">
        <v>0</v>
      </c>
    </row>
    <row r="124" spans="1:28" ht="90" x14ac:dyDescent="0.25">
      <c r="A124" s="5">
        <v>1308</v>
      </c>
      <c r="B124" s="5">
        <v>5.1063829787234047E-2</v>
      </c>
      <c r="C124" s="5">
        <v>1.6867469879518069E-2</v>
      </c>
      <c r="D124" s="5">
        <v>4.2000000000000003E-2</v>
      </c>
      <c r="E124" s="5">
        <v>4.0185471406491502E-3</v>
      </c>
      <c r="F124" s="7" t="s">
        <v>2584</v>
      </c>
      <c r="G124" s="7" t="s">
        <v>2585</v>
      </c>
      <c r="H124" s="7" t="s">
        <v>2683</v>
      </c>
      <c r="I124" s="7" t="s">
        <v>2685</v>
      </c>
      <c r="J124" s="5">
        <v>0</v>
      </c>
      <c r="K124" s="5">
        <v>0</v>
      </c>
      <c r="L124" s="5">
        <v>0</v>
      </c>
      <c r="M124" s="5">
        <v>1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1</v>
      </c>
      <c r="Y124" s="5">
        <v>0</v>
      </c>
      <c r="Z124" s="5">
        <v>0</v>
      </c>
      <c r="AA124" s="5">
        <v>0</v>
      </c>
      <c r="AB124" s="5">
        <v>0</v>
      </c>
    </row>
    <row r="125" spans="1:28" ht="45" x14ac:dyDescent="0.25">
      <c r="A125" s="5">
        <v>1318</v>
      </c>
      <c r="B125" s="5">
        <v>0.19574468085106381</v>
      </c>
      <c r="C125" s="5">
        <v>1.6867469879518069E-2</v>
      </c>
      <c r="D125" s="5">
        <v>3.0000000000000001E-3</v>
      </c>
      <c r="E125" s="5">
        <v>3.4775888717156103E-2</v>
      </c>
      <c r="F125" s="7" t="s">
        <v>2603</v>
      </c>
      <c r="G125" s="7" t="s">
        <v>626</v>
      </c>
      <c r="H125" s="7" t="s">
        <v>2688</v>
      </c>
      <c r="I125" s="7" t="s">
        <v>2685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1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1</v>
      </c>
      <c r="Y125" s="5">
        <v>0</v>
      </c>
      <c r="Z125" s="5">
        <v>0</v>
      </c>
      <c r="AA125" s="5">
        <v>0</v>
      </c>
      <c r="AB125" s="5">
        <v>0</v>
      </c>
    </row>
    <row r="126" spans="1:28" ht="45" x14ac:dyDescent="0.25">
      <c r="A126" s="5">
        <v>1342</v>
      </c>
      <c r="B126" s="5">
        <v>4.4680851063829789E-2</v>
      </c>
      <c r="C126" s="5">
        <v>1.445783132530121E-2</v>
      </c>
      <c r="D126" s="5">
        <v>6.0000000000000001E-3</v>
      </c>
      <c r="E126" s="5">
        <v>1.437403400309119E-2</v>
      </c>
      <c r="F126" s="7" t="s">
        <v>2650</v>
      </c>
      <c r="G126" s="7" t="s">
        <v>2651</v>
      </c>
      <c r="H126" s="7" t="s">
        <v>2688</v>
      </c>
      <c r="I126" s="7" t="s">
        <v>2685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1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1</v>
      </c>
      <c r="Y126" s="5">
        <v>0</v>
      </c>
      <c r="Z126" s="5">
        <v>0</v>
      </c>
      <c r="AA126" s="5">
        <v>0</v>
      </c>
      <c r="AB126" s="5">
        <v>0</v>
      </c>
    </row>
    <row r="127" spans="1:28" ht="45" x14ac:dyDescent="0.25">
      <c r="A127" s="5">
        <v>1344</v>
      </c>
      <c r="B127" s="5">
        <v>2.9787234042553189E-2</v>
      </c>
      <c r="C127" s="5">
        <v>8.4337349397590362E-3</v>
      </c>
      <c r="D127" s="5">
        <v>5.0000000000000001E-3</v>
      </c>
      <c r="E127" s="5">
        <v>9.7372488408037083E-3</v>
      </c>
      <c r="F127" s="7" t="s">
        <v>2654</v>
      </c>
      <c r="G127" s="7" t="s">
        <v>2655</v>
      </c>
      <c r="H127" s="7" t="s">
        <v>2683</v>
      </c>
      <c r="I127" s="7" t="s">
        <v>2685</v>
      </c>
      <c r="J127" s="5">
        <v>0</v>
      </c>
      <c r="K127" s="5">
        <v>0</v>
      </c>
      <c r="L127" s="5">
        <v>0</v>
      </c>
      <c r="M127" s="5">
        <v>1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1</v>
      </c>
      <c r="Y127" s="5">
        <v>0</v>
      </c>
      <c r="Z127" s="5">
        <v>0</v>
      </c>
      <c r="AA127" s="5">
        <v>0</v>
      </c>
      <c r="AB127" s="5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FD42-9ACA-4E94-B69F-813B9D37A54E}">
  <dimension ref="A1:K20"/>
  <sheetViews>
    <sheetView tabSelected="1" topLeftCell="A12" workbookViewId="0">
      <selection activeCell="F19" sqref="F19"/>
    </sheetView>
  </sheetViews>
  <sheetFormatPr defaultRowHeight="15" x14ac:dyDescent="0.25"/>
  <cols>
    <col min="1" max="1" width="22.28515625" bestFit="1" customWidth="1"/>
    <col min="2" max="3" width="23.85546875" bestFit="1" customWidth="1"/>
    <col min="4" max="4" width="23.5703125" bestFit="1" customWidth="1"/>
    <col min="5" max="5" width="23.7109375" bestFit="1" customWidth="1"/>
    <col min="6" max="6" width="24.7109375" bestFit="1" customWidth="1"/>
    <col min="7" max="7" width="24.140625" bestFit="1" customWidth="1"/>
    <col min="8" max="9" width="22.28515625" bestFit="1" customWidth="1"/>
    <col min="11" max="11" width="11.42578125" bestFit="1" customWidth="1"/>
  </cols>
  <sheetData>
    <row r="1" spans="1:11" ht="30" customHeight="1" x14ac:dyDescent="0.25">
      <c r="A1" s="9" t="s">
        <v>2700</v>
      </c>
      <c r="B1" s="9" t="s">
        <v>2701</v>
      </c>
      <c r="C1" s="9" t="s">
        <v>2702</v>
      </c>
      <c r="D1" s="9" t="s">
        <v>2703</v>
      </c>
      <c r="E1" s="9" t="s">
        <v>2704</v>
      </c>
      <c r="G1" s="9" t="s">
        <v>2700</v>
      </c>
      <c r="H1" s="9" t="s">
        <v>2701</v>
      </c>
      <c r="I1" s="9" t="s">
        <v>2702</v>
      </c>
      <c r="J1" s="9" t="s">
        <v>2703</v>
      </c>
      <c r="K1" s="9" t="s">
        <v>2704</v>
      </c>
    </row>
    <row r="2" spans="1:11" ht="30" customHeight="1" x14ac:dyDescent="0.25">
      <c r="A2" s="10" t="s">
        <v>467</v>
      </c>
      <c r="B2" s="5">
        <v>0.22021276595744679</v>
      </c>
      <c r="C2" s="5">
        <v>0.22650602409638559</v>
      </c>
      <c r="D2" s="5">
        <v>0.14000000000000001</v>
      </c>
      <c r="E2" s="5">
        <v>0</v>
      </c>
      <c r="G2" s="10" t="s">
        <v>2183</v>
      </c>
      <c r="H2" s="5">
        <v>2.3404255319148939E-2</v>
      </c>
      <c r="I2" s="5">
        <v>2.7710843373493971E-2</v>
      </c>
      <c r="J2" s="5">
        <v>3.0000000000000001E-3</v>
      </c>
      <c r="K2" s="5">
        <v>6.1823802163833066E-3</v>
      </c>
    </row>
    <row r="3" spans="1:11" ht="28.5" customHeight="1" x14ac:dyDescent="0.25">
      <c r="A3" s="10" t="s">
        <v>2705</v>
      </c>
      <c r="B3" s="5">
        <v>0.1638297872340426</v>
      </c>
      <c r="C3" s="5">
        <v>0.2</v>
      </c>
      <c r="D3" s="5">
        <v>9.1999999999999998E-2</v>
      </c>
      <c r="E3" s="5">
        <v>0</v>
      </c>
      <c r="G3" s="10" t="s">
        <v>2720</v>
      </c>
      <c r="H3" s="5">
        <v>2.6595744680851061E-2</v>
      </c>
      <c r="I3" s="5">
        <v>2.891566265060241E-2</v>
      </c>
      <c r="J3" s="5">
        <v>2E-3</v>
      </c>
      <c r="K3" s="5">
        <v>7.573415765069552E-3</v>
      </c>
    </row>
    <row r="4" spans="1:11" ht="30" customHeight="1" x14ac:dyDescent="0.25">
      <c r="A4" s="10" t="s">
        <v>65</v>
      </c>
      <c r="B4" s="5">
        <v>0.32127659574468093</v>
      </c>
      <c r="C4" s="5">
        <v>0.21927710843373491</v>
      </c>
      <c r="D4" s="5">
        <v>0.25</v>
      </c>
      <c r="E4" s="5">
        <v>0</v>
      </c>
      <c r="G4" s="10" t="s">
        <v>2721</v>
      </c>
      <c r="H4" s="5">
        <v>2.1276595744680851E-2</v>
      </c>
      <c r="I4" s="5">
        <v>2.0481927710843371E-2</v>
      </c>
      <c r="J4" s="5">
        <v>4.0000000000000001E-3</v>
      </c>
      <c r="K4" s="5">
        <v>5.2550231839258114E-3</v>
      </c>
    </row>
    <row r="5" spans="1:11" ht="30" customHeight="1" x14ac:dyDescent="0.25">
      <c r="A5" s="10" t="s">
        <v>2713</v>
      </c>
      <c r="B5" s="5">
        <v>0.1202127659574468</v>
      </c>
      <c r="C5" s="5">
        <v>0.20481927710843381</v>
      </c>
      <c r="D5" s="5">
        <v>4.4999999999999998E-2</v>
      </c>
      <c r="E5" s="5">
        <v>0</v>
      </c>
      <c r="G5" s="10" t="s">
        <v>1338</v>
      </c>
      <c r="H5" s="5">
        <v>3.7234042553191488E-2</v>
      </c>
      <c r="I5" s="5">
        <v>2.891566265060241E-2</v>
      </c>
      <c r="J5" s="5">
        <v>2E-3</v>
      </c>
      <c r="K5" s="5">
        <v>1.1901081916537871E-2</v>
      </c>
    </row>
    <row r="6" spans="1:11" ht="30" customHeight="1" x14ac:dyDescent="0.25">
      <c r="A6" s="10" t="s">
        <v>463</v>
      </c>
      <c r="B6" s="5">
        <v>8.9361702127659579E-2</v>
      </c>
      <c r="C6" s="5">
        <v>0.2253012048192771</v>
      </c>
      <c r="D6" s="5">
        <v>5.0000000000000001E-3</v>
      </c>
      <c r="E6" s="5">
        <v>0</v>
      </c>
      <c r="G6" s="10" t="s">
        <v>2221</v>
      </c>
      <c r="H6" s="5">
        <v>1.8085106382978729E-2</v>
      </c>
      <c r="I6" s="5">
        <v>2.0481927710843371E-2</v>
      </c>
      <c r="J6" s="5">
        <v>3.0000000000000001E-3</v>
      </c>
      <c r="K6" s="5">
        <v>4.6367851622874804E-3</v>
      </c>
    </row>
    <row r="7" spans="1:11" ht="30" customHeight="1" x14ac:dyDescent="0.25">
      <c r="A7" s="10" t="s">
        <v>2714</v>
      </c>
      <c r="B7" s="5">
        <v>9.6808510638297873E-2</v>
      </c>
      <c r="C7" s="5">
        <v>0.25301204819277112</v>
      </c>
      <c r="D7" s="5">
        <v>2E-3</v>
      </c>
      <c r="E7" s="5">
        <v>1.545595054095827E-4</v>
      </c>
      <c r="G7" s="21" t="s">
        <v>35</v>
      </c>
      <c r="H7" s="5">
        <v>2.6595744680851061E-2</v>
      </c>
      <c r="I7" s="5">
        <v>1.9277108433734941E-2</v>
      </c>
      <c r="J7" s="5">
        <v>2E-3</v>
      </c>
      <c r="K7" s="5">
        <v>8.1916537867078813E-3</v>
      </c>
    </row>
    <row r="8" spans="1:11" ht="14.25" customHeight="1" x14ac:dyDescent="0.25">
      <c r="G8" s="22"/>
      <c r="H8" s="23"/>
      <c r="I8" s="23"/>
      <c r="J8" s="23"/>
      <c r="K8" s="23"/>
    </row>
    <row r="10" spans="1:11" ht="29.25" customHeight="1" x14ac:dyDescent="0.25">
      <c r="A10" s="11" t="s">
        <v>2706</v>
      </c>
      <c r="B10" s="12" t="s">
        <v>2712</v>
      </c>
      <c r="C10" s="12" t="s">
        <v>2707</v>
      </c>
      <c r="D10" s="12" t="s">
        <v>2711</v>
      </c>
      <c r="E10" s="12" t="s">
        <v>2715</v>
      </c>
      <c r="F10" s="12" t="s">
        <v>2716</v>
      </c>
    </row>
    <row r="11" spans="1:11" ht="30.75" customHeight="1" x14ac:dyDescent="0.25">
      <c r="A11" s="13" t="s">
        <v>2708</v>
      </c>
      <c r="B11" s="10">
        <f>1 / (1 + SQRT(SUMXMY2($B$2:$E$2, B3:E3)))</f>
        <v>0.92708594518195198</v>
      </c>
      <c r="C11" s="10">
        <f>1 / (1 + SQRT(SUMXMY2($B$2:$E$2, B4:E4)))</f>
        <v>0.8699032056276913</v>
      </c>
      <c r="D11" s="10">
        <f>1 / (1 + SQRT(SUMXMY2($B$2:$E$2, B5:E5)))</f>
        <v>0.87748114694083912</v>
      </c>
      <c r="E11" s="10">
        <f>1 / (1 + SQRT(SUMXMY2($B$2:$E$2, B6:E6)))</f>
        <v>0.84174245169799278</v>
      </c>
      <c r="F11" s="10">
        <f>1 / (1 + SQRT(SUMXMY2($B$2:$E$2, B7:E7)))</f>
        <v>0.84244821159889494</v>
      </c>
    </row>
    <row r="12" spans="1:11" ht="31.5" customHeight="1" x14ac:dyDescent="0.25">
      <c r="A12" s="9" t="s">
        <v>2709</v>
      </c>
      <c r="B12" s="14" cm="1">
        <f t="array" ref="B12">1 / (1 + SUMPRODUCT(ABS($B$2:$E$2 - B3:E3)))</f>
        <v>0.88426007990755284</v>
      </c>
      <c r="C12" s="14" cm="1">
        <f t="array" ref="C12">1 / (1 + SUMPRODUCT(ABS($B$2:$E$2 - B4:E4)))</f>
        <v>0.82082077869611314</v>
      </c>
      <c r="D12" s="14" cm="1">
        <f t="array" ref="D12">1 / (1 + SUMPRODUCT(ABS($B$2:$E$2 - B5:E5)))</f>
        <v>0.82190424320443622</v>
      </c>
      <c r="E12" s="14" cm="1">
        <f t="array" ref="E12">1 / (1 + SUMPRODUCT(ABS($B$2:$E$2 - B6:E6)))</f>
        <v>0.78923117230468254</v>
      </c>
      <c r="F12" s="14" cm="1">
        <f t="array" ref="F12">1 / (1 + SUMPRODUCT(ABS($B$2:$E$2 - B7:E7)))</f>
        <v>0.77635843304109919</v>
      </c>
    </row>
    <row r="13" spans="1:11" ht="30" customHeight="1" x14ac:dyDescent="0.25">
      <c r="A13" s="15" t="s">
        <v>2710</v>
      </c>
      <c r="B13" s="10">
        <f>SUMPRODUCT(B2:E2,B3:E3)/(SQRT(SUMSQ(B2:E2))*SQRT(SUMSQ(B3:E3)))</f>
        <v>0.99405809554776503</v>
      </c>
      <c r="C13" s="10">
        <f>SUMPRODUCT(B2:E2,B4:E4) / (SQRT(SUMSQ(B2:E2)) * SQRT(SUMSQ(B4:E4)))</f>
        <v>0.97273218147028795</v>
      </c>
      <c r="D13" s="10">
        <f>SUMPRODUCT(B2:E2,B5:E5)/(SQRT(SUMSQ(B2:E2)) * SQRT(SUMSQ(B5:E5)))</f>
        <v>0.94782373685602306</v>
      </c>
      <c r="E13" s="10">
        <f>SUMPRODUCT(B2:E2,B6:E6)/(SQRT(SUMSQ(B2:E2))*SQRT(SUMSQ(B6:E6)))</f>
        <v>0.85247434811000722</v>
      </c>
      <c r="F13" s="10">
        <f>SUMPRODUCT(B2:E2,B7:E7)/(SQRT(SUMSQ(B2:E2))*SQRT(SUMSQ(B7:E7)))</f>
        <v>0.84293801519500988</v>
      </c>
    </row>
    <row r="14" spans="1:11" ht="30" customHeight="1" x14ac:dyDescent="0.25">
      <c r="A14" s="25" t="s">
        <v>2728</v>
      </c>
      <c r="B14" s="10">
        <f>AVERAGE(B11:B13)</f>
        <v>0.93513470687908995</v>
      </c>
      <c r="C14" s="10">
        <f>AVERAGE(C11:C13)</f>
        <v>0.88781872193136413</v>
      </c>
      <c r="D14" s="10">
        <f>AVERAGE(D11:D13)</f>
        <v>0.88240304233376621</v>
      </c>
      <c r="E14" s="10">
        <f t="shared" ref="E14:F14" si="0">AVERAGE(E11:E13)</f>
        <v>0.82781599070422762</v>
      </c>
      <c r="F14" s="10">
        <f t="shared" si="0"/>
        <v>0.8205815532783346</v>
      </c>
      <c r="G14" s="24"/>
    </row>
    <row r="16" spans="1:11" ht="31.5" customHeight="1" x14ac:dyDescent="0.25">
      <c r="A16" s="11" t="s">
        <v>2706</v>
      </c>
      <c r="B16" s="12" t="s">
        <v>2722</v>
      </c>
      <c r="C16" s="12" t="s">
        <v>2726</v>
      </c>
      <c r="D16" s="12" t="s">
        <v>2723</v>
      </c>
      <c r="E16" s="12" t="s">
        <v>2724</v>
      </c>
      <c r="F16" s="12" t="s">
        <v>2725</v>
      </c>
    </row>
    <row r="17" spans="1:6" ht="31.5" customHeight="1" x14ac:dyDescent="0.25">
      <c r="A17" s="13" t="s">
        <v>2708</v>
      </c>
      <c r="B17" s="10">
        <f>1 / (1 + SQRT(SUMXMY2($H$2:$K$2, H3:K3)))</f>
        <v>0.99619716509319178</v>
      </c>
      <c r="C17" s="10">
        <f>1 / (1 + SQRT(SUMXMY2($H$2:$K$2, H4:K4)))</f>
        <v>0.9924002517458016</v>
      </c>
      <c r="D17" s="10">
        <f>1 / (1 + SQRT(SUMXMY2($H$2:$K$2, H5:K5)))</f>
        <v>0.98517586416817771</v>
      </c>
      <c r="E17" s="10">
        <f>1 / (1 + SQRT(SUMXMY2($H$2:$K$2, H6:K6)))</f>
        <v>0.99097508208546969</v>
      </c>
      <c r="F17" s="10">
        <f>1 / (1 + SQRT(SUMXMY2($H$2:$K$2, H7:K7)))</f>
        <v>0.99079304954107161</v>
      </c>
    </row>
    <row r="18" spans="1:6" ht="30.75" customHeight="1" x14ac:dyDescent="0.25">
      <c r="A18" s="9" t="s">
        <v>2709</v>
      </c>
      <c r="B18" s="14" cm="1">
        <f t="array" ref="B18">1 / (1 + SUMPRODUCT(ABS($H$2:$K$2 - H3:K3)))</f>
        <v>0.99325841328192854</v>
      </c>
      <c r="C18" s="14" cm="1">
        <f t="array" ref="C18">1 / (1 + SUMPRODUCT(ABS($H$2:$K$2 - H4:K4)))</f>
        <v>0.98884197413850716</v>
      </c>
      <c r="D18" s="14" cm="1">
        <f t="array" ref="D18">1 / (1 + SUMPRODUCT(ABS($H$2:$K$2 - H5:K5)))</f>
        <v>0.97870982355869529</v>
      </c>
      <c r="E18" s="14" cm="1">
        <f t="array" ref="E18">1 / (1 + SUMPRODUCT(ABS($H$2:$K$2 - H6:K6)))</f>
        <v>0.98610221105441054</v>
      </c>
      <c r="F18" s="14" cm="1">
        <f t="array" ref="F18">1 / (1 + SUMPRODUCT(ABS($H$2:$K$2 - H7:K7)))</f>
        <v>0.98557658161388961</v>
      </c>
    </row>
    <row r="19" spans="1:6" ht="31.5" customHeight="1" x14ac:dyDescent="0.25">
      <c r="A19" s="15" t="s">
        <v>2710</v>
      </c>
      <c r="B19" s="10">
        <f>SUMPRODUCT(H2:K2,H3:K3) / (SQRT(SUMSQ(H2:K2)) * SQRT(SUMSQ(H3:K3)))</f>
        <v>0.99841296122930656</v>
      </c>
      <c r="C19" s="10">
        <f>SUMPRODUCT(H2:K2,H4:K4) / (SQRT(SUMSQ(H2:K2)) * SQRT(SUMSQ(H4:K4)))</f>
        <v>0.99357307480091483</v>
      </c>
      <c r="D19" s="10">
        <f>SUMPRODUCT(H2:K2,H5:K5) / (SQRT(SUMSQ(H2:K2)) * SQRT(SUMSQ(H5:K5)))</f>
        <v>0.97538485245281192</v>
      </c>
      <c r="E19" s="10">
        <f>SUMPRODUCT(H2:K2,H6:K6) / (SQRT(SUMSQ(H2:K2)) * SQRT(SUMSQ(H6:K6)))</f>
        <v>0.99941652531993919</v>
      </c>
      <c r="F19" s="10">
        <f>SUMPRODUCT(H2:K2,H7:K7) / (SQRT(SUMSQ(H2:K2)) * SQRT(SUMSQ(H7:K7)))</f>
        <v>0.96911926988695785</v>
      </c>
    </row>
    <row r="20" spans="1:6" ht="29.25" customHeight="1" x14ac:dyDescent="0.25">
      <c r="A20" s="26" t="s">
        <v>2728</v>
      </c>
      <c r="B20" s="10">
        <f>AVERAGE(B17:B19)</f>
        <v>0.99595617986814222</v>
      </c>
      <c r="C20" s="10">
        <f t="shared" ref="C20:F20" si="1">AVERAGE(C17:C19)</f>
        <v>0.99160510022840798</v>
      </c>
      <c r="D20" s="10">
        <f t="shared" si="1"/>
        <v>0.97975684672656171</v>
      </c>
      <c r="E20" s="10">
        <f t="shared" si="1"/>
        <v>0.99216460615327318</v>
      </c>
      <c r="F20" s="10">
        <f t="shared" si="1"/>
        <v>0.98182963368063969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318D-31F6-4E86-9A31-3152AE457C80}">
  <dimension ref="A1:S14"/>
  <sheetViews>
    <sheetView workbookViewId="0">
      <selection activeCell="F9" sqref="F9"/>
    </sheetView>
  </sheetViews>
  <sheetFormatPr defaultRowHeight="15" x14ac:dyDescent="0.25"/>
  <cols>
    <col min="1" max="1" width="13.85546875" bestFit="1" customWidth="1"/>
    <col min="5" max="5" width="11.42578125" bestFit="1" customWidth="1"/>
    <col min="7" max="7" width="23.28515625" bestFit="1" customWidth="1"/>
    <col min="11" max="11" width="12.42578125" bestFit="1" customWidth="1"/>
    <col min="15" max="15" width="11.42578125" bestFit="1" customWidth="1"/>
    <col min="17" max="17" width="23.28515625" bestFit="1" customWidth="1"/>
  </cols>
  <sheetData>
    <row r="1" spans="1:19" ht="29.25" customHeight="1" x14ac:dyDescent="0.25">
      <c r="A1" s="9" t="s">
        <v>2700</v>
      </c>
      <c r="B1" s="9" t="s">
        <v>2701</v>
      </c>
      <c r="C1" s="9" t="s">
        <v>2702</v>
      </c>
      <c r="D1" s="9" t="s">
        <v>2703</v>
      </c>
      <c r="E1" s="16" t="s">
        <v>2704</v>
      </c>
      <c r="F1" s="19"/>
      <c r="G1" s="12" t="s">
        <v>2719</v>
      </c>
      <c r="H1" s="12" t="s">
        <v>2717</v>
      </c>
      <c r="I1" s="12" t="s">
        <v>2718</v>
      </c>
      <c r="J1" s="18"/>
      <c r="K1" s="9" t="s">
        <v>2700</v>
      </c>
      <c r="L1" s="9" t="s">
        <v>2701</v>
      </c>
      <c r="M1" s="9" t="s">
        <v>2702</v>
      </c>
      <c r="N1" s="9" t="s">
        <v>2703</v>
      </c>
      <c r="O1" s="9" t="s">
        <v>2704</v>
      </c>
      <c r="P1" s="18"/>
      <c r="Q1" s="12" t="s">
        <v>2727</v>
      </c>
      <c r="R1" s="12" t="s">
        <v>2717</v>
      </c>
      <c r="S1" s="12" t="s">
        <v>2718</v>
      </c>
    </row>
    <row r="2" spans="1:19" ht="30" customHeight="1" x14ac:dyDescent="0.25">
      <c r="A2" s="10" t="s">
        <v>467</v>
      </c>
      <c r="B2" s="5">
        <v>0.22021276595744679</v>
      </c>
      <c r="C2" s="5">
        <v>0.22650602409638559</v>
      </c>
      <c r="D2" s="5">
        <v>0.14000000000000001</v>
      </c>
      <c r="E2" s="17">
        <v>0</v>
      </c>
      <c r="F2" s="19"/>
      <c r="G2" s="10" t="s">
        <v>2705</v>
      </c>
      <c r="H2" s="10" cm="1">
        <f t="array" ref="H2">SUMPRODUCT(ABS($B$2:$E$2 - B3:E3)) / COUNTA($B$2:$E$2)</f>
        <v>3.2722250704947449E-2</v>
      </c>
      <c r="I2" s="20" cm="1">
        <f t="array" ref="I2">SQRT(SUMPRODUCT(($B$2:$E$2 - B3:E3)^2) / COUNTA($B$2:$E$2))</f>
        <v>3.932432327174247E-2</v>
      </c>
      <c r="J2" s="18"/>
      <c r="K2" s="10" t="s">
        <v>2183</v>
      </c>
      <c r="L2" s="5">
        <v>2.3404255319148939E-2</v>
      </c>
      <c r="M2" s="5">
        <v>2.7710843373493971E-2</v>
      </c>
      <c r="N2" s="5">
        <v>3.0000000000000001E-3</v>
      </c>
      <c r="O2" s="5">
        <v>6.1823802163833066E-3</v>
      </c>
      <c r="P2" s="18"/>
      <c r="Q2" s="10" t="s">
        <v>2720</v>
      </c>
      <c r="R2" s="10" cm="1">
        <f t="array" ref="R2">SUMPRODUCT(ABS($L$2:$O$2 - L3:O3)) / COUNTA($L$2:$O$2)</f>
        <v>1.6968360468742017E-3</v>
      </c>
      <c r="S2" s="20" cm="1">
        <f t="array" ref="S2">SQRT(SUMPRODUCT(($L$2:$O$2 - L3:O3)^2) / COUNTA($L$2:$O$2))</f>
        <v>1.9086758324856244E-3</v>
      </c>
    </row>
    <row r="3" spans="1:19" ht="30.75" customHeight="1" x14ac:dyDescent="0.25">
      <c r="A3" s="10" t="s">
        <v>2705</v>
      </c>
      <c r="B3" s="5">
        <v>0.1638297872340426</v>
      </c>
      <c r="C3" s="5">
        <v>0.2</v>
      </c>
      <c r="D3" s="5">
        <v>9.1999999999999998E-2</v>
      </c>
      <c r="E3" s="17">
        <v>0</v>
      </c>
      <c r="F3" s="19"/>
      <c r="G3" s="10" t="s">
        <v>2713</v>
      </c>
      <c r="H3" s="10" cm="1">
        <f t="array" ref="H3">SUMPRODUCT(ABS($B$2:$E$2 - B4:E4)) / COUNTA($B$2:$E$2)</f>
        <v>5.4171686746987947E-2</v>
      </c>
      <c r="I3" s="20" cm="1">
        <f t="array" ref="I3">SQRT(SUMPRODUCT(($B$2:$E$2 - B4:E4)^2) / COUNTA($B$2:$E$2))</f>
        <v>6.981281221043785E-2</v>
      </c>
      <c r="J3" s="18"/>
      <c r="K3" s="10" t="s">
        <v>2720</v>
      </c>
      <c r="L3" s="5">
        <v>2.6595744680851061E-2</v>
      </c>
      <c r="M3" s="5">
        <v>2.891566265060241E-2</v>
      </c>
      <c r="N3" s="5">
        <v>2E-3</v>
      </c>
      <c r="O3" s="5">
        <v>7.573415765069552E-3</v>
      </c>
      <c r="P3" s="18"/>
      <c r="Q3" s="10" t="s">
        <v>2721</v>
      </c>
      <c r="R3" s="10" cm="1">
        <f t="array" ref="R3">SUMPRODUCT(ABS($L$2:$O$2 - L4:O4)) / COUNTA($L$2:$O$2)</f>
        <v>2.8209830673940461E-3</v>
      </c>
      <c r="S3" s="20" cm="1">
        <f t="array" ref="S3">SQRT(SUMPRODUCT(($L$2:$O$2 - L4:O4)^2) / COUNTA($L$2:$O$2))</f>
        <v>3.8289733607126748E-3</v>
      </c>
    </row>
    <row r="4" spans="1:19" ht="31.5" customHeight="1" x14ac:dyDescent="0.25">
      <c r="A4" s="10" t="s">
        <v>2713</v>
      </c>
      <c r="B4" s="5">
        <v>0.1202127659574468</v>
      </c>
      <c r="C4" s="5">
        <v>0.20481927710843381</v>
      </c>
      <c r="D4" s="5">
        <v>4.4999999999999998E-2</v>
      </c>
      <c r="E4" s="17">
        <v>0</v>
      </c>
      <c r="F4" s="19"/>
      <c r="G4" s="10" t="s">
        <v>65</v>
      </c>
      <c r="H4" s="10" cm="1">
        <f t="array" ref="H4">SUMPRODUCT(ABS($B$2:$E$2 - B5:E5)) / COUNTA($B$2:$E$2)</f>
        <v>5.4573186362471202E-2</v>
      </c>
      <c r="I4" s="20" cm="1">
        <f t="array" ref="I4">SQRT(SUMPRODUCT(($B$2:$E$2 - B5:E5)^2) / COUNTA($B$2:$E$2))</f>
        <v>7.4776592114311993E-2</v>
      </c>
      <c r="J4" s="18"/>
      <c r="K4" s="10" t="s">
        <v>2721</v>
      </c>
      <c r="L4" s="5">
        <v>2.1276595744680851E-2</v>
      </c>
      <c r="M4" s="5">
        <v>2.0481927710843371E-2</v>
      </c>
      <c r="N4" s="5">
        <v>4.0000000000000001E-3</v>
      </c>
      <c r="O4" s="5">
        <v>5.2550231839258114E-3</v>
      </c>
      <c r="P4" s="18"/>
      <c r="Q4" s="10" t="s">
        <v>1338</v>
      </c>
      <c r="R4" s="10" cm="1">
        <f t="array" ref="R4">SUMPRODUCT(ABS($L$2:$O$2 - L5:O5)) / COUNTA($L$2:$O$2)</f>
        <v>4.5110941315328742E-3</v>
      </c>
      <c r="S4" s="20" cm="1">
        <f t="array" ref="S4">SQRT(SUMPRODUCT(($L$2:$O$2 - L5:O5)^2) / COUNTA($L$2:$O$2))</f>
        <v>5.7285472767506377E-3</v>
      </c>
    </row>
    <row r="5" spans="1:19" ht="31.5" customHeight="1" x14ac:dyDescent="0.25">
      <c r="A5" s="10" t="s">
        <v>65</v>
      </c>
      <c r="B5" s="5">
        <v>0.32127659574468093</v>
      </c>
      <c r="C5" s="5">
        <v>0.21927710843373491</v>
      </c>
      <c r="D5" s="5">
        <v>0.25</v>
      </c>
      <c r="E5" s="17">
        <v>0</v>
      </c>
      <c r="F5" s="19"/>
      <c r="G5" s="10" t="s">
        <v>463</v>
      </c>
      <c r="H5" s="10" cm="1">
        <f t="array" ref="H5">SUMPRODUCT(ABS($B$2:$E$2 - B6:E6)) / COUNTA($B$2:$E$2)</f>
        <v>6.6763970776723941E-2</v>
      </c>
      <c r="I5" s="20" cm="1">
        <f t="array" ref="I5">SQRT(SUMPRODUCT(($B$2:$E$2 - B6:E6)^2) / COUNTA($B$2:$E$2))</f>
        <v>9.4005920684387678E-2</v>
      </c>
      <c r="J5" s="18"/>
      <c r="K5" s="10" t="s">
        <v>1338</v>
      </c>
      <c r="L5" s="5">
        <v>3.085106382978723E-2</v>
      </c>
      <c r="M5" s="5">
        <v>3.6144578313253017E-2</v>
      </c>
      <c r="N5" s="5">
        <v>3.0000000000000001E-3</v>
      </c>
      <c r="O5" s="5">
        <v>8.3462132921174655E-3</v>
      </c>
      <c r="P5" s="18"/>
      <c r="Q5" s="10" t="s">
        <v>2221</v>
      </c>
      <c r="R5" s="10" cm="1">
        <f t="array" ref="R5">SUMPRODUCT(ABS($L$2:$O$2 - L6:O6)) / COUNTA($L$2:$O$2)</f>
        <v>3.5234149132291588E-3</v>
      </c>
      <c r="S5" s="20" cm="1">
        <f t="array" ref="S5">SQRT(SUMPRODUCT(($L$2:$O$2 - L6:O6)^2) / COUNTA($L$2:$O$2))</f>
        <v>4.5535544120533285E-3</v>
      </c>
    </row>
    <row r="6" spans="1:19" ht="30.75" customHeight="1" x14ac:dyDescent="0.25">
      <c r="A6" s="20" t="s">
        <v>463</v>
      </c>
      <c r="B6" s="5">
        <v>8.9361702127659579E-2</v>
      </c>
      <c r="C6" s="5">
        <v>0.2253012048192771</v>
      </c>
      <c r="D6" s="5">
        <v>5.0000000000000001E-3</v>
      </c>
      <c r="E6" s="5">
        <v>0</v>
      </c>
      <c r="F6" s="19"/>
      <c r="G6" s="10" t="s">
        <v>2714</v>
      </c>
      <c r="H6" s="10" cm="1">
        <f t="array" ref="H6">SUMPRODUCT(ABS($B$2:$E$2 - B7:E7)) / COUNTA($B$2:$E$2)</f>
        <v>7.2016209730236022E-2</v>
      </c>
      <c r="I6" s="20" cm="1">
        <f t="array" ref="I6">SQRT(SUMPRODUCT(($B$2:$E$2 - B7:E7)^2) / COUNTA($B$2:$E$2))</f>
        <v>9.3508292991734937E-2</v>
      </c>
      <c r="J6" s="18"/>
      <c r="K6" s="10" t="s">
        <v>2221</v>
      </c>
      <c r="L6" s="5">
        <v>1.8085106382978729E-2</v>
      </c>
      <c r="M6" s="5">
        <v>2.0481927710843371E-2</v>
      </c>
      <c r="N6" s="5">
        <v>3.0000000000000001E-3</v>
      </c>
      <c r="O6" s="5">
        <v>4.6367851622874804E-3</v>
      </c>
      <c r="P6" s="18"/>
      <c r="Q6" s="10" t="s">
        <v>35</v>
      </c>
      <c r="R6" s="10" cm="1">
        <f t="array" ref="R6">SUMPRODUCT(ABS($L$2:$O$2 - L7:O7)) / COUNTA($L$2:$O$2)</f>
        <v>3.6586244679464317E-3</v>
      </c>
      <c r="S6" s="20" cm="1">
        <f t="array" ref="S6">SQRT(SUMPRODUCT(($L$2:$O$2 - L7:O7)^2) / COUNTA($L$2:$O$2))</f>
        <v>4.6462530511255764E-3</v>
      </c>
    </row>
    <row r="7" spans="1:19" ht="30" customHeight="1" x14ac:dyDescent="0.25">
      <c r="A7" s="10" t="s">
        <v>2714</v>
      </c>
      <c r="B7" s="5">
        <v>9.6808510638297873E-2</v>
      </c>
      <c r="C7" s="5">
        <v>0.25301204819277112</v>
      </c>
      <c r="D7" s="5">
        <v>2E-3</v>
      </c>
      <c r="E7" s="5">
        <v>1.545595054095827E-4</v>
      </c>
      <c r="F7" s="19"/>
      <c r="G7" s="18"/>
      <c r="H7" s="18"/>
      <c r="I7" s="18"/>
      <c r="J7" s="18"/>
      <c r="K7" s="10" t="s">
        <v>35</v>
      </c>
      <c r="L7" s="5">
        <v>2.6595744680851061E-2</v>
      </c>
      <c r="M7" s="5">
        <v>1.9277108433734941E-2</v>
      </c>
      <c r="N7" s="5">
        <v>2E-3</v>
      </c>
      <c r="O7" s="5">
        <v>8.1916537867078813E-3</v>
      </c>
      <c r="P7" s="18"/>
      <c r="Q7" s="18"/>
      <c r="R7" s="18"/>
    </row>
    <row r="8" spans="1:19" x14ac:dyDescent="0.25"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9" x14ac:dyDescent="0.25"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9" x14ac:dyDescent="0.25"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9" x14ac:dyDescent="0.25"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9" x14ac:dyDescent="0.25"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9" x14ac:dyDescent="0.25"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9" x14ac:dyDescent="0.25"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 Asli</vt:lpstr>
      <vt:lpstr>Nutrition Scaled</vt:lpstr>
      <vt:lpstr>One-Hot Encoded</vt:lpstr>
      <vt:lpstr>Data Cleaned</vt:lpstr>
      <vt:lpstr>lauk</vt:lpstr>
      <vt:lpstr>sayuran</vt:lpstr>
      <vt:lpstr>Perhitungan Similiarity</vt:lpstr>
      <vt:lpstr>Evaluasi Performa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 Hasanuddin</cp:lastModifiedBy>
  <dcterms:created xsi:type="dcterms:W3CDTF">2026-02-24T16:43:37Z</dcterms:created>
  <dcterms:modified xsi:type="dcterms:W3CDTF">2026-04-14T05:39:18Z</dcterms:modified>
</cp:coreProperties>
</file>